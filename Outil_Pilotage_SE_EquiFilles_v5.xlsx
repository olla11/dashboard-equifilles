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19.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24.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comments20.xml" ContentType="application/vnd.openxmlformats-officedocument.spreadsheetml.comments+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charts/chart1.xml" ContentType="application/vnd.openxmlformats-officedocument.drawingml.chart+xml"/>
  <Override PartName="/xl/comments18.xml" ContentType="application/vnd.openxmlformats-officedocument.spreadsheetml.comments+xml"/>
  <Override PartName="/xl/comments2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Accueil" sheetId="1" state="visible" r:id="rId3"/>
    <sheet name="2. Paramètres" sheetId="2" state="visible" r:id="rId4"/>
    <sheet name="3. Équipe" sheetId="3" state="visible" r:id="rId5"/>
    <sheet name="4. Cadre Logique EQUIFILLES" sheetId="4" state="visible" r:id="rId6"/>
    <sheet name="5. Gantt EQUIFILLES" sheetId="5" state="visible" r:id="rId7"/>
    <sheet name="6. Indicateurs EQUIFILLES" sheetId="6" state="visible" r:id="rId8"/>
    <sheet name="7. Collecte EQUIFILLES" sheetId="7" state="visible" r:id="rId9"/>
    <sheet name="8. Responsables EQUIFILLES" sheetId="8" state="visible" r:id="rId10"/>
    <sheet name="9. Cadre Performance S2L" sheetId="9" state="visible" r:id="rId11"/>
    <sheet name="10. Gantt S2L" sheetId="10" state="visible" r:id="rId12"/>
    <sheet name="11. Indicateurs S2L" sheetId="11" state="visible" r:id="rId13"/>
    <sheet name="12. Collecte S2L" sheetId="12" state="visible" r:id="rId14"/>
    <sheet name="13. Responsables S2L" sheetId="13" state="visible" r:id="rId15"/>
    <sheet name="14. Performance Globale" sheetId="14" state="visible" r:id="rId16"/>
    <sheet name="14b. Suivi Financier" sheetId="15" state="visible" r:id="rId17"/>
    <sheet name="14c. Décaissements" sheetId="16" state="visible" r:id="rId18"/>
    <sheet name="15. Alertes &amp; Rapports" sheetId="17" state="visible" r:id="rId19"/>
    <sheet name="K1. Données Kobo EQUIFILLES" sheetId="18" state="visible" r:id="rId20"/>
    <sheet name="K2. Données Kobo S2L" sheetId="19" state="visible" r:id="rId21"/>
    <sheet name="K5. Témoignages &amp; Incidents" sheetId="20" state="visible" r:id="rId22"/>
    <sheet name="K6. Mode emploi collage" sheetId="21" state="visible" r:id="rId23"/>
    <sheet name="K3. Maquette Formulaires Kobo" sheetId="22" state="visible" r:id="rId24"/>
    <sheet name="K4. Procédure Kobo" sheetId="23" state="visible" r:id="rId25"/>
    <sheet name="LK. Source Looker" sheetId="24" state="visible" r:id="rId26"/>
    <sheet name="LK2. Source Indicateurs" sheetId="25" state="visible" r:id="rId27"/>
    <sheet name="LK3. Source Agents" sheetId="26" state="visible" r:id="rId28"/>
    <sheet name="LK4. Source Financier" sheetId="27" state="visible" r:id="rId29"/>
    <sheet name="LK5. Source Qualitatif" sheetId="28" state="visible" r:id="rId30"/>
  </sheets>
  <calcPr iterateCount="100" refMode="A1" iterate="false" iterateDelta="0.0001"/>
  <extLst>
    <ext xmlns:loext="http://schemas.libreoffice.org/" uri="{7626C862-2A13-11E5-B345-FEFF819CDC9F}">
      <loext:extCalcPr stringRefSyntax="ExcelA1"/>
    </ext>
  </extLst>
</workbook>
</file>

<file path=xl/comments18.xml><?xml version="1.0" encoding="utf-8"?>
<comments xmlns="http://schemas.openxmlformats.org/spreadsheetml/2006/main" xmlns:xdr="http://schemas.openxmlformats.org/drawingml/2006/spreadsheetDrawing">
  <authors>
    <author>Unknown Author</author>
  </authors>
  <commentList>
    <comment ref="B11" authorId="0">
      <text>
        <r>
          <rPr>
            <sz val="10"/>
            <rFont val="Arial"/>
            <family val="2"/>
          </rPr>
          <t xml:space="preserve">N° auto de la soumission</t>
        </r>
      </text>
    </comment>
    <comment ref="C11" authorId="0">
      <text>
        <r>
          <rPr>
            <sz val="10"/>
            <rFont val="Arial"/>
            <family val="2"/>
          </rPr>
          <t xml:space="preserve">Code indicateur (OBLIGATOIRE)</t>
        </r>
      </text>
    </comment>
    <comment ref="D11" authorId="0">
      <text>
        <r>
          <rPr>
            <sz val="10"/>
            <rFont val="Arial"/>
            <family val="2"/>
          </rPr>
          <t xml:space="preserve">Nom du formulaire source : F1, F2...</t>
        </r>
      </text>
    </comment>
    <comment ref="E11" authorId="0">
      <text>
        <r>
          <rPr>
            <sz val="10"/>
            <rFont val="Arial"/>
            <family val="2"/>
          </rPr>
          <t xml:space="preserve">Date de la collecte</t>
        </r>
      </text>
    </comment>
    <comment ref="F11" authorId="0">
      <text>
        <r>
          <rPr>
            <sz val="10"/>
            <rFont val="Arial"/>
            <family val="2"/>
          </rPr>
          <t xml:space="preserve">Commune / Localité</t>
        </r>
      </text>
    </comment>
    <comment ref="G11" authorId="0">
      <text>
        <r>
          <rPr>
            <sz val="10"/>
            <rFont val="Arial"/>
            <family val="2"/>
          </rPr>
          <t xml:space="preserve">École / Site</t>
        </r>
      </text>
    </comment>
    <comment ref="H11" authorId="0">
      <text>
        <r>
          <rPr>
            <sz val="10"/>
            <rFont val="Arial"/>
            <family val="2"/>
          </rPr>
          <t xml:space="preserve">Nom de l'enquêteur</t>
        </r>
      </text>
    </comment>
    <comment ref="I11" authorId="0">
      <text>
        <r>
          <rPr>
            <sz val="10"/>
            <rFont val="Arial"/>
            <family val="2"/>
          </rPr>
          <t xml:space="preserve">Valeur numérique (ALIMENTE l'indicateur)</t>
        </r>
      </text>
    </comment>
    <comment ref="J11" authorId="0">
      <text>
        <r>
          <rPr>
            <sz val="10"/>
            <rFont val="Arial"/>
            <family val="2"/>
          </rPr>
          <t xml:space="preserve">Sexe F / H</t>
        </r>
      </text>
    </comment>
    <comment ref="K11" authorId="0">
      <text>
        <r>
          <rPr>
            <sz val="10"/>
            <rFont val="Arial"/>
            <family val="2"/>
          </rPr>
          <t xml:space="preserve">Catégorie / type de participant</t>
        </r>
      </text>
    </comment>
    <comment ref="L11" authorId="0">
      <text>
        <r>
          <rPr>
            <sz val="10"/>
            <rFont val="Arial"/>
            <family val="2"/>
          </rPr>
          <t xml:space="preserve">Unité : Nb, %, etc.</t>
        </r>
      </text>
    </comment>
    <comment ref="M11" authorId="0">
      <text>
        <r>
          <rPr>
            <sz val="10"/>
            <rFont val="Arial"/>
            <family val="2"/>
          </rPr>
          <t xml:space="preserve">Statut de la donnée (validée, à vérifier)</t>
        </r>
      </text>
    </comment>
    <comment ref="N11" authorId="0">
      <text>
        <r>
          <rPr>
            <sz val="10"/>
            <rFont val="Arial"/>
            <family val="2"/>
          </rPr>
          <t xml:space="preserve">Commentaire / observations</t>
        </r>
      </text>
    </comment>
    <comment ref="O11" authorId="0">
      <text>
        <r>
          <rPr>
            <sz val="10"/>
            <rFont val="Arial"/>
            <family val="2"/>
          </rPr>
          <t xml:space="preserve">Tranche d'âge</t>
        </r>
      </text>
    </comment>
    <comment ref="P11" authorId="0">
      <text>
        <r>
          <rPr>
            <sz val="10"/>
            <rFont val="Arial"/>
            <family val="2"/>
          </rPr>
          <t xml:space="preserve">Situation de handicap</t>
        </r>
      </text>
    </comment>
    <comment ref="Q11" authorId="0">
      <text>
        <r>
          <rPr>
            <sz val="10"/>
            <rFont val="Arial"/>
            <family val="2"/>
          </rPr>
          <t xml:space="preserve">Situation de vulnérabilité</t>
        </r>
      </text>
    </comment>
    <comment ref="R11" authorId="0">
      <text>
        <r>
          <rPr>
            <sz val="10"/>
            <rFont val="Arial"/>
            <family val="2"/>
          </rPr>
          <t xml:space="preserve">Score test AVANT (sur 20) — F1 uniquement</t>
        </r>
      </text>
    </comment>
    <comment ref="S11" authorId="0">
      <text>
        <r>
          <rPr>
            <sz val="10"/>
            <rFont val="Arial"/>
            <family val="2"/>
          </rPr>
          <t xml:space="preserve">Score test APRÈS (sur 20) — F1 uniquement</t>
        </r>
      </text>
    </comment>
    <comment ref="T11" authorId="0">
      <text>
        <r>
          <rPr>
            <sz val="10"/>
            <rFont val="Arial"/>
            <family val="2"/>
          </rPr>
          <t xml:space="preserve">Coordonnées GPS (lat, lon)</t>
        </r>
      </text>
    </comment>
    <comment ref="U11" authorId="0">
      <text>
        <r>
          <rPr>
            <sz val="10"/>
            <rFont val="Arial"/>
            <family val="2"/>
          </rPr>
          <t xml:space="preserve">Nom ou lien du fichier photo</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B11" authorId="0">
      <text>
        <r>
          <rPr>
            <sz val="10"/>
            <rFont val="Arial"/>
            <family val="2"/>
          </rPr>
          <t xml:space="preserve">N° auto de la soumission</t>
        </r>
      </text>
    </comment>
    <comment ref="C11" authorId="0">
      <text>
        <r>
          <rPr>
            <sz val="10"/>
            <rFont val="Arial"/>
            <family val="2"/>
          </rPr>
          <t xml:space="preserve">Code indicateur (OBLIGATOIRE)</t>
        </r>
      </text>
    </comment>
    <comment ref="D11" authorId="0">
      <text>
        <r>
          <rPr>
            <sz val="10"/>
            <rFont val="Arial"/>
            <family val="2"/>
          </rPr>
          <t xml:space="preserve">Nom du formulaire source : F1, F2...</t>
        </r>
      </text>
    </comment>
    <comment ref="E11" authorId="0">
      <text>
        <r>
          <rPr>
            <sz val="10"/>
            <rFont val="Arial"/>
            <family val="2"/>
          </rPr>
          <t xml:space="preserve">Date de la collecte</t>
        </r>
      </text>
    </comment>
    <comment ref="F11" authorId="0">
      <text>
        <r>
          <rPr>
            <sz val="10"/>
            <rFont val="Arial"/>
            <family val="2"/>
          </rPr>
          <t xml:space="preserve">Commune / Localité</t>
        </r>
      </text>
    </comment>
    <comment ref="G11" authorId="0">
      <text>
        <r>
          <rPr>
            <sz val="10"/>
            <rFont val="Arial"/>
            <family val="2"/>
          </rPr>
          <t xml:space="preserve">École / Site</t>
        </r>
      </text>
    </comment>
    <comment ref="H11" authorId="0">
      <text>
        <r>
          <rPr>
            <sz val="10"/>
            <rFont val="Arial"/>
            <family val="2"/>
          </rPr>
          <t xml:space="preserve">Nom de l'enquêteur</t>
        </r>
      </text>
    </comment>
    <comment ref="I11" authorId="0">
      <text>
        <r>
          <rPr>
            <sz val="10"/>
            <rFont val="Arial"/>
            <family val="2"/>
          </rPr>
          <t xml:space="preserve">Valeur numérique (ALIMENTE l'indicateur)</t>
        </r>
      </text>
    </comment>
    <comment ref="J11" authorId="0">
      <text>
        <r>
          <rPr>
            <sz val="10"/>
            <rFont val="Arial"/>
            <family val="2"/>
          </rPr>
          <t xml:space="preserve">Sexe F / H</t>
        </r>
      </text>
    </comment>
    <comment ref="K11" authorId="0">
      <text>
        <r>
          <rPr>
            <sz val="10"/>
            <rFont val="Arial"/>
            <family val="2"/>
          </rPr>
          <t xml:space="preserve">Catégorie / type de participant</t>
        </r>
      </text>
    </comment>
    <comment ref="L11" authorId="0">
      <text>
        <r>
          <rPr>
            <sz val="10"/>
            <rFont val="Arial"/>
            <family val="2"/>
          </rPr>
          <t xml:space="preserve">Unité : Nb, %, etc.</t>
        </r>
      </text>
    </comment>
    <comment ref="M11" authorId="0">
      <text>
        <r>
          <rPr>
            <sz val="10"/>
            <rFont val="Arial"/>
            <family val="2"/>
          </rPr>
          <t xml:space="preserve">Statut de la donnée (validée, à vérifier)</t>
        </r>
      </text>
    </comment>
    <comment ref="N11" authorId="0">
      <text>
        <r>
          <rPr>
            <sz val="10"/>
            <rFont val="Arial"/>
            <family val="2"/>
          </rPr>
          <t xml:space="preserve">Commentaire / observations</t>
        </r>
      </text>
    </comment>
    <comment ref="O11" authorId="0">
      <text>
        <r>
          <rPr>
            <sz val="10"/>
            <rFont val="Arial"/>
            <family val="2"/>
          </rPr>
          <t xml:space="preserve">Tranche d'âge</t>
        </r>
      </text>
    </comment>
    <comment ref="P11" authorId="0">
      <text>
        <r>
          <rPr>
            <sz val="10"/>
            <rFont val="Arial"/>
            <family val="2"/>
          </rPr>
          <t xml:space="preserve">Situation de handicap</t>
        </r>
      </text>
    </comment>
    <comment ref="Q11" authorId="0">
      <text>
        <r>
          <rPr>
            <sz val="10"/>
            <rFont val="Arial"/>
            <family val="2"/>
          </rPr>
          <t xml:space="preserve">Situation de vulnérabilité</t>
        </r>
      </text>
    </comment>
    <comment ref="R11" authorId="0">
      <text>
        <r>
          <rPr>
            <sz val="10"/>
            <rFont val="Arial"/>
            <family val="2"/>
          </rPr>
          <t xml:space="preserve">Score test AVANT (sur 20) — F1 uniquement</t>
        </r>
      </text>
    </comment>
    <comment ref="S11" authorId="0">
      <text>
        <r>
          <rPr>
            <sz val="10"/>
            <rFont val="Arial"/>
            <family val="2"/>
          </rPr>
          <t xml:space="preserve">Score test APRÈS (sur 20) — F1 uniquement</t>
        </r>
      </text>
    </comment>
    <comment ref="T11" authorId="0">
      <text>
        <r>
          <rPr>
            <sz val="10"/>
            <rFont val="Arial"/>
            <family val="2"/>
          </rPr>
          <t xml:space="preserve">Coordonnées GPS (lat, lon)</t>
        </r>
      </text>
    </comment>
    <comment ref="U11" authorId="0">
      <text>
        <r>
          <rPr>
            <sz val="10"/>
            <rFont val="Arial"/>
            <family val="2"/>
          </rPr>
          <t xml:space="preserve">Nom ou lien du fichier photo</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B11" authorId="0">
      <text>
        <r>
          <rPr>
            <sz val="10"/>
            <rFont val="Arial"/>
            <family val="2"/>
          </rPr>
          <t xml:space="preserve">N° auto de la soumission</t>
        </r>
      </text>
    </comment>
    <comment ref="C11" authorId="0">
      <text>
        <r>
          <rPr>
            <sz val="10"/>
            <rFont val="Arial"/>
            <family val="2"/>
          </rPr>
          <t xml:space="preserve">Type : Témoignage OU Incident (OBLIGATOIRE)</t>
        </r>
      </text>
    </comment>
    <comment ref="D11" authorId="0">
      <text>
        <r>
          <rPr>
            <sz val="10"/>
            <rFont val="Arial"/>
            <family val="2"/>
          </rPr>
          <t xml:space="preserve">Date de l'enregistrement</t>
        </r>
      </text>
    </comment>
    <comment ref="E11" authorId="0">
      <text>
        <r>
          <rPr>
            <sz val="10"/>
            <rFont val="Arial"/>
            <family val="2"/>
          </rPr>
          <t xml:space="preserve">Commune et/ou site concerné</t>
        </r>
      </text>
    </comment>
    <comment ref="F11" authorId="0">
      <text>
        <r>
          <rPr>
            <sz val="10"/>
            <rFont val="Arial"/>
            <family val="2"/>
          </rPr>
          <t xml:space="preserve">Domaine du changement (témoignage)</t>
        </r>
      </text>
    </comment>
    <comment ref="G11" authorId="0">
      <text>
        <r>
          <rPr>
            <sz val="10"/>
            <rFont val="Arial"/>
            <family val="2"/>
          </rPr>
          <t xml:space="preserve">Sexe et âge de la personne</t>
        </r>
      </text>
    </comment>
    <comment ref="H11" authorId="0">
      <text>
        <r>
          <rPr>
            <sz val="10"/>
            <rFont val="Arial"/>
            <family val="2"/>
          </rPr>
          <t xml:space="preserve">Récit du changement OU description des faits</t>
        </r>
      </text>
    </comment>
    <comment ref="I11" authorId="0">
      <text>
        <r>
          <rPr>
            <sz val="10"/>
            <rFont val="Arial"/>
            <family val="2"/>
          </rPr>
          <t xml:space="preserve">Citation marquante (témoignage)</t>
        </r>
      </text>
    </comment>
    <comment ref="J11" authorId="0">
      <text>
        <r>
          <rPr>
            <sz val="10"/>
            <rFont val="Arial"/>
            <family val="2"/>
          </rPr>
          <t xml:space="preserve">Consentement à la diffusion (Oui/Non)</t>
        </r>
      </text>
    </comment>
    <comment ref="K11" authorId="0">
      <text>
        <r>
          <rPr>
            <sz val="10"/>
            <rFont val="Arial"/>
            <family val="2"/>
          </rPr>
          <t xml:space="preserve">Statut de traitement de l'incident</t>
        </r>
      </text>
    </comment>
    <comment ref="L11" authorId="0">
      <text>
        <r>
          <rPr>
            <sz val="10"/>
            <rFont val="Arial"/>
            <family val="2"/>
          </rPr>
          <t xml:space="preserve">Niveau de gravité de l'incident</t>
        </r>
      </text>
    </comment>
    <comment ref="M11" authorId="0">
      <text>
        <r>
          <rPr>
            <sz val="10"/>
            <rFont val="Arial"/>
            <family val="2"/>
          </rPr>
          <t xml:space="preserve">Structure de référencement de l'incident</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Onglet technique destiné à Looker Studio. NE PAS modifier ni ajouter de titre : Looker lit la ligne 1 comme noms de champs et les lignes suivantes comme données. Tout est recopié automatiquement des Gantt.</t>
        </r>
      </text>
    </comment>
  </commentList>
</comments>
</file>

<file path=xl/sharedStrings.xml><?xml version="1.0" encoding="utf-8"?>
<sst xmlns="http://schemas.openxmlformats.org/spreadsheetml/2006/main" count="2185" uniqueCount="1122">
  <si>
    <t xml:space="preserve">OUTIL DE PILOTAGE — SUIVI-ÉVALUATION DES PERFORMANCES</t>
  </si>
  <si>
    <t xml:space="preserve">ONG Equi-Filles  |  Projets EQUIFILLES (FoSIR) &amp; SPACE TO LEAD (Plan International Bénin)</t>
  </si>
  <si>
    <t xml:space="preserve">◆ IDENTIFICATION DU SYSTÈME</t>
  </si>
  <si>
    <t xml:space="preserve">◆ SÉLECTEUR DE PROJET</t>
  </si>
  <si>
    <t xml:space="preserve">Version</t>
  </si>
  <si>
    <t xml:space="preserve">1.0</t>
  </si>
  <si>
    <t xml:space="preserve">Choisir un projet :</t>
  </si>
  <si>
    <t xml:space="preserve">Tous les projets</t>
  </si>
  <si>
    <t xml:space="preserve">Date de mise en service</t>
  </si>
  <si>
    <t xml:space="preserve">01/03/2026</t>
  </si>
  <si>
    <t xml:space="preserve">↑ Cliquez sur la cellule ci-dessus pour choisir un projet — les chiffres et le graphique s'adaptent</t>
  </si>
  <si>
    <t xml:space="preserve">Référence S2L</t>
  </si>
  <si>
    <t xml:space="preserve">Activité An1 — 435 000 FCFA</t>
  </si>
  <si>
    <t xml:space="preserve">Préparé par</t>
  </si>
  <si>
    <t xml:space="preserve">Ibrahima KOTO</t>
  </si>
  <si>
    <t xml:space="preserve">◆ CHIFFRES CLÉS DU PROJET SÉLECTIONNÉ</t>
  </si>
  <si>
    <t xml:space="preserve">Assisté de</t>
  </si>
  <si>
    <t xml:space="preserve">Pierre FABOUL</t>
  </si>
  <si>
    <t xml:space="preserve">Indicateur</t>
  </si>
  <si>
    <t xml:space="preserve">Valeur</t>
  </si>
  <si>
    <t xml:space="preserve">Validé par</t>
  </si>
  <si>
    <t xml:space="preserve">KASSIMOU Mountarou (DE)</t>
  </si>
  <si>
    <t xml:space="preserve">Activités planifiées</t>
  </si>
  <si>
    <t xml:space="preserve">Activités terminées</t>
  </si>
  <si>
    <t xml:space="preserve">Activités en retard</t>
  </si>
  <si>
    <t xml:space="preserve">Activités critiques</t>
  </si>
  <si>
    <t xml:space="preserve">Taux d'avancement moyen</t>
  </si>
  <si>
    <t xml:space="preserve">Budget total prévu (FCFA)</t>
  </si>
  <si>
    <t xml:space="preserve">Budget consommé (FCFA)</t>
  </si>
  <si>
    <t xml:space="preserve">Taux de consommation budgétaire</t>
  </si>
  <si>
    <t xml:space="preserve">Statut</t>
  </si>
  <si>
    <t xml:space="preserve">Nombre</t>
  </si>
  <si>
    <t xml:space="preserve">Terminé à temps</t>
  </si>
  <si>
    <t xml:space="preserve">Terminé hors délai</t>
  </si>
  <si>
    <t xml:space="preserve">À temps</t>
  </si>
  <si>
    <t xml:space="preserve">À surveiller</t>
  </si>
  <si>
    <t xml:space="preserve">En retard</t>
  </si>
  <si>
    <t xml:space="preserve">Critique</t>
  </si>
  <si>
    <t xml:space="preserve">◆ INSTRUCTIONS D'UTILISATION</t>
  </si>
  <si>
    <t xml:space="preserve">1. Choisissez un projet en haut à droite (cellule J6) pour adapter les chiffres et le graphique.</t>
  </si>
  <si>
    <t xml:space="preserve">2. Avant la première utilisation, complétez l'onglet 2 (Paramètres) puis l'onglet 3 (Équipe).</t>
  </si>
  <si>
    <t xml:space="preserve">3. Pour chaque projet, vérifiez le cadre logique (onglets 4 et 9), puis renseignez les Gantt (onglets 5 et 10).</t>
  </si>
  <si>
    <t xml:space="preserve">4. Les indicateurs (onglets 6 et 11) sont alimentés AUTOMATIQUEMENT à partir des Gantt — ne pas modifier ces onglets.</t>
  </si>
  <si>
    <t xml:space="preserve">5. L'onglet de collecte (7 et 12) est alimenté automatiquement par les onglets "Données Kobo" (K1, K2) — voir onglet K3 pour la maquette des formulaires.</t>
  </si>
  <si>
    <t xml:space="preserve">6. Le suivi financier (onglets 14b et 14c) permet le pilotage budget vs avancement physique.</t>
  </si>
  <si>
    <t xml:space="preserve">7. Consultez régulièrement l'onglet 15 (Alertes) pour identifier les activités à risque et les échéances proches.</t>
  </si>
  <si>
    <t xml:space="preserve">PARAMÈTRES DU SYSTÈME</t>
  </si>
  <si>
    <t xml:space="preserve">1. ÉCHELLE DE NOTATION DES STATUTS</t>
  </si>
  <si>
    <t xml:space="preserve">Code</t>
  </si>
  <si>
    <t xml:space="preserve">Description</t>
  </si>
  <si>
    <t xml:space="preserve">Note (/100)</t>
  </si>
  <si>
    <t xml:space="preserve">Couleur</t>
  </si>
  <si>
    <t xml:space="preserve">AT</t>
  </si>
  <si>
    <t xml:space="preserve">Avancement réel ≥ avancement prévu</t>
  </si>
  <si>
    <t xml:space="preserve">AS</t>
  </si>
  <si>
    <t xml:space="preserve">Retard &lt; 7 jours OU 80-99% du prévu</t>
  </si>
  <si>
    <t xml:space="preserve">ER</t>
  </si>
  <si>
    <t xml:space="preserve">Retard 7-30 jours OU 50-79% du prévu</t>
  </si>
  <si>
    <t xml:space="preserve">CR</t>
  </si>
  <si>
    <t xml:space="preserve">Retard &gt; 30 jours OU &lt; 50% du prévu</t>
  </si>
  <si>
    <t xml:space="preserve">TT</t>
  </si>
  <si>
    <t xml:space="preserve">Activité achevée dans les délais</t>
  </si>
  <si>
    <t xml:space="preserve">TH</t>
  </si>
  <si>
    <t xml:space="preserve">Objectif atteint mais avec retard</t>
  </si>
  <si>
    <t xml:space="preserve">NR</t>
  </si>
  <si>
    <t xml:space="preserve">Non réalisé</t>
  </si>
  <si>
    <t xml:space="preserve">Activité abandonnée ou annulée</t>
  </si>
  <si>
    <t xml:space="preserve">EA</t>
  </si>
  <si>
    <t xml:space="preserve">En attente</t>
  </si>
  <si>
    <t xml:space="preserve">Date début prévue non encore atteinte</t>
  </si>
  <si>
    <t xml:space="preserve">2. NIVEAUX DE CRITICITÉ DES ACTIVITÉS</t>
  </si>
  <si>
    <t xml:space="preserve">Niveau</t>
  </si>
  <si>
    <t xml:space="preserve">Libellé</t>
  </si>
  <si>
    <t xml:space="preserve">Coefficient</t>
  </si>
  <si>
    <t xml:space="preserve">Courante</t>
  </si>
  <si>
    <t xml:space="preserve">Activité d'appui ou de routine</t>
  </si>
  <si>
    <t xml:space="preserve">Importante</t>
  </si>
  <si>
    <t xml:space="preserve">Activité contribuant directement à un résultat clé</t>
  </si>
  <si>
    <t xml:space="preserve">Activité stratégique / livrable majeur</t>
  </si>
  <si>
    <t xml:space="preserve">3. SEUILS DE PERFORMANCE ET D'ALERTE</t>
  </si>
  <si>
    <t xml:space="preserve">Paramètre</t>
  </si>
  <si>
    <t xml:space="preserve">Unité</t>
  </si>
  <si>
    <t xml:space="preserve">Seuil retard "À surveiller"</t>
  </si>
  <si>
    <t xml:space="preserve">jours</t>
  </si>
  <si>
    <t xml:space="preserve">Au-delà : passe en "En retard"</t>
  </si>
  <si>
    <t xml:space="preserve">Seuil retard "En retard"</t>
  </si>
  <si>
    <t xml:space="preserve">Au-delà : passe en "Critique"</t>
  </si>
  <si>
    <t xml:space="preserve">Score Excellent</t>
  </si>
  <si>
    <t xml:space="preserve">%</t>
  </si>
  <si>
    <t xml:space="preserve">Performance agent ≥ ce seuil = Excellent</t>
  </si>
  <si>
    <t xml:space="preserve">Score Satisfaisant</t>
  </si>
  <si>
    <t xml:space="preserve">Performance agent ≥ ce seuil = Satisfaisant</t>
  </si>
  <si>
    <t xml:space="preserve">Échéances proches (alertes)</t>
  </si>
  <si>
    <t xml:space="preserve">Activités dont échéance &lt; ce nombre de jours</t>
  </si>
  <si>
    <t xml:space="preserve">Seuil dépassement budgétaire</t>
  </si>
  <si>
    <t xml:space="preserve">Budget consommé &gt; ce % du prévu = alerte</t>
  </si>
  <si>
    <t xml:space="preserve">4. LISTES DE RÉFÉRENCE</t>
  </si>
  <si>
    <t xml:space="preserve">Projets</t>
  </si>
  <si>
    <t xml:space="preserve">Statuts</t>
  </si>
  <si>
    <t xml:space="preserve">Criticité</t>
  </si>
  <si>
    <t xml:space="preserve">Périodes</t>
  </si>
  <si>
    <t xml:space="preserve">Type collecte</t>
  </si>
  <si>
    <t xml:space="preserve">Périodicité</t>
  </si>
  <si>
    <t xml:space="preserve">EQUIFILLES</t>
  </si>
  <si>
    <t xml:space="preserve">T1 2026</t>
  </si>
  <si>
    <t xml:space="preserve">Enquête</t>
  </si>
  <si>
    <t xml:space="preserve">Hebdomadaire</t>
  </si>
  <si>
    <t xml:space="preserve">SPACE TO LEAD</t>
  </si>
  <si>
    <t xml:space="preserve">T2 2026</t>
  </si>
  <si>
    <t xml:space="preserve">Liste de présence</t>
  </si>
  <si>
    <t xml:space="preserve">Bimensuelle</t>
  </si>
  <si>
    <t xml:space="preserve">Autre</t>
  </si>
  <si>
    <t xml:space="preserve">T3 2026</t>
  </si>
  <si>
    <t xml:space="preserve">Données admin</t>
  </si>
  <si>
    <t xml:space="preserve">Mensuelle</t>
  </si>
  <si>
    <t xml:space="preserve">T4 2026</t>
  </si>
  <si>
    <t xml:space="preserve">Observation</t>
  </si>
  <si>
    <t xml:space="preserve">Trimestrielle</t>
  </si>
  <si>
    <t xml:space="preserve">T1 2027</t>
  </si>
  <si>
    <t xml:space="preserve">Entretien</t>
  </si>
  <si>
    <t xml:space="preserve">Semestrielle</t>
  </si>
  <si>
    <t xml:space="preserve">T2 2027</t>
  </si>
  <si>
    <t xml:space="preserve">Documentation</t>
  </si>
  <si>
    <t xml:space="preserve">Annuelle</t>
  </si>
  <si>
    <t xml:space="preserve">Ponctuelle</t>
  </si>
  <si>
    <t xml:space="preserve">REGISTRE DE L'ÉQUIPE EQUI-FILLES</t>
  </si>
  <si>
    <t xml:space="preserve">Liste extensible — vous pouvez ajouter des agents jusqu'à la ligne 55. Les modifications sont prises en compte automatiquement dans tous les onglets.</t>
  </si>
  <si>
    <t xml:space="preserve">Matricule</t>
  </si>
  <si>
    <t xml:space="preserve">Nom et Prénom</t>
  </si>
  <si>
    <t xml:space="preserve">Fonction</t>
  </si>
  <si>
    <t xml:space="preserve">Type contrat</t>
  </si>
  <si>
    <t xml:space="preserve">Email</t>
  </si>
  <si>
    <t xml:space="preserve">Téléphone</t>
  </si>
  <si>
    <t xml:space="preserve">Projet principal</t>
  </si>
  <si>
    <t xml:space="preserve">Quotité EQUIFILLES (%)</t>
  </si>
  <si>
    <t xml:space="preserve">Quotité S2L (%)</t>
  </si>
  <si>
    <t xml:space="preserve">Supérieur hiérarchique</t>
  </si>
  <si>
    <t xml:space="preserve">EF001</t>
  </si>
  <si>
    <t xml:space="preserve">KASSIMOU Mountarou</t>
  </si>
  <si>
    <t xml:space="preserve">Directeur Exécutif / Management</t>
  </si>
  <si>
    <t xml:space="preserve">Permanent</t>
  </si>
  <si>
    <t xml:space="preserve">mountarou@gmail.com</t>
  </si>
  <si>
    <t xml:space="preserve">0196073187</t>
  </si>
  <si>
    <t xml:space="preserve">Transverse</t>
  </si>
  <si>
    <t xml:space="preserve">Conseil d'Administration</t>
  </si>
  <si>
    <t xml:space="preserve">EF002</t>
  </si>
  <si>
    <t xml:space="preserve">OLOMONCHIN Francis</t>
  </si>
  <si>
    <t xml:space="preserve">Chargé de Programmes (S2L)</t>
  </si>
  <si>
    <t xml:space="preserve">francislejoyeux@gmail.com</t>
  </si>
  <si>
    <t xml:space="preserve">0195394550 / 0197462333</t>
  </si>
  <si>
    <t xml:space="preserve">EF003</t>
  </si>
  <si>
    <t xml:space="preserve">INOUSSA Ousmanou</t>
  </si>
  <si>
    <t xml:space="preserve">Responsable Administratif et Financier</t>
  </si>
  <si>
    <t xml:space="preserve">ousmanouinoussa13@gmail.com</t>
  </si>
  <si>
    <t xml:space="preserve">0166445558 / 0144877819</t>
  </si>
  <si>
    <t xml:space="preserve">EF004</t>
  </si>
  <si>
    <t xml:space="preserve">BOUKARI AROUNA Rafiou</t>
  </si>
  <si>
    <t xml:space="preserve">Chef Projet (EQUIFILLES)</t>
  </si>
  <si>
    <t xml:space="preserve">elrafiou2@gmail.com</t>
  </si>
  <si>
    <t xml:space="preserve">0161920442 / 0194616087</t>
  </si>
  <si>
    <t xml:space="preserve">EF005</t>
  </si>
  <si>
    <t xml:space="preserve">BA KOTO Bona Sinani Rebecca</t>
  </si>
  <si>
    <t xml:space="preserve">Animatrice (EQUIFILLES)</t>
  </si>
  <si>
    <t xml:space="preserve">rebeccabonakoto@gmail.com</t>
  </si>
  <si>
    <t xml:space="preserve">0140465291 / 0166096205</t>
  </si>
  <si>
    <t xml:space="preserve">EF006</t>
  </si>
  <si>
    <t xml:space="preserve">ASSOUMA Nadjibatou</t>
  </si>
  <si>
    <t xml:space="preserve">Comptable (EQUIFILLES)</t>
  </si>
  <si>
    <t xml:space="preserve">nadjibatouassouma138@gmail.com</t>
  </si>
  <si>
    <t xml:space="preserve">0196793183 / 0195052934</t>
  </si>
  <si>
    <t xml:space="preserve">EF007</t>
  </si>
  <si>
    <t xml:space="preserve">BOUANDI Pierre</t>
  </si>
  <si>
    <t xml:space="preserve">Superviseur (Bénévole)</t>
  </si>
  <si>
    <t xml:space="preserve">Bénévole</t>
  </si>
  <si>
    <t xml:space="preserve">bourandipierre699@gmail.com</t>
  </si>
  <si>
    <t xml:space="preserve">0196706247 / 0195875355</t>
  </si>
  <si>
    <t xml:space="preserve">EF008</t>
  </si>
  <si>
    <t xml:space="preserve">MAMA Adou Razak</t>
  </si>
  <si>
    <t xml:space="preserve">Facilitateur (Bénévole)</t>
  </si>
  <si>
    <t xml:space="preserve">razmamaaboudou@gmail.com</t>
  </si>
  <si>
    <t xml:space="preserve">0161592427</t>
  </si>
  <si>
    <t xml:space="preserve">EF009</t>
  </si>
  <si>
    <t xml:space="preserve">ASSOUMA Amida</t>
  </si>
  <si>
    <t xml:space="preserve">Secrétaire Caissière (Bénévole)</t>
  </si>
  <si>
    <t xml:space="preserve">amidathassouma@gmail.com</t>
  </si>
  <si>
    <t xml:space="preserve">0195323279 / 0194266607</t>
  </si>
  <si>
    <t xml:space="preserve">EF010</t>
  </si>
  <si>
    <t xml:space="preserve">AGONNOUDE Murielle</t>
  </si>
  <si>
    <t xml:space="preserve">Facilitatrice (Bénévole)</t>
  </si>
  <si>
    <t xml:space="preserve">agonnoudemariquess@gmail.com</t>
  </si>
  <si>
    <t xml:space="preserve">0153051920</t>
  </si>
  <si>
    <t xml:space="preserve">EF011</t>
  </si>
  <si>
    <t xml:space="preserve">AMADOU Nafissatou</t>
  </si>
  <si>
    <t xml:space="preserve">Stagiaire</t>
  </si>
  <si>
    <t xml:space="preserve">nafissathdiallo8@gmail.com</t>
  </si>
  <si>
    <t xml:space="preserve">0253481086</t>
  </si>
  <si>
    <t xml:space="preserve">EF012</t>
  </si>
  <si>
    <t xml:space="preserve">SARE KOMME Joséphine</t>
  </si>
  <si>
    <t xml:space="preserve">sarekommejosephine@gmail.com</t>
  </si>
  <si>
    <t xml:space="preserve">0158773052</t>
  </si>
  <si>
    <t xml:space="preserve">EF013</t>
  </si>
  <si>
    <t xml:space="preserve">GOUDI Simoni</t>
  </si>
  <si>
    <t xml:space="preserve">goudisimon@gmail.com</t>
  </si>
  <si>
    <t xml:space="preserve">66653479</t>
  </si>
  <si>
    <t xml:space="preserve">CADRE LOGIQUE — EQUIFILLES « Classes sûres, filles épanouies »</t>
  </si>
  <si>
    <t xml:space="preserve">Projet financé par le FoSIR — Durée : 15 mois (mars 2026 – mai 2027) — Budget : 18 711 453 FCFA (FoSIR 80% + Equi-Filles 20%)</t>
  </si>
  <si>
    <t xml:space="preserve">IMPACT</t>
  </si>
  <si>
    <t xml:space="preserve">Contribuer à l'amélioration durable de l'accès à une éducation de qualité, équitable et protectrice pour les filles et garçons de Gogounou.</t>
  </si>
  <si>
    <t xml:space="preserve">Cible</t>
  </si>
  <si>
    <t xml:space="preserve">Source de vérification</t>
  </si>
  <si>
    <t xml:space="preserve">Hypothèses</t>
  </si>
  <si>
    <t xml:space="preserve">Période</t>
  </si>
  <si>
    <t xml:space="preserve">Responsable</t>
  </si>
  <si>
    <t xml:space="preserve">Ind 0.1</t>
  </si>
  <si>
    <t xml:space="preserve">Taux d'abandon scolaire des filles réduit</t>
  </si>
  <si>
    <t xml:space="preserve">-30%</t>
  </si>
  <si>
    <t xml:space="preserve">Enquête + DDEMP</t>
  </si>
  <si>
    <t xml:space="preserve">Conditions stables</t>
  </si>
  <si>
    <t xml:space="preserve">Final</t>
  </si>
  <si>
    <t xml:space="preserve">Chef projet</t>
  </si>
  <si>
    <t xml:space="preserve">Ind 0.2</t>
  </si>
  <si>
    <t xml:space="preserve">Niveau de satisfaction parents/élèves</t>
  </si>
  <si>
    <t xml:space="preserve">≥ 75%</t>
  </si>
  <si>
    <t xml:space="preserve">Enquête de satisfaction</t>
  </si>
  <si>
    <t xml:space="preserve">Participation effective</t>
  </si>
  <si>
    <t xml:space="preserve">Annuel</t>
  </si>
  <si>
    <t xml:space="preserve">OUTCOME 1</t>
  </si>
  <si>
    <t xml:space="preserve">Les communautés éducatives (APE/AME et CGS) exercent un rôle renforcé dans le suivi citoyen des écoles.</t>
  </si>
  <si>
    <t xml:space="preserve">OUTPUT 1.1 — Acteurs de l'offre prennent des mesures pour améliorer la qualité</t>
  </si>
  <si>
    <t xml:space="preserve">Ind 1.1.1</t>
  </si>
  <si>
    <t xml:space="preserve">30 APE/AME/CAPE et CGS formés</t>
  </si>
  <si>
    <t xml:space="preserve">30</t>
  </si>
  <si>
    <t xml:space="preserve">Attestations formation</t>
  </si>
  <si>
    <t xml:space="preserve">Disponibilité acteurs</t>
  </si>
  <si>
    <t xml:space="preserve">T1-T2</t>
  </si>
  <si>
    <t xml:space="preserve">Ind 1.1.2</t>
  </si>
  <si>
    <t xml:space="preserve">≥ 80% APE/AME participent aux cycles</t>
  </si>
  <si>
    <t xml:space="preserve">80%</t>
  </si>
  <si>
    <t xml:space="preserve">Listes présence</t>
  </si>
  <si>
    <t xml:space="preserve">Mobilisation</t>
  </si>
  <si>
    <t xml:space="preserve">T2-T4</t>
  </si>
  <si>
    <t xml:space="preserve">Ind 1.1.3</t>
  </si>
  <si>
    <t xml:space="preserve">01 rapport d'évaluation citoyenne</t>
  </si>
  <si>
    <t xml:space="preserve">1</t>
  </si>
  <si>
    <t xml:space="preserve">Rapport validé</t>
  </si>
  <si>
    <t xml:space="preserve">Implication parties prenantes</t>
  </si>
  <si>
    <t xml:space="preserve">T3</t>
  </si>
  <si>
    <t xml:space="preserve">Ind 1.1.4</t>
  </si>
  <si>
    <t xml:space="preserve">Acteurs offre formés aux outils</t>
  </si>
  <si>
    <t xml:space="preserve">15</t>
  </si>
  <si>
    <t xml:space="preserve">Liste présence</t>
  </si>
  <si>
    <t xml:space="preserve">Disponibilité prestataires</t>
  </si>
  <si>
    <t xml:space="preserve">T2</t>
  </si>
  <si>
    <t xml:space="preserve">Animateur</t>
  </si>
  <si>
    <t xml:space="preserve">Ind 1.1.5</t>
  </si>
  <si>
    <t xml:space="preserve">Proportion femmes formées</t>
  </si>
  <si>
    <t xml:space="preserve">≥ 50%</t>
  </si>
  <si>
    <t xml:space="preserve">Liste présence ventilée</t>
  </si>
  <si>
    <t xml:space="preserve">Engagement femmes</t>
  </si>
  <si>
    <t xml:space="preserve">Ind 1.1.6</t>
  </si>
  <si>
    <t xml:space="preserve">Acteurs offre renforcés outils</t>
  </si>
  <si>
    <t xml:space="preserve">Adhésion prestataires</t>
  </si>
  <si>
    <t xml:space="preserve">T2-T3</t>
  </si>
  <si>
    <t xml:space="preserve">OUTPUT 1.2 — Les élèves, notamment les filles, développent des comportements citoyens</t>
  </si>
  <si>
    <t xml:space="preserve">Ind 1.2.1</t>
  </si>
  <si>
    <t xml:space="preserve">75 élèves formés (60% F)</t>
  </si>
  <si>
    <t xml:space="preserve">75</t>
  </si>
  <si>
    <t xml:space="preserve">Liste nominative</t>
  </si>
  <si>
    <t xml:space="preserve">Engagement écoles</t>
  </si>
  <si>
    <t xml:space="preserve">Ind 1.2.2</t>
  </si>
  <si>
    <t xml:space="preserve">≥ 70% actions plans clubs réalisées</t>
  </si>
  <si>
    <t xml:space="preserve">70%</t>
  </si>
  <si>
    <t xml:space="preserve">Rapports animation</t>
  </si>
  <si>
    <t xml:space="preserve">Suivi directions</t>
  </si>
  <si>
    <t xml:space="preserve">T3-T5</t>
  </si>
  <si>
    <t xml:space="preserve">OUTPUT 1.3 — Les acteurs locaux intègrent les résultats de l'évaluation citoyenne</t>
  </si>
  <si>
    <t xml:space="preserve">Ind 1.3.1</t>
  </si>
  <si>
    <t xml:space="preserve">≥ 75% participation parents forums</t>
  </si>
  <si>
    <t xml:space="preserve">75%</t>
  </si>
  <si>
    <t xml:space="preserve">T3-T4</t>
  </si>
  <si>
    <t xml:space="preserve">Ind 1.3.2</t>
  </si>
  <si>
    <t xml:space="preserve">06 séances concertation</t>
  </si>
  <si>
    <t xml:space="preserve">6</t>
  </si>
  <si>
    <t xml:space="preserve">PV séances</t>
  </si>
  <si>
    <t xml:space="preserve">T2-T5</t>
  </si>
  <si>
    <t xml:space="preserve">Ind 1.3.3</t>
  </si>
  <si>
    <t xml:space="preserve">≥ 3 recommandations intégrées plans</t>
  </si>
  <si>
    <t xml:space="preserve">3</t>
  </si>
  <si>
    <t xml:space="preserve">Plans communaux</t>
  </si>
  <si>
    <t xml:space="preserve">Engagement autorités</t>
  </si>
  <si>
    <t xml:space="preserve">T4-T5</t>
  </si>
  <si>
    <t xml:space="preserve">DE</t>
  </si>
  <si>
    <t xml:space="preserve">GANTT — SUIVI TEMPOREL DES ACTIVITÉS — EQUIFILLES</t>
  </si>
  <si>
    <t xml:space="preserve">Activités et sous-activités liées à un indicateur. Le statut, le score et l'alimentation des indicateurs se calculent automatiquement à partir des dates et du % réel saisi.</t>
  </si>
  <si>
    <t xml:space="preserve">Activité / Sous-activité</t>
  </si>
  <si>
    <t xml:space="preserve">Output</t>
  </si>
  <si>
    <t xml:space="preserve">Responsable principal</t>
  </si>
  <si>
    <t xml:space="preserve">Co-responsables</t>
  </si>
  <si>
    <t xml:space="preserve">Criticité (1-3)</t>
  </si>
  <si>
    <t xml:space="preserve">Date début prévue</t>
  </si>
  <si>
    <t xml:space="preserve">Date fin prévue</t>
  </si>
  <si>
    <t xml:space="preserve">Date début réelle</t>
  </si>
  <si>
    <t xml:space="preserve">Date fin réelle</t>
  </si>
  <si>
    <t xml:space="preserve">Jalons / Étapes</t>
  </si>
  <si>
    <t xml:space="preserve">% prévu (auto)</t>
  </si>
  <si>
    <t xml:space="preserve">% réel (saisir)</t>
  </si>
  <si>
    <t xml:space="preserve">Budget prévu (FCFA)</t>
  </si>
  <si>
    <t xml:space="preserve">Statut (auto)</t>
  </si>
  <si>
    <t xml:space="preserve">Indicateur alimenté</t>
  </si>
  <si>
    <t xml:space="preserve">Qté cible</t>
  </si>
  <si>
    <t xml:space="preserve">Qté réalisée (auto)</t>
  </si>
  <si>
    <t xml:space="preserve">Observations</t>
  </si>
  <si>
    <t xml:space="preserve">A0.1</t>
  </si>
  <si>
    <t xml:space="preserve">Lancement officiel du projet</t>
  </si>
  <si>
    <t xml:space="preserve">Équipe projet</t>
  </si>
  <si>
    <t xml:space="preserve">Invitations / Atelier / Communiqué</t>
  </si>
  <si>
    <t xml:space="preserve">A1.1.1</t>
  </si>
  <si>
    <t xml:space="preserve">Identification et cartographie des 5 écoles cibles avec CS/DDEMP</t>
  </si>
  <si>
    <t xml:space="preserve">Output 1.1</t>
  </si>
  <si>
    <t xml:space="preserve">TDR / Mission / Rapport</t>
  </si>
  <si>
    <t xml:space="preserve">A1.1.2.1</t>
  </si>
  <si>
    <t xml:space="preserve">Formation acteurs demande - Volet APE/AME formés (15 personnes × 2 ateliers)</t>
  </si>
  <si>
    <t xml:space="preserve">TDR / Module / Atelier / Rapport</t>
  </si>
  <si>
    <t xml:space="preserve">A1.1.2.2</t>
  </si>
  <si>
    <t xml:space="preserve">Formation acteurs demande - Volet équilibre H/F (60% femmes)</t>
  </si>
  <si>
    <t xml:space="preserve">Listes ventilées H/F</t>
  </si>
  <si>
    <t xml:space="preserve">A1.1.2.3</t>
  </si>
  <si>
    <t xml:space="preserve">Formation acteurs demande - Suivi participation aux cycles</t>
  </si>
  <si>
    <t xml:space="preserve">Listes présence cumulées</t>
  </si>
  <si>
    <t xml:space="preserve">A1.1.3.1</t>
  </si>
  <si>
    <t xml:space="preserve">Séance échange acteurs offre - Volet acteurs formés outils redevabilité</t>
  </si>
  <si>
    <t xml:space="preserve">TDR / Atelier / Rapport</t>
  </si>
  <si>
    <t xml:space="preserve">A1.1.3.2</t>
  </si>
  <si>
    <t xml:space="preserve">Séance échange acteurs offre - Renforcement outils</t>
  </si>
  <si>
    <t xml:space="preserve">Suivi accompagnement</t>
  </si>
  <si>
    <t xml:space="preserve">A1.2.1</t>
  </si>
  <si>
    <t xml:space="preserve">Réalisation monographie sommaire</t>
  </si>
  <si>
    <t xml:space="preserve">Consultant externe</t>
  </si>
  <si>
    <t xml:space="preserve">TDR / Collecte / Rédaction</t>
  </si>
  <si>
    <t xml:space="preserve">A1.2.2.1</t>
  </si>
  <si>
    <t xml:space="preserve">Auto-évaluation prestataires (acteurs offre)</t>
  </si>
  <si>
    <t xml:space="preserve">A1.2.2.2</t>
  </si>
  <si>
    <t xml:space="preserve">Évaluation qualité service par citoyens usagers (enquête satisfaction)</t>
  </si>
  <si>
    <t xml:space="preserve">TDR / Enquête / Rapport</t>
  </si>
  <si>
    <t xml:space="preserve">A1.2.2.3</t>
  </si>
  <si>
    <t xml:space="preserve">Séance face-à-face offre/demande - Forum dialogue</t>
  </si>
  <si>
    <t xml:space="preserve">TDR / Forum / PV</t>
  </si>
  <si>
    <t xml:space="preserve">A1.2.E.1</t>
  </si>
  <si>
    <t xml:space="preserve">Formation 75 élèves clubs scolaires (60% filles)</t>
  </si>
  <si>
    <t xml:space="preserve">Output 1.2</t>
  </si>
  <si>
    <t xml:space="preserve">Liste nominative / Module</t>
  </si>
  <si>
    <t xml:space="preserve">A1.2.E.2</t>
  </si>
  <si>
    <t xml:space="preserve">Mise en œuvre plans animation clubs (5 clubs)</t>
  </si>
  <si>
    <t xml:space="preserve">Plans animation / Suivi</t>
  </si>
  <si>
    <t xml:space="preserve">A1.3.1.1</t>
  </si>
  <si>
    <t xml:space="preserve">Mise en œuvre 5 plans d'action communautaires (séances concertation)</t>
  </si>
  <si>
    <t xml:space="preserve">Output 1.3</t>
  </si>
  <si>
    <t xml:space="preserve">BA KOTO Bona Sinani Rebecca, APE/AME</t>
  </si>
  <si>
    <t xml:space="preserve">Plans validés / Suivi</t>
  </si>
  <si>
    <t xml:space="preserve">A1.3.1.2</t>
  </si>
  <si>
    <t xml:space="preserve">Intégration recommandations dans plans communaux</t>
  </si>
  <si>
    <t xml:space="preserve">Plans communaux validés</t>
  </si>
  <si>
    <t xml:space="preserve">A0.IMP</t>
  </si>
  <si>
    <t xml:space="preserve">Suivi annuel du taux d'abandon scolaire des filles</t>
  </si>
  <si>
    <t xml:space="preserve">CS/DDEMP</t>
  </si>
  <si>
    <t xml:space="preserve">Données DDEMP</t>
  </si>
  <si>
    <t xml:space="preserve">A0.2</t>
  </si>
  <si>
    <t xml:space="preserve">Capitalisation et communication via radios locales</t>
  </si>
  <si>
    <t xml:space="preserve">Équipe + consultant</t>
  </si>
  <si>
    <t xml:space="preserve">Bulletins / Émissions / Posts</t>
  </si>
  <si>
    <t xml:space="preserve">A0.3</t>
  </si>
  <si>
    <t xml:space="preserve">4 sessions du Comité de Pilotage (CoPil)</t>
  </si>
  <si>
    <t xml:space="preserve">Membres CoPil</t>
  </si>
  <si>
    <t xml:space="preserve">4 PV de CoPil</t>
  </si>
  <si>
    <t xml:space="preserve">A0.4</t>
  </si>
  <si>
    <t xml:space="preserve">Participation aux activités GFA</t>
  </si>
  <si>
    <t xml:space="preserve">Équipe</t>
  </si>
  <si>
    <t xml:space="preserve">Liste participations</t>
  </si>
  <si>
    <t xml:space="preserve">A0.5</t>
  </si>
  <si>
    <t xml:space="preserve">Atelier d'évaluation finale</t>
  </si>
  <si>
    <t xml:space="preserve">BA KOTO Bona Sinani Rebecca, ASSOUMA Nadjibatou</t>
  </si>
  <si>
    <t xml:space="preserve">TDR / Atelier / Rapport final</t>
  </si>
  <si>
    <t xml:space="preserve">TOTAL</t>
  </si>
  <si>
    <t xml:space="preserve">TABLEAU DE BORD DES INDICATEURS — EQUIFILLES (lecture seule)</t>
  </si>
  <si>
    <t xml:space="preserve">⚠ Cet onglet est en lecture seule. Les indicateurs sont alimentés AUTOMATIQUEMENT par le Gantt (onglet 5) et l'outil de Collecte (onglet 7). Pour modifier les valeurs, agissez sur les Gantt ou la Collecte.</t>
  </si>
  <si>
    <t xml:space="preserve">Baseline</t>
  </si>
  <si>
    <t xml:space="preserve">Valeur Gantt</t>
  </si>
  <si>
    <t xml:space="preserve">Valeur Collecte</t>
  </si>
  <si>
    <t xml:space="preserve">Valeur cumulée</t>
  </si>
  <si>
    <t xml:space="preserve">% atteinte</t>
  </si>
  <si>
    <t xml:space="preserve">Source données</t>
  </si>
  <si>
    <t xml:space="preserve">Impact</t>
  </si>
  <si>
    <t xml:space="preserve">Activités A1.1.2.1</t>
  </si>
  <si>
    <t xml:space="preserve">Activités A1.1.2.3 + Collecte</t>
  </si>
  <si>
    <t xml:space="preserve">01 rapport d'évaluation citoyenne validé</t>
  </si>
  <si>
    <t xml:space="preserve">Activités A1.1.1, A1.2.1, A1.2.2</t>
  </si>
  <si>
    <t xml:space="preserve">Acteurs offre formés aux outils de redevabilité</t>
  </si>
  <si>
    <t xml:space="preserve">Activité A1.1.3.1</t>
  </si>
  <si>
    <t xml:space="preserve">Proportion de femmes formées</t>
  </si>
  <si>
    <t xml:space="preserve">Activité A1.1.2.2 + Collecte</t>
  </si>
  <si>
    <t xml:space="preserve">Acteurs offre renforcés sur outils</t>
  </si>
  <si>
    <t xml:space="preserve">Activité A1.1.3.2</t>
  </si>
  <si>
    <t xml:space="preserve">75 élèves formés (60% filles)</t>
  </si>
  <si>
    <t xml:space="preserve">Activité A1.2.E.1</t>
  </si>
  <si>
    <t xml:space="preserve">≥ 70% des actions plans clubs réalisées</t>
  </si>
  <si>
    <t xml:space="preserve">Activité A1.2.E.2 + Collecte</t>
  </si>
  <si>
    <t xml:space="preserve">≥ 75% participation parents aux forums</t>
  </si>
  <si>
    <t xml:space="preserve">Activité A1.2.2.3 + Collecte</t>
  </si>
  <si>
    <t xml:space="preserve">6 séances de concertation</t>
  </si>
  <si>
    <t xml:space="preserve">Activité A1.3.1.1</t>
  </si>
  <si>
    <t xml:space="preserve">≥ 3 recommandations intégrées dans plans</t>
  </si>
  <si>
    <t xml:space="preserve">Activité A1.3.1.2</t>
  </si>
  <si>
    <t xml:space="preserve">SYNTHÈSE GLOBALE DES INDICATEURS</t>
  </si>
  <si>
    <t xml:space="preserve">← Atteints / Total</t>
  </si>
  <si>
    <t xml:space="preserve">OUTIL DE COLLECTE — EQUIFILLES (alimenté par KoboCollect)</t>
  </si>
  <si>
    <t xml:space="preserve">Les valeurs sont calculées AUTOMATIQUEMENT à partir de l'onglet "K1. Données Kobo EQUIFILLES". Il suffit de coller les exports Kobo dans cet onglet — la Collecte et les Indicateurs se mettent à jour seuls.</t>
  </si>
  <si>
    <t xml:space="preserve">Code Ind</t>
  </si>
  <si>
    <t xml:space="preserve">Formulaire Kobo</t>
  </si>
  <si>
    <t xml:space="preserve">Mode d'agrégation</t>
  </si>
  <si>
    <t xml:space="preserve">Nb soumissions Kobo</t>
  </si>
  <si>
    <t xml:space="preserve">Valeur brute Kobo</t>
  </si>
  <si>
    <t xml:space="preserve">Valeur retenue</t>
  </si>
  <si>
    <t xml:space="preserve">Date dernière collecte</t>
  </si>
  <si>
    <t xml:space="preserve">Saisie manuelle (option)</t>
  </si>
  <si>
    <t xml:space="preserve">Taux d'abandon scolaire des filles</t>
  </si>
  <si>
    <t xml:space="preserve">F3-Données scolaires</t>
  </si>
  <si>
    <t xml:space="preserve">Moyenne</t>
  </si>
  <si>
    <t xml:space="preserve">Satisfaction parents et élèves</t>
  </si>
  <si>
    <t xml:space="preserve">F2-Enquête satisfaction</t>
  </si>
  <si>
    <t xml:space="preserve">Participation APE/AME aux cycles</t>
  </si>
  <si>
    <t xml:space="preserve">F1-Liste présence</t>
  </si>
  <si>
    <t xml:space="preserve">Comptage</t>
  </si>
  <si>
    <t xml:space="preserve">Nb</t>
  </si>
  <si>
    <t xml:space="preserve">% actions d'animation réalisées</t>
  </si>
  <si>
    <t xml:space="preserve">F4-Suivi clubs</t>
  </si>
  <si>
    <t xml:space="preserve">Participation parents aux forums</t>
  </si>
  <si>
    <t xml:space="preserve">Recommandations intégrées dans plans</t>
  </si>
  <si>
    <t xml:space="preserve">F5-Suivi plans</t>
  </si>
  <si>
    <t xml:space="preserve">TABLEAU DE BORD DES RESPONSABLES — EQUIFILLES</t>
  </si>
  <si>
    <t xml:space="preserve">Score calculé automatiquement depuis le Gantt EQUIFILLES, pondéré par criticité. Liste des agents extraite depuis l'onglet Équipe.</t>
  </si>
  <si>
    <t xml:space="preserve">Agent</t>
  </si>
  <si>
    <t xml:space="preserve">Activités assignées</t>
  </si>
  <si>
    <t xml:space="preserve">Score brut</t>
  </si>
  <si>
    <t xml:space="preserve">Score pondéré</t>
  </si>
  <si>
    <t xml:space="preserve">CADRE DE PERFORMANCE — SPACE TO LEAD</t>
  </si>
  <si>
    <t xml:space="preserve">Programme financé par Plan International Bénin — Durée : oct 2025 – sept 2030 (5 ans) — Budget : 63 186 600 FCFA</t>
  </si>
  <si>
    <t xml:space="preserve">VOLET 0 — Frais transversaux et fonctionnement (Direct Project Costs)</t>
  </si>
  <si>
    <t xml:space="preserve">I.0.SAL.1</t>
  </si>
  <si>
    <t xml:space="preserve">Charge de programme (100%) - 20 mois</t>
  </si>
  <si>
    <t xml:space="preserve">20 mois</t>
  </si>
  <si>
    <t xml:space="preserve">Bulletins salaire</t>
  </si>
  <si>
    <t xml:space="preserve">Recrutement effectif</t>
  </si>
  <si>
    <t xml:space="preserve">An1-An2</t>
  </si>
  <si>
    <t xml:space="preserve">I.0.SAL.2</t>
  </si>
  <si>
    <t xml:space="preserve">Comptable (100%) - 20 mois</t>
  </si>
  <si>
    <t xml:space="preserve">I.0.EQ.1</t>
  </si>
  <si>
    <t xml:space="preserve">Laptops + accessoires (2 unités)</t>
  </si>
  <si>
    <t xml:space="preserve">2</t>
  </si>
  <si>
    <t xml:space="preserve">Factures + inventaire</t>
  </si>
  <si>
    <t xml:space="preserve">Procédure achat</t>
  </si>
  <si>
    <t xml:space="preserve">An1</t>
  </si>
  <si>
    <t xml:space="preserve">I.0.EQ.2</t>
  </si>
  <si>
    <t xml:space="preserve">Fourniture ONG (forfait)</t>
  </si>
  <si>
    <t xml:space="preserve">Factures</t>
  </si>
  <si>
    <t xml:space="preserve">Disponibilité</t>
  </si>
  <si>
    <t xml:space="preserve">An1-An3</t>
  </si>
  <si>
    <t xml:space="preserve">I.0.EQ.3</t>
  </si>
  <si>
    <t xml:space="preserve">Kits internet</t>
  </si>
  <si>
    <t xml:space="preserve">Connexion</t>
  </si>
  <si>
    <t xml:space="preserve">I.0.ME.1</t>
  </si>
  <si>
    <t xml:space="preserve">Mission de suivi de coordination des OSC</t>
  </si>
  <si>
    <t xml:space="preserve">Rapports mission</t>
  </si>
  <si>
    <t xml:space="preserve">Disponibilité équipe</t>
  </si>
  <si>
    <t xml:space="preserve">I.0.SC.1</t>
  </si>
  <si>
    <t xml:space="preserve">Contribution salaire management</t>
  </si>
  <si>
    <t xml:space="preserve">Justificatifs</t>
  </si>
  <si>
    <t xml:space="preserve">Suivi continu</t>
  </si>
  <si>
    <t xml:space="preserve">I.0.SC.2</t>
  </si>
  <si>
    <t xml:space="preserve">Contribution loyer/eau/électricité/gardiennage</t>
  </si>
  <si>
    <t xml:space="preserve">Continuité bureau</t>
  </si>
  <si>
    <t xml:space="preserve">I.0.SC.3</t>
  </si>
  <si>
    <t xml:space="preserve">Connexion internet ONG</t>
  </si>
  <si>
    <t xml:space="preserve">Continuité</t>
  </si>
  <si>
    <t xml:space="preserve">VOLET A — Renforcement organisationnel d'Equi-Filles (DCO - Result 1)</t>
  </si>
  <si>
    <t xml:space="preserve">A.DCO.1</t>
  </si>
  <si>
    <t xml:space="preserve">Auto-évaluation OSC (10 OSC × 9 participants)</t>
  </si>
  <si>
    <t xml:space="preserve">Rapport auto-évaluation</t>
  </si>
  <si>
    <t xml:space="preserve">Engagement direction</t>
  </si>
  <si>
    <t xml:space="preserve">A.DCO.2</t>
  </si>
  <si>
    <t xml:space="preserve">Plan DCO (3 vagues d'actions)</t>
  </si>
  <si>
    <t xml:space="preserve">Plan validé + rapports</t>
  </si>
  <si>
    <t xml:space="preserve">Adhésion CA</t>
  </si>
  <si>
    <t xml:space="preserve">A.DCO.MEP</t>
  </si>
  <si>
    <t xml:space="preserve">Mise en œuvre plans DCO (15% budget chaque OSC)</t>
  </si>
  <si>
    <t xml:space="preserve">3 vagues</t>
  </si>
  <si>
    <t xml:space="preserve">Rapports d'exécution</t>
  </si>
  <si>
    <t xml:space="preserve">Disponibilité ressources</t>
  </si>
  <si>
    <t xml:space="preserve">A.DCO.PAEC</t>
  </si>
  <si>
    <t xml:space="preserve">Plan d'amélioration espace civique</t>
  </si>
  <si>
    <t xml:space="preserve">Plans validés</t>
  </si>
  <si>
    <t xml:space="preserve">Engagement OSC</t>
  </si>
  <si>
    <t xml:space="preserve">VOLET B — Engagement citoyen jeunes (Result 3 - DSSR)</t>
  </si>
  <si>
    <t xml:space="preserve">I.3.1.4.a</t>
  </si>
  <si>
    <t xml:space="preserve">Ateliers OSC jeunes (par commune)</t>
  </si>
  <si>
    <t xml:space="preserve">TDR + rapports + listes</t>
  </si>
  <si>
    <t xml:space="preserve">Mobilisation OSC</t>
  </si>
  <si>
    <t xml:space="preserve">I.3.1.4.b</t>
  </si>
  <si>
    <t xml:space="preserve">Membres OSC jeunes formés</t>
  </si>
  <si>
    <t xml:space="preserve">60</t>
  </si>
  <si>
    <t xml:space="preserve">Mobilisation effective</t>
  </si>
  <si>
    <t xml:space="preserve">I.3.1.4.c</t>
  </si>
  <si>
    <t xml:space="preserve">Plans de plaidoyer élaborés</t>
  </si>
  <si>
    <t xml:space="preserve">Plans plaidoyer</t>
  </si>
  <si>
    <t xml:space="preserve">I.3.1.9.A</t>
  </si>
  <si>
    <t xml:space="preserve">Sessions plaidoyer DSSR Atacora</t>
  </si>
  <si>
    <t xml:space="preserve">TDR + rapports</t>
  </si>
  <si>
    <t xml:space="preserve">I.3.1.9.C</t>
  </si>
  <si>
    <t xml:space="preserve">Sessions plaidoyer DSSR Couffo</t>
  </si>
  <si>
    <t xml:space="preserve">An2</t>
  </si>
  <si>
    <t xml:space="preserve">I.3.1.10</t>
  </si>
  <si>
    <t xml:space="preserve">Suivis recommandations plaidoyer</t>
  </si>
  <si>
    <t xml:space="preserve">4</t>
  </si>
  <si>
    <t xml:space="preserve">Listes + rapports</t>
  </si>
  <si>
    <t xml:space="preserve">Engagement long terme</t>
  </si>
  <si>
    <t xml:space="preserve">An2-An3</t>
  </si>
  <si>
    <t xml:space="preserve">VOLET C — Espaces sûrs (A.3.2.3)</t>
  </si>
  <si>
    <t xml:space="preserve">I.3.2.3.a</t>
  </si>
  <si>
    <t xml:space="preserve">Espaces sûrs identifiés</t>
  </si>
  <si>
    <t xml:space="preserve">TDR + rapport</t>
  </si>
  <si>
    <t xml:space="preserve">Disponibilité communes</t>
  </si>
  <si>
    <t xml:space="preserve">I.3.2.3.b</t>
  </si>
  <si>
    <t xml:space="preserve">Espaces sûrs rénovés/équipés</t>
  </si>
  <si>
    <t xml:space="preserve">Rapport + photos</t>
  </si>
  <si>
    <t xml:space="preserve">Budget travaux</t>
  </si>
  <si>
    <t xml:space="preserve">VOLET D — Réponse aux crises sécuritaires (A.3.3.7)</t>
  </si>
  <si>
    <t xml:space="preserve">I.3.3.7</t>
  </si>
  <si>
    <t xml:space="preserve">Kits de dignité fournis (zone Nord)</t>
  </si>
  <si>
    <t xml:space="preserve">PM</t>
  </si>
  <si>
    <t xml:space="preserve">TDR + rapport distribution</t>
  </si>
  <si>
    <t xml:space="preserve">Stabilité sécuritaire</t>
  </si>
  <si>
    <t xml:space="preserve">An3</t>
  </si>
  <si>
    <t xml:space="preserve">VOLET E — Éducation Complète à la Sexualité — ECS (A.3.3.8)</t>
  </si>
  <si>
    <t xml:space="preserve">I.3.3.8</t>
  </si>
  <si>
    <t xml:space="preserve">Jeunes formés sur l'ECS</t>
  </si>
  <si>
    <t xml:space="preserve">TDR + listes</t>
  </si>
  <si>
    <t xml:space="preserve">Engagement jeunes</t>
  </si>
  <si>
    <t xml:space="preserve">GANTT — SUIVI TEMPOREL DES ACTIVITÉS — SPACE TO LEAD</t>
  </si>
  <si>
    <t xml:space="preserve">Activités et sous-activités liées à un indicateur. Le statut, le score et l'alimentation des indicateurs se calculent automatiquement.</t>
  </si>
  <si>
    <t xml:space="preserve">Volet</t>
  </si>
  <si>
    <t xml:space="preserve">Charge de programme (100%) - Salaire mensuel × 20 mois</t>
  </si>
  <si>
    <t xml:space="preserve">V0</t>
  </si>
  <si>
    <t xml:space="preserve">Bulletins de salaire mensuels</t>
  </si>
  <si>
    <t xml:space="preserve">Comptable (100%) - Salaire mensuel × 20 mois</t>
  </si>
  <si>
    <t xml:space="preserve">Achat laptops + accessoires (2 unités)</t>
  </si>
  <si>
    <t xml:space="preserve">Procédure achat / Factures / Inventaire</t>
  </si>
  <si>
    <t xml:space="preserve">Forfait achat fournitures ONG</t>
  </si>
  <si>
    <t xml:space="preserve">Factures fournisseurs</t>
  </si>
  <si>
    <t xml:space="preserve">Rapports de mission</t>
  </si>
  <si>
    <t xml:space="preserve">Justificatifs comptables</t>
  </si>
  <si>
    <t xml:space="preserve">Auto-évaluation des OSC (10 OSC × 9 participants × 2 jours)</t>
  </si>
  <si>
    <t xml:space="preserve">VA</t>
  </si>
  <si>
    <t xml:space="preserve">TDR + Auto-évaluation + Rapport</t>
  </si>
  <si>
    <t xml:space="preserve">Élaboration du plan DCO (10 OSC × 9 participants × 2 jours)</t>
  </si>
  <si>
    <t xml:space="preserve">TDR + Atelier + Plan validé</t>
  </si>
  <si>
    <t xml:space="preserve">A.DCO.MEP1</t>
  </si>
  <si>
    <t xml:space="preserve">Mise en œuvre plans DCO - Vague 1 (15% budget OSC)</t>
  </si>
  <si>
    <t xml:space="preserve">Activités planifiées du plan DCO</t>
  </si>
  <si>
    <t xml:space="preserve">A.DCO.MEP2</t>
  </si>
  <si>
    <t xml:space="preserve">Mise en œuvre plans DCO - Vague 2</t>
  </si>
  <si>
    <t xml:space="preserve">A.DCO.MEP3</t>
  </si>
  <si>
    <t xml:space="preserve">Mise en œuvre plans DCO - Vague 3</t>
  </si>
  <si>
    <t xml:space="preserve">A.DCO.PAEC1</t>
  </si>
  <si>
    <t xml:space="preserve">Plan amélioration espace civique - Vague 1</t>
  </si>
  <si>
    <t xml:space="preserve">Plan validé</t>
  </si>
  <si>
    <t xml:space="preserve">A.DCO.PAEC2</t>
  </si>
  <si>
    <t xml:space="preserve">Plan amélioration espace civique - Vague 2</t>
  </si>
  <si>
    <t xml:space="preserve">A.DCO.PAEC3</t>
  </si>
  <si>
    <t xml:space="preserve">Plan amélioration espace civique - Vague 3</t>
  </si>
  <si>
    <t xml:space="preserve">A.DCO.SI</t>
  </si>
  <si>
    <t xml:space="preserve">Système informatisé S&amp;E (PRÉSENT LIVRABLE)</t>
  </si>
  <si>
    <t xml:space="preserve">Ibrahima KOTO + Pierre FABOUL</t>
  </si>
  <si>
    <t xml:space="preserve">Cadrage + Développement + Formation</t>
  </si>
  <si>
    <t xml:space="preserve">A.3.1.4.NORD</t>
  </si>
  <si>
    <t xml:space="preserve">Ateliers OSC jeunes - Volet ateliers (Nord)</t>
  </si>
  <si>
    <t xml:space="preserve">VB</t>
  </si>
  <si>
    <t xml:space="preserve">TDR + Ateliers + Rapports</t>
  </si>
  <si>
    <t xml:space="preserve">A.3.1.4.PART</t>
  </si>
  <si>
    <t xml:space="preserve">Ateliers OSC jeunes - Volet participants formés</t>
  </si>
  <si>
    <t xml:space="preserve">A.3.1.4.PLAN</t>
  </si>
  <si>
    <t xml:space="preserve">Ateliers OSC jeunes - Volet plans plaidoyer élaborés</t>
  </si>
  <si>
    <t xml:space="preserve">A.3.1.9.AT</t>
  </si>
  <si>
    <t xml:space="preserve">Plaidoyer DSSR Atacora</t>
  </si>
  <si>
    <t xml:space="preserve">TDR + Sessions + Rapports</t>
  </si>
  <si>
    <t xml:space="preserve">A.3.1.9.CO</t>
  </si>
  <si>
    <t xml:space="preserve">Plaidoyer DSSR Couffo</t>
  </si>
  <si>
    <t xml:space="preserve">A.3.1.10</t>
  </si>
  <si>
    <t xml:space="preserve">Suivi recommandations plaidoyer</t>
  </si>
  <si>
    <t xml:space="preserve">Listes + rapports suivi</t>
  </si>
  <si>
    <t xml:space="preserve">A.3.2.3.ID</t>
  </si>
  <si>
    <t xml:space="preserve">Identification des espaces sûrs</t>
  </si>
  <si>
    <t xml:space="preserve">VC</t>
  </si>
  <si>
    <t xml:space="preserve">Communes</t>
  </si>
  <si>
    <t xml:space="preserve">TDR + Rapport identification</t>
  </si>
  <si>
    <t xml:space="preserve">A.3.2.3.EQ</t>
  </si>
  <si>
    <t xml:space="preserve">Rénovation/équipement espaces sûrs</t>
  </si>
  <si>
    <t xml:space="preserve">Rapports + photos</t>
  </si>
  <si>
    <t xml:space="preserve">A.3.3.7</t>
  </si>
  <si>
    <t xml:space="preserve">Kits de dignité (zone Nord)</t>
  </si>
  <si>
    <t xml:space="preserve">VD</t>
  </si>
  <si>
    <t xml:space="preserve">Sélection + Distribution + Rapport</t>
  </si>
  <si>
    <t xml:space="preserve">A.3.3.8</t>
  </si>
  <si>
    <t xml:space="preserve">Ateliers formation ECS jeunes (Nord)</t>
  </si>
  <si>
    <t xml:space="preserve">VE</t>
  </si>
  <si>
    <t xml:space="preserve">TDR + Ateliers + Listes</t>
  </si>
  <si>
    <t xml:space="preserve">TABLEAU DE BORD DES INDICATEURS — SPACE TO LEAD (lecture seule)</t>
  </si>
  <si>
    <t xml:space="preserve">⚠ Cet onglet est en lecture seule. Les indicateurs sont alimentés AUTOMATIQUEMENT par le Gantt (onglet 10) et l'outil de Collecte (onglet 12).</t>
  </si>
  <si>
    <t xml:space="preserve">Charge de programme - Mois travaillés</t>
  </si>
  <si>
    <t xml:space="preserve">Bulletins salaires</t>
  </si>
  <si>
    <t xml:space="preserve">Comptable - Mois travaillés</t>
  </si>
  <si>
    <t xml:space="preserve">Laptops + accessoires acquis</t>
  </si>
  <si>
    <t xml:space="preserve">Forfaits fournitures ONG acquis</t>
  </si>
  <si>
    <t xml:space="preserve">Kits internet acquis</t>
  </si>
  <si>
    <t xml:space="preserve">Missions de suivi de coordination</t>
  </si>
  <si>
    <t xml:space="preserve">Mois de contribution salaire mgmt</t>
  </si>
  <si>
    <t xml:space="preserve">Mois de contribution loyer/utilités</t>
  </si>
  <si>
    <t xml:space="preserve">Mois de connexion internet ONG</t>
  </si>
  <si>
    <t xml:space="preserve">Auto-évaluation OSC réalisée</t>
  </si>
  <si>
    <t xml:space="preserve">Rapport</t>
  </si>
  <si>
    <t xml:space="preserve">Plan DCO élaboré</t>
  </si>
  <si>
    <t xml:space="preserve">Vagues de mise en œuvre du plan DCO</t>
  </si>
  <si>
    <t xml:space="preserve">Vagues de plan amélioration espace civique</t>
  </si>
  <si>
    <t xml:space="preserve">Ateliers OSC jeunes organisés</t>
  </si>
  <si>
    <t xml:space="preserve">Membres OSC formés</t>
  </si>
  <si>
    <t xml:space="preserve">Plans</t>
  </si>
  <si>
    <t xml:space="preserve">Rapports suivi</t>
  </si>
  <si>
    <t xml:space="preserve">Espaces sûrs équipés/rénovés</t>
  </si>
  <si>
    <t xml:space="preserve">Kits de dignité fournis</t>
  </si>
  <si>
    <t xml:space="preserve">Rapport distribution</t>
  </si>
  <si>
    <t xml:space="preserve">SYNTHÈSE GLOBALE</t>
  </si>
  <si>
    <t xml:space="preserve">OUTIL DE COLLECTE — SPACE TO LEAD (alimenté par KoboCollect)</t>
  </si>
  <si>
    <t xml:space="preserve">Les valeurs sont calculées AUTOMATIQUEMENT à partir de l'onglet "K2. Données Kobo S2L". Il suffit de coller les exports Kobo dans cet onglet — la Collecte et les Indicateurs se mettent à jour seuls.</t>
  </si>
  <si>
    <t xml:space="preserve">Bénéficiaires kits dignité</t>
  </si>
  <si>
    <t xml:space="preserve">F6-Distribution kits</t>
  </si>
  <si>
    <t xml:space="preserve">Sat.OSC</t>
  </si>
  <si>
    <t xml:space="preserve">Satisfaction OSC formées</t>
  </si>
  <si>
    <t xml:space="preserve">App.SERA</t>
  </si>
  <si>
    <t xml:space="preserve">Appropriation manuel SERA</t>
  </si>
  <si>
    <t xml:space="preserve">F7-Audit interne</t>
  </si>
  <si>
    <t xml:space="preserve">TABLEAU DE BORD DES RESPONSABLES — SPACE TO LEAD</t>
  </si>
  <si>
    <t xml:space="preserve">Score calculé automatiquement depuis le Gantt S2L, pondéré par criticité.</t>
  </si>
  <si>
    <t xml:space="preserve">PERFORMANCE GLOBALE DES AGENTS — Vue consolidée tous projets</t>
  </si>
  <si>
    <t xml:space="preserve">Synthèse des performances des agents sur les deux projets EQUIFILLES + S2L. La liste s'adapte automatiquement à l'onglet Équipe.</t>
  </si>
  <si>
    <t xml:space="preserve">Activités EQUIFILLES</t>
  </si>
  <si>
    <t xml:space="preserve">Activités S2L</t>
  </si>
  <si>
    <t xml:space="preserve">Total activités</t>
  </si>
  <si>
    <t xml:space="preserve">Score EQUIFILLES</t>
  </si>
  <si>
    <t xml:space="preserve">Score S2L</t>
  </si>
  <si>
    <t xml:space="preserve">Score consolidé</t>
  </si>
  <si>
    <t xml:space="preserve">Niveau global</t>
  </si>
  <si>
    <t xml:space="preserve">Recommandation</t>
  </si>
  <si>
    <t xml:space="preserve">SUIVI FINANCIER DES PROJETS</t>
  </si>
  <si>
    <t xml:space="preserve">Pilotage budgétaire des deux projets. Saisissez le Budget consommé dans les Gantt pour alimenter cet onglet. Articulation prévue avec le futur logiciel comptable SYCEBNL.</t>
  </si>
  <si>
    <t xml:space="preserve">1. SYNTHÈSE GLOBALE PAR PROJET</t>
  </si>
  <si>
    <t xml:space="preserve">Projet</t>
  </si>
  <si>
    <t xml:space="preserve">Budget total</t>
  </si>
  <si>
    <t xml:space="preserve">Engagé</t>
  </si>
  <si>
    <t xml:space="preserve">Consommé</t>
  </si>
  <si>
    <t xml:space="preserve">Disponible</t>
  </si>
  <si>
    <t xml:space="preserve">Conso (%)</t>
  </si>
  <si>
    <t xml:space="preserve">Avancement physique</t>
  </si>
  <si>
    <t xml:space="preserve">Écart phys/fin</t>
  </si>
  <si>
    <t xml:space="preserve">Statut financier</t>
  </si>
  <si>
    <t xml:space="preserve">Alertes</t>
  </si>
  <si>
    <t xml:space="preserve">EQUIFILLES (FoSIR)</t>
  </si>
  <si>
    <t xml:space="preserve">2. SUIVI BUDGÉTAIRE PAR OUTPUT / VOLET</t>
  </si>
  <si>
    <t xml:space="preserve">Output / Volet</t>
  </si>
  <si>
    <t xml:space="preserve">Budget prévu</t>
  </si>
  <si>
    <t xml:space="preserve">% Conso</t>
  </si>
  <si>
    <t xml:space="preserve">Activités</t>
  </si>
  <si>
    <t xml:space="preserve">Activ. terminées</t>
  </si>
  <si>
    <t xml:space="preserve">Avancement</t>
  </si>
  <si>
    <t xml:space="preserve">Écart</t>
  </si>
  <si>
    <t xml:space="preserve">S2L</t>
  </si>
  <si>
    <t xml:space="preserve">3. ARTICULATION AVEC LE LOGICIEL COMPTABLE SYCEBNL</t>
  </si>
  <si>
    <t xml:space="preserve">• Mode autonome</t>
  </si>
  <si>
    <t xml:space="preserve">Saisir manuellement le Budget consommé dans la colonne P des onglets Gantt à partir des justificatifs comptables.</t>
  </si>
  <si>
    <t xml:space="preserve">• Mode articulé futur</t>
  </si>
  <si>
    <t xml:space="preserve">Une fois le SYCEBNL acquis (A.DCO.5) et opérationnel, prévoir un export mensuel des écritures par projet et code activité.</t>
  </si>
  <si>
    <t xml:space="preserve">• Codification</t>
  </si>
  <si>
    <t xml:space="preserve">Demander au comptable d'utiliser les codes activité (A1.1.1, I.0.SAL.1, etc.) comme axe analytique dans le SYCEBNL.</t>
  </si>
  <si>
    <t xml:space="preserve">• Périodicité d'import</t>
  </si>
  <si>
    <t xml:space="preserve">Mensuelle, après clôture comptable. Vérifier la cohérence entre Excel et SYCEBNL en fin de mois.</t>
  </si>
  <si>
    <t xml:space="preserve">• Pièces justificatives</t>
  </si>
  <si>
    <t xml:space="preserve">Conserver toutes les pièces avec référence claire au code activité.</t>
  </si>
  <si>
    <t xml:space="preserve">SUIVI DES DÉCAISSEMENTS BAILLEURS</t>
  </si>
  <si>
    <t xml:space="preserve">Suivi des tranches reçues des bailleurs (FoSIR pour EQUIFILLES, Plan International pour S2L) et de la trésorerie projet.</t>
  </si>
  <si>
    <t xml:space="preserve">#</t>
  </si>
  <si>
    <t xml:space="preserve">Bailleur</t>
  </si>
  <si>
    <t xml:space="preserve">Tranche</t>
  </si>
  <si>
    <t xml:space="preserve">Date prévue</t>
  </si>
  <si>
    <t xml:space="preserve">Date reçue</t>
  </si>
  <si>
    <t xml:space="preserve">Montant prévu (FCFA)</t>
  </si>
  <si>
    <t xml:space="preserve">Montant reçu (FCFA)</t>
  </si>
  <si>
    <t xml:space="preserve">FoSIR / GFA</t>
  </si>
  <si>
    <t xml:space="preserve">Tranche 1 (Avance)</t>
  </si>
  <si>
    <t xml:space="preserve">Tranche 2</t>
  </si>
  <si>
    <t xml:space="preserve">Tranche 3 (Solde)</t>
  </si>
  <si>
    <t xml:space="preserve">Plan International</t>
  </si>
  <si>
    <t xml:space="preserve">Tranche An1</t>
  </si>
  <si>
    <t xml:space="preserve">Tranche An2</t>
  </si>
  <si>
    <t xml:space="preserve">Tranche An3 (Solde)</t>
  </si>
  <si>
    <t xml:space="preserve">TOTAL EQUIFILLES</t>
  </si>
  <si>
    <t xml:space="preserve">TOTAL SPACE TO LEAD</t>
  </si>
  <si>
    <t xml:space="preserve">SYNTHÈSE TRÉSORERIE — Décaissements vs Consommation</t>
  </si>
  <si>
    <t xml:space="preserve">Reçu (cumul)</t>
  </si>
  <si>
    <t xml:space="preserve">Consommé (cumul)</t>
  </si>
  <si>
    <t xml:space="preserve">Solde disponible</t>
  </si>
  <si>
    <t xml:space="preserve">% Utilisation</t>
  </si>
  <si>
    <t xml:space="preserve">ALERTES ET RAPPORTS DE PILOTAGE</t>
  </si>
  <si>
    <t xml:space="preserve">Vue centralisée des activités à risque, des échéances proches et des indicateurs en retard. Mise à jour automatique.</t>
  </si>
  <si>
    <t xml:space="preserve">1. COMPTEURS D'ALERTES</t>
  </si>
  <si>
    <t xml:space="preserve">🔴 Activités CRITIQUES</t>
  </si>
  <si>
    <t xml:space="preserve">🟧 Activités EN RETARD</t>
  </si>
  <si>
    <t xml:space="preserve">🟡 Activités À SURVEILLER</t>
  </si>
  <si>
    <t xml:space="preserve">⚠️ Terminées HORS DÉLAI</t>
  </si>
  <si>
    <t xml:space="preserve">📅 Échéances &lt;= 30 jours</t>
  </si>
  <si>
    <t xml:space="preserve">📆 Échéances DÉPASSÉES non terminées</t>
  </si>
  <si>
    <t xml:space="preserve">2. ACTIVITÉS CRITIQUES — INTERVENTION URGENTE</t>
  </si>
  <si>
    <t xml:space="preserve">Activité</t>
  </si>
  <si>
    <t xml:space="preserve">% réel</t>
  </si>
  <si>
    <t xml:space="preserve">Action</t>
  </si>
  <si>
    <t xml:space="preserve">3. INDICATEURS EN RETARD OU NON DÉMARRÉS — LISTE DÉTAILLÉE</t>
  </si>
  <si>
    <t xml:space="preserve">Action recommandée</t>
  </si>
  <si>
    <t xml:space="preserve">4. PROCHAINES ACTIONS RECOMMANDÉES</t>
  </si>
  <si>
    <t xml:space="preserve">🔴 Si activités CRITIQUES &gt; 0 : convoquer une réunion d'urgence avec les responsables et établir un plan correctif sous 48h.</t>
  </si>
  <si>
    <t xml:space="preserve">🟧 Si activités EN RETARD &gt; 5 : revoir le chronogramme, redistribuer les tâches, alerter le commanditaire.</t>
  </si>
  <si>
    <t xml:space="preserve">📅 Si échéances dépassées non terminées &gt; 0 : marquer comme "Non réalisé" ou prolonger avec justification dans le Gantt.</t>
  </si>
  <si>
    <t xml:space="preserve">📊 Si indicateurs EN RETARD : accélérer les activités du Gantt liées (qui alimentent automatiquement les indicateurs).</t>
  </si>
  <si>
    <t xml:space="preserve">📊 Si indicateurs NON DÉMARRÉS : vérifier que les activités liées dans le Gantt ont bien démarré (saisir % réel &gt; 0).</t>
  </si>
  <si>
    <t xml:space="preserve">✅ Faire un point d'avancement hebdomadaire avec les chefs de projet et coordonnateurs.</t>
  </si>
  <si>
    <t xml:space="preserve">📋 Présenter ce tableau d'alertes à chaque session du Comité de Pilotage (CoPil) trimestriel.</t>
  </si>
  <si>
    <t xml:space="preserve">DONNÉES KOBO — EQUIFILLES</t>
  </si>
  <si>
    <t xml:space="preserve">ZONE D'ATTERRISSAGE DES DONNÉES KOBOCOLLECT — Collez ici les exports KoboToolbox (une ligne = une soumission). Colonnes O à U = désagrégation et preuves. La colonne I (valeur) et C (code) alimentent les indicateurs.</t>
  </si>
  <si>
    <t xml:space="preserve">MODE D'EMPLOI</t>
  </si>
  <si>
    <t xml:space="preserve">1. Dans KoboToolbox, exportez les données du formulaire au format Excel (XLSX).</t>
  </si>
  <si>
    <t xml:space="preserve">2. Ouvrez l'export, sélectionnez toutes les lignes de données (sans l'en-tête).</t>
  </si>
  <si>
    <t xml:space="preserve">3. Collez-les ici à partir de la ligne 9 (collage en valeurs : Ctrl+Maj+V).</t>
  </si>
  <si>
    <t xml:space="preserve">4. Vérifiez que le code indicateur (colonne C) est bien renseigné pour chaque ligne.</t>
  </si>
  <si>
    <t xml:space="preserve">▼ LIGNE GUIDE : chaque cellule orange indique le nom EXACT de la colonne Kobo à coller dessous. Survolez une cellule orange pour voir l'instruction détaillée. Collez vos données à partir de la ligne 13.</t>
  </si>
  <si>
    <t xml:space="preserve">Kobo: _index</t>
  </si>
  <si>
    <t xml:space="preserve">Kobo: code_ind</t>
  </si>
  <si>
    <t xml:space="preserve">Kobo: (nom du formulaire)</t>
  </si>
  <si>
    <t xml:space="preserve">Kobo: date_collecte</t>
  </si>
  <si>
    <t xml:space="preserve">Kobo: commune</t>
  </si>
  <si>
    <t xml:space="preserve">Kobo: ecole</t>
  </si>
  <si>
    <t xml:space="preserve">Kobo: enqueteur</t>
  </si>
  <si>
    <t xml:space="preserve">Kobo: valeur</t>
  </si>
  <si>
    <t xml:space="preserve">Kobo: sexe</t>
  </si>
  <si>
    <t xml:space="preserve">Kobo: categorie</t>
  </si>
  <si>
    <t xml:space="preserve">Kobo: (unité)</t>
  </si>
  <si>
    <t xml:space="preserve">Kobo: (statut)</t>
  </si>
  <si>
    <t xml:space="preserve">Kobo: observations</t>
  </si>
  <si>
    <t xml:space="preserve">Kobo: tranche_age</t>
  </si>
  <si>
    <t xml:space="preserve">Kobo: handicap / type_handicap</t>
  </si>
  <si>
    <t xml:space="preserve">Kobo: statut_vuln / vulnerabilite</t>
  </si>
  <si>
    <t xml:space="preserve">Kobo: score_avant</t>
  </si>
  <si>
    <t xml:space="preserve">Kobo: score_apres</t>
  </si>
  <si>
    <t xml:space="preserve">Kobo: gps</t>
  </si>
  <si>
    <t xml:space="preserve">Kobo: photo_site / photo_liste</t>
  </si>
  <si>
    <t xml:space="preserve">N° soumission</t>
  </si>
  <si>
    <t xml:space="preserve">Code indicateur</t>
  </si>
  <si>
    <t xml:space="preserve">Formulaire source</t>
  </si>
  <si>
    <t xml:space="preserve">Date de collecte</t>
  </si>
  <si>
    <t xml:space="preserve">Commune / Localité</t>
  </si>
  <si>
    <t xml:space="preserve">École / Site</t>
  </si>
  <si>
    <t xml:space="preserve">Enquêteur</t>
  </si>
  <si>
    <t xml:space="preserve">Valeur numérique</t>
  </si>
  <si>
    <t xml:space="preserve">Sexe (F/H)</t>
  </si>
  <si>
    <t xml:space="preserve">Catégorie / Détail</t>
  </si>
  <si>
    <t xml:space="preserve">Statut donnée</t>
  </si>
  <si>
    <t xml:space="preserve">Commentaire</t>
  </si>
  <si>
    <t xml:space="preserve">Tranche d'âge</t>
  </si>
  <si>
    <t xml:space="preserve">Handicap</t>
  </si>
  <si>
    <t xml:space="preserve">Vulnérabilité</t>
  </si>
  <si>
    <t xml:space="preserve">Score avant (/20)</t>
  </si>
  <si>
    <t xml:space="preserve">Score après (/20)</t>
  </si>
  <si>
    <t xml:space="preserve">GPS (lat, lon)</t>
  </si>
  <si>
    <t xml:space="preserve">Photo (lien/nom)</t>
  </si>
  <si>
    <t xml:space="preserve">DONNÉES KOBO — SPACE TO LEAD</t>
  </si>
  <si>
    <t xml:space="preserve">TÉMOIGNAGES ET INCIDENTS — Données qualitatives (formulaire F8)</t>
  </si>
  <si>
    <t xml:space="preserve">Zone d'atterrissage du formulaire F8. Collez ici les exports Kobo du formulaire Témoignages et incidents. Les incidents sont CONFIDENTIELS — accès à restreindre aux personnes habilitées.</t>
  </si>
  <si>
    <t xml:space="preserve">Témoignages enregistrés</t>
  </si>
  <si>
    <t xml:space="preserve">Incidents signalés</t>
  </si>
  <si>
    <t xml:space="preserve">Incidents à traiter</t>
  </si>
  <si>
    <t xml:space="preserve">Collez les données du formulaire F8 à partir de la ligne 13. Colonnes communes B-G, puis colonnes témoignage (H-J) OU colonnes incident (K-M) selon le type de fiche.</t>
  </si>
  <si>
    <t xml:space="preserve">Kobo: type_fiche</t>
  </si>
  <si>
    <t xml:space="preserve">Kobo: commune / ecole</t>
  </si>
  <si>
    <t xml:space="preserve">Kobo: domaine</t>
  </si>
  <si>
    <t xml:space="preserve">Kobo: sexe_temoin + age_temoin</t>
  </si>
  <si>
    <t xml:space="preserve">Kobo: recit / description_inc</t>
  </si>
  <si>
    <t xml:space="preserve">Kobo: citation</t>
  </si>
  <si>
    <t xml:space="preserve">Kobo: consent_temoin</t>
  </si>
  <si>
    <t xml:space="preserve">Kobo: statut_inc</t>
  </si>
  <si>
    <t xml:space="preserve">Kobo: gravite</t>
  </si>
  <si>
    <t xml:space="preserve">Kobo: structure_ref</t>
  </si>
  <si>
    <t xml:space="preserve">Type de fiche</t>
  </si>
  <si>
    <t xml:space="preserve">Date</t>
  </si>
  <si>
    <t xml:space="preserve">Commune / Site</t>
  </si>
  <si>
    <t xml:space="preserve">Domaine du changement</t>
  </si>
  <si>
    <t xml:space="preserve">Sexe / Âge</t>
  </si>
  <si>
    <t xml:space="preserve">Récit / Description</t>
  </si>
  <si>
    <t xml:space="preserve">Citation marquante</t>
  </si>
  <si>
    <t xml:space="preserve">Consentement diffusion</t>
  </si>
  <si>
    <t xml:space="preserve">Statut incident</t>
  </si>
  <si>
    <t xml:space="preserve">Gravité</t>
  </si>
  <si>
    <t xml:space="preserve">Référé à / Structure</t>
  </si>
  <si>
    <t xml:space="preserve">MODE D'EMPLOI DU COLLAGE DES DONNÉES KOBO</t>
  </si>
  <si>
    <t xml:space="preserve">Tableau de correspondance entre les champs des formulaires KoboCollect et les colonnes des onglets d'atterrissage.</t>
  </si>
  <si>
    <t xml:space="preserve">PROCÉDURE EN 5 ÉTAPES</t>
  </si>
  <si>
    <t xml:space="preserve">1. Dans KoboToolbox, exporter les données du formulaire au format XLSX (valeurs XML, pas les libellés).</t>
  </si>
  <si>
    <t xml:space="preserve">2. Ouvrir l'export : la 1ère ligne contient les noms techniques des champs (code_ind, date_collecte...).</t>
  </si>
  <si>
    <t xml:space="preserve">3. Ouvrir l'onglet d'atterrissage correspondant (K1, K2 ou K5) et regarder la LIGNE GUIDE orange (ligne 11).</t>
  </si>
  <si>
    <t xml:space="preserve">4. Pour chaque colonne Kobo, repérer la colonne du fichier qui porte le même nom technique, et y coller les données (à partir de la ligne 13).</t>
  </si>
  <si>
    <t xml:space="preserve">5. Vérifier que la colonne "Code indicateur" (C) est bien remplie partout — sans elle, la donnée n'est pas comptée.</t>
  </si>
  <si>
    <t xml:space="preserve">CORRESPONDANCE — Onglets K1 (EQUIFILLES) et K2 (S2L) — formulaires F1 à F7</t>
  </si>
  <si>
    <t xml:space="preserve">Colonne du fichier</t>
  </si>
  <si>
    <t xml:space="preserve">Champ Kobo (nom technique)</t>
  </si>
  <si>
    <t xml:space="preserve">Contenu attendu</t>
  </si>
  <si>
    <t xml:space="preserve">Remarque</t>
  </si>
  <si>
    <t xml:space="preserve">Colonne B</t>
  </si>
  <si>
    <t xml:space="preserve">_index</t>
  </si>
  <si>
    <t xml:space="preserve">N° auto de la soumission</t>
  </si>
  <si>
    <t xml:space="preserve">Colonne C</t>
  </si>
  <si>
    <t xml:space="preserve">code_ind</t>
  </si>
  <si>
    <t xml:space="preserve">Code indicateur (OBLIGATOIRE)</t>
  </si>
  <si>
    <t xml:space="preserve">CLÉ DU SYSTÈME — sans code, pas de calcul</t>
  </si>
  <si>
    <t xml:space="preserve">Colonne D</t>
  </si>
  <si>
    <t xml:space="preserve">(nom du formulaire)</t>
  </si>
  <si>
    <t xml:space="preserve">Nom du formulaire source : F1, F2...</t>
  </si>
  <si>
    <t xml:space="preserve">À saisir à la main si non exporté par Kobo</t>
  </si>
  <si>
    <t xml:space="preserve">Colonne E</t>
  </si>
  <si>
    <t xml:space="preserve">date_collecte</t>
  </si>
  <si>
    <t xml:space="preserve">Date de la collecte</t>
  </si>
  <si>
    <t xml:space="preserve">Colonne F</t>
  </si>
  <si>
    <t xml:space="preserve">commune</t>
  </si>
  <si>
    <t xml:space="preserve">Colonne G</t>
  </si>
  <si>
    <t xml:space="preserve">ecole</t>
  </si>
  <si>
    <t xml:space="preserve">Colonne H</t>
  </si>
  <si>
    <t xml:space="preserve">enqueteur</t>
  </si>
  <si>
    <t xml:space="preserve">Nom de l'enquêteur</t>
  </si>
  <si>
    <t xml:space="preserve">Colonne I</t>
  </si>
  <si>
    <t xml:space="preserve">valeur</t>
  </si>
  <si>
    <t xml:space="preserve">Valeur numérique (ALIMENTE l'indicateur)</t>
  </si>
  <si>
    <t xml:space="preserve">CLÉ DU SYSTÈME — c'est cette valeur qui alimente l'indicateur</t>
  </si>
  <si>
    <t xml:space="preserve">Colonne J</t>
  </si>
  <si>
    <t xml:space="preserve">sexe</t>
  </si>
  <si>
    <t xml:space="preserve">Sexe F / H</t>
  </si>
  <si>
    <t xml:space="preserve">Colonne K</t>
  </si>
  <si>
    <t xml:space="preserve">categorie</t>
  </si>
  <si>
    <t xml:space="preserve">Catégorie / type de participant</t>
  </si>
  <si>
    <t xml:space="preserve">Colonne L</t>
  </si>
  <si>
    <t xml:space="preserve">(unité)</t>
  </si>
  <si>
    <t xml:space="preserve">Unité : Nb, %, etc.</t>
  </si>
  <si>
    <t xml:space="preserve">À saisir à la main si besoin</t>
  </si>
  <si>
    <t xml:space="preserve">Colonne M</t>
  </si>
  <si>
    <t xml:space="preserve">(statut)</t>
  </si>
  <si>
    <t xml:space="preserve">Statut de la donnée (validée, à vérifier)</t>
  </si>
  <si>
    <t xml:space="preserve">À saisir à la main (contrôle qualité)</t>
  </si>
  <si>
    <t xml:space="preserve">Colonne N</t>
  </si>
  <si>
    <t xml:space="preserve">observations</t>
  </si>
  <si>
    <t xml:space="preserve">Commentaire / observations</t>
  </si>
  <si>
    <t xml:space="preserve">Colonne O</t>
  </si>
  <si>
    <t xml:space="preserve">tranche_age</t>
  </si>
  <si>
    <t xml:space="preserve">Colonne P</t>
  </si>
  <si>
    <t xml:space="preserve">handicap / type_handicap</t>
  </si>
  <si>
    <t xml:space="preserve">Situation de handicap</t>
  </si>
  <si>
    <t xml:space="preserve">Colonne Q</t>
  </si>
  <si>
    <t xml:space="preserve">statut_vuln / vulnerabilite</t>
  </si>
  <si>
    <t xml:space="preserve">Situation de vulnérabilité</t>
  </si>
  <si>
    <t xml:space="preserve">Colonne R</t>
  </si>
  <si>
    <t xml:space="preserve">score_avant</t>
  </si>
  <si>
    <t xml:space="preserve">Score test AVANT (sur 20) — F1 uniquement</t>
  </si>
  <si>
    <t xml:space="preserve">Vide pour les formulaires autres que F1</t>
  </si>
  <si>
    <t xml:space="preserve">Colonne S</t>
  </si>
  <si>
    <t xml:space="preserve">score_apres</t>
  </si>
  <si>
    <t xml:space="preserve">Score test APRÈS (sur 20) — F1 uniquement</t>
  </si>
  <si>
    <t xml:space="preserve">Colonne T</t>
  </si>
  <si>
    <t xml:space="preserve">gps</t>
  </si>
  <si>
    <t xml:space="preserve">Coordonnées GPS (lat, lon)</t>
  </si>
  <si>
    <t xml:space="preserve">Colonne U</t>
  </si>
  <si>
    <t xml:space="preserve">photo_site / photo_liste</t>
  </si>
  <si>
    <t xml:space="preserve">Nom ou lien du fichier photo</t>
  </si>
  <si>
    <t xml:space="preserve">CORRESPONDANCE — Onglet K5 (Témoignages &amp; Incidents) — formulaire F8</t>
  </si>
  <si>
    <t xml:space="preserve">type_fiche</t>
  </si>
  <si>
    <t xml:space="preserve">Type : Témoignage OU Incident (OBLIGATOIRE)</t>
  </si>
  <si>
    <t xml:space="preserve">CLÉ — détermine si la fiche est un témoignage ou un incident</t>
  </si>
  <si>
    <t xml:space="preserve">Date de l'enregistrement</t>
  </si>
  <si>
    <t xml:space="preserve">commune / ecole</t>
  </si>
  <si>
    <t xml:space="preserve">Commune et/ou site concerné</t>
  </si>
  <si>
    <t xml:space="preserve">domaine</t>
  </si>
  <si>
    <t xml:space="preserve">Domaine du changement (témoignage)</t>
  </si>
  <si>
    <t xml:space="preserve">sexe_temoin + age_temoin</t>
  </si>
  <si>
    <t xml:space="preserve">Sexe et âge de la personne</t>
  </si>
  <si>
    <t xml:space="preserve">recit / description_inc</t>
  </si>
  <si>
    <t xml:space="preserve">Récit du changement OU description des faits</t>
  </si>
  <si>
    <t xml:space="preserve">Champ rempli selon le type de fiche</t>
  </si>
  <si>
    <t xml:space="preserve">citation</t>
  </si>
  <si>
    <t xml:space="preserve">Citation marquante (témoignage)</t>
  </si>
  <si>
    <t xml:space="preserve">consent_temoin</t>
  </si>
  <si>
    <t xml:space="preserve">Consentement à la diffusion (Oui/Non)</t>
  </si>
  <si>
    <t xml:space="preserve">statut_inc</t>
  </si>
  <si>
    <t xml:space="preserve">Statut de traitement de l'incident</t>
  </si>
  <si>
    <t xml:space="preserve">Rempli uniquement pour les incidents</t>
  </si>
  <si>
    <t xml:space="preserve">gravite</t>
  </si>
  <si>
    <t xml:space="preserve">Niveau de gravité de l'incident</t>
  </si>
  <si>
    <t xml:space="preserve">structure_ref</t>
  </si>
  <si>
    <t xml:space="preserve">Structure de référencement de l'incident</t>
  </si>
  <si>
    <t xml:space="preserve">Rempli uniquement pour les incidents référés</t>
  </si>
  <si>
    <t xml:space="preserve">⚠ IMPORTANT : exporter depuis Kobo en "valeurs XML" et non en "libellés", pour que le code indicateur soit bien "Ind 1.1.1" et non le texte long. Les données du formulaire F8 (incidents) sont confidentielles : restreindre l'accès à l'onglet K5.</t>
  </si>
  <si>
    <t xml:space="preserve">MAQUETTE DES FORMULAIRES KOBOCOLLECT</t>
  </si>
  <si>
    <t xml:space="preserve">Spécifications des 7 formulaires à créer dans KoboToolbox. Chaque champ "Code indicateur" doit correspondre exactement aux codes utilisés dans les onglets Indicateurs.</t>
  </si>
  <si>
    <t xml:space="preserve">F1 — LISTE DE PRÉSENCE / FORMATION</t>
  </si>
  <si>
    <t xml:space="preserve">À utiliser pour : formations, ateliers, forums, séances. Une soumission = un participant.</t>
  </si>
  <si>
    <t xml:space="preserve">Nom du champ (Kobo)</t>
  </si>
  <si>
    <t xml:space="preserve">Libellé de la question</t>
  </si>
  <si>
    <t xml:space="preserve">Type de champ</t>
  </si>
  <si>
    <t xml:space="preserve">Obligatoire ?</t>
  </si>
  <si>
    <t xml:space="preserve">Valeurs / Options</t>
  </si>
  <si>
    <t xml:space="preserve">Correspondance fichier</t>
  </si>
  <si>
    <t xml:space="preserve">debut</t>
  </si>
  <si>
    <t xml:space="preserve">Date de la session</t>
  </si>
  <si>
    <t xml:space="preserve">Obligatoire</t>
  </si>
  <si>
    <t xml:space="preserve">Date du jour</t>
  </si>
  <si>
    <t xml:space="preserve">Renseigner E (date collecte)</t>
  </si>
  <si>
    <t xml:space="preserve">Liste déroulante</t>
  </si>
  <si>
    <t xml:space="preserve">Ind 1.1.1 / Ind 1.1.2 / Ind 1.1.5 / Ind 1.2.1 / Ind 1.3.1 / I.3.1.4.b</t>
  </si>
  <si>
    <t xml:space="preserve">Renseigner C — déterminant</t>
  </si>
  <si>
    <t xml:space="preserve">Texte</t>
  </si>
  <si>
    <t xml:space="preserve">Gogounou, Bagou...</t>
  </si>
  <si>
    <t xml:space="preserve">Renseigner F</t>
  </si>
  <si>
    <t xml:space="preserve">Facultatif</t>
  </si>
  <si>
    <t xml:space="preserve">Nom de l'école</t>
  </si>
  <si>
    <t xml:space="preserve">Renseigner G</t>
  </si>
  <si>
    <t xml:space="preserve">nom_part</t>
  </si>
  <si>
    <t xml:space="preserve">Nom du participant</t>
  </si>
  <si>
    <t xml:space="preserve">Traçabilité</t>
  </si>
  <si>
    <t xml:space="preserve">Sexe</t>
  </si>
  <si>
    <t xml:space="preserve">Choix unique</t>
  </si>
  <si>
    <t xml:space="preserve">F / H</t>
  </si>
  <si>
    <t xml:space="preserve">Renseigner J — clé pour Ind 1.1.5</t>
  </si>
  <si>
    <t xml:space="preserve">Catégorie du participant</t>
  </si>
  <si>
    <t xml:space="preserve">APE/AME / CGS / Élève / Enseignant / Parent</t>
  </si>
  <si>
    <t xml:space="preserve">Renseigner K</t>
  </si>
  <si>
    <t xml:space="preserve">Renseigner H</t>
  </si>
  <si>
    <t xml:space="preserve">Valeur (toujours 1)</t>
  </si>
  <si>
    <t xml:space="preserve">Renseigner I = 1 (mode Comptage)</t>
  </si>
  <si>
    <t xml:space="preserve">F2 — ENQUÊTE DE SATISFACTION</t>
  </si>
  <si>
    <t xml:space="preserve">À utiliser pour : enquêtes de satisfaction parents/élèves/OSC. Une soumission = un répondant.</t>
  </si>
  <si>
    <t xml:space="preserve">Date de l'enquête</t>
  </si>
  <si>
    <t xml:space="preserve">Renseigner E</t>
  </si>
  <si>
    <t xml:space="preserve">Ind 0.2 / Sat.OSC</t>
  </si>
  <si>
    <t xml:space="preserve">Renseigner C</t>
  </si>
  <si>
    <t xml:space="preserve">Sexe du répondant</t>
  </si>
  <si>
    <t xml:space="preserve">Renseigner J</t>
  </si>
  <si>
    <t xml:space="preserve">type_rep</t>
  </si>
  <si>
    <t xml:space="preserve">Type de répondant</t>
  </si>
  <si>
    <t xml:space="preserve">Parent / Élève / Membre OSC</t>
  </si>
  <si>
    <t xml:space="preserve">q_satisf</t>
  </si>
  <si>
    <t xml:space="preserve">Niveau de satisfaction</t>
  </si>
  <si>
    <t xml:space="preserve">1=Très insatisf. ... 5=Très satisf.</t>
  </si>
  <si>
    <t xml:space="preserve">Sert au calcul</t>
  </si>
  <si>
    <t xml:space="preserve">Score converti en %</t>
  </si>
  <si>
    <t xml:space="preserve">Calcul</t>
  </si>
  <si>
    <t xml:space="preserve">q_satisf × 20 (donne 20 à 100)</t>
  </si>
  <si>
    <t xml:space="preserve">Renseigner I (mode Moyenne)</t>
  </si>
  <si>
    <t xml:space="preserve">F3 — DONNÉES SCOLAIRES (ABANDON)</t>
  </si>
  <si>
    <t xml:space="preserve">À utiliser pour : compilation des données d'abandon scolaire par école. Une soumission = une école.</t>
  </si>
  <si>
    <t xml:space="preserve">Date du relevé</t>
  </si>
  <si>
    <t xml:space="preserve">Commune</t>
  </si>
  <si>
    <t xml:space="preserve">Gogounou</t>
  </si>
  <si>
    <t xml:space="preserve">École</t>
  </si>
  <si>
    <t xml:space="preserve">eff_filles</t>
  </si>
  <si>
    <t xml:space="preserve">Effectif filles début année</t>
  </si>
  <si>
    <t xml:space="preserve">Pour le calcul</t>
  </si>
  <si>
    <t xml:space="preserve">abandons_f</t>
  </si>
  <si>
    <t xml:space="preserve">Nb filles ayant abandonné</t>
  </si>
  <si>
    <t xml:space="preserve">Taux abandon filles (%)</t>
  </si>
  <si>
    <t xml:space="preserve">abandons_f / eff_filles × 100</t>
  </si>
  <si>
    <t xml:space="preserve">F4 — SUIVI DES CLUBS SCOLAIRES</t>
  </si>
  <si>
    <t xml:space="preserve">À utiliser pour : suivi des plans d'animation des clubs. Une soumission = un club.</t>
  </si>
  <si>
    <t xml:space="preserve">Date du suivi</t>
  </si>
  <si>
    <t xml:space="preserve">École / Club</t>
  </si>
  <si>
    <t xml:space="preserve">actions_prev</t>
  </si>
  <si>
    <t xml:space="preserve">Nb actions prévues</t>
  </si>
  <si>
    <t xml:space="preserve">actions_real</t>
  </si>
  <si>
    <t xml:space="preserve">Nb actions réalisées</t>
  </si>
  <si>
    <t xml:space="preserve">% actions réalisées</t>
  </si>
  <si>
    <t xml:space="preserve">actions_real / actions_prev × 100</t>
  </si>
  <si>
    <t xml:space="preserve">F5 — SUIVI DES PLANS / RECOMMANDATIONS</t>
  </si>
  <si>
    <t xml:space="preserve">À utiliser pour : suivi de l'intégration des recommandations. Une soumission = une recommandation suivie.</t>
  </si>
  <si>
    <t xml:space="preserve">Ind 1.3.3 / I.3.1.10</t>
  </si>
  <si>
    <t xml:space="preserve">intitule</t>
  </si>
  <si>
    <t xml:space="preserve">Intitulé de la recommandation</t>
  </si>
  <si>
    <t xml:space="preserve">integre</t>
  </si>
  <si>
    <t xml:space="preserve">Recommandation intégrée ?</t>
  </si>
  <si>
    <t xml:space="preserve">Oui / Non</t>
  </si>
  <si>
    <t xml:space="preserve">Ne compter que les "Oui"</t>
  </si>
  <si>
    <t xml:space="preserve">Valeur (1 si intégrée)</t>
  </si>
  <si>
    <t xml:space="preserve">Si integre=Oui alors 1 sinon 0</t>
  </si>
  <si>
    <t xml:space="preserve">Renseigner I</t>
  </si>
  <si>
    <t xml:space="preserve">F6 — DISTRIBUTION DE KITS</t>
  </si>
  <si>
    <t xml:space="preserve">À utiliser pour : distribution kits de dignité. Une soumission = une bénéficiaire.</t>
  </si>
  <si>
    <t xml:space="preserve">Date de distribution</t>
  </si>
  <si>
    <t xml:space="preserve">Zone Nord</t>
  </si>
  <si>
    <t xml:space="preserve">nom_benef</t>
  </si>
  <si>
    <t xml:space="preserve">Nom de la bénéficiaire</t>
  </si>
  <si>
    <t xml:space="preserve">age</t>
  </si>
  <si>
    <t xml:space="preserve">10-14 / 15-19 / 20-24</t>
  </si>
  <si>
    <t xml:space="preserve">Renseigner I (mode Comptage)</t>
  </si>
  <si>
    <t xml:space="preserve">Nom du distributeur</t>
  </si>
  <si>
    <t xml:space="preserve">F7 — AUDIT INTERNE / OBSERVATION</t>
  </si>
  <si>
    <t xml:space="preserve">À utiliser pour : appropriation du manuel SERA, observations qualité. Une soumission = une observation.</t>
  </si>
  <si>
    <t xml:space="preserve">Date de l'audit</t>
  </si>
  <si>
    <t xml:space="preserve">service</t>
  </si>
  <si>
    <t xml:space="preserve">Service / Équipe auditée</t>
  </si>
  <si>
    <t xml:space="preserve">q_appropriation</t>
  </si>
  <si>
    <t xml:space="preserve">Niveau d'appropriation observé</t>
  </si>
  <si>
    <t xml:space="preserve">1=Faible ... 5=Excellent</t>
  </si>
  <si>
    <t xml:space="preserve">q_appropriation × 20</t>
  </si>
  <si>
    <t xml:space="preserve">Nom de l'auditeur</t>
  </si>
  <si>
    <t xml:space="preserve">⚠ IMPORTANT : le champ "Code indicateur" (surligné en jaune) est la clé du système. Il doit être une liste déroulante dans Kobo avec EXACTEMENT les codes indiqués, sinon l'agrégation automatique ne fonctionnera pas.</t>
  </si>
  <si>
    <t xml:space="preserve">PROCÉDURE D'UTILISATION DE KOBOCOLLECT</t>
  </si>
  <si>
    <t xml:space="preserve">Cycle mensuel de collecte et d'intégration des données terrain dans l'outil de pilotage.</t>
  </si>
  <si>
    <t xml:space="preserve">PHASE 1 — PRÉPARATION (une seule fois, au démarrage)</t>
  </si>
  <si>
    <t xml:space="preserve">1.1</t>
  </si>
  <si>
    <t xml:space="preserve">Créer un compte KoboToolbox</t>
  </si>
  <si>
    <t xml:space="preserve">Sur kf.kobotoolbox.org (ou la version humanitaire kobo.humanitarianresponse.info, gratuite pour les ONG).</t>
  </si>
  <si>
    <t xml:space="preserve">1.2</t>
  </si>
  <si>
    <t xml:space="preserve">Créer les 7 formulaires</t>
  </si>
  <si>
    <t xml:space="preserve">À partir de la maquette de l'onglet K3. Reproduire chaque champ avec son type et ses options.</t>
  </si>
  <si>
    <t xml:space="preserve">1.3</t>
  </si>
  <si>
    <t xml:space="preserve">Configurer le champ "Code indicateur"</t>
  </si>
  <si>
    <t xml:space="preserve">En liste déroulante, avec EXACTEMENT les codes de l'onglet K3 (Ind 1.1.1, Ind 0.2, etc.).</t>
  </si>
  <si>
    <t xml:space="preserve">1.4</t>
  </si>
  <si>
    <t xml:space="preserve">Déployer les formulaires</t>
  </si>
  <si>
    <t xml:space="preserve">Les publier et les installer sur les smartphones des enquêteurs via l'application KoboCollect (Android).</t>
  </si>
  <si>
    <t xml:space="preserve">1.5</t>
  </si>
  <si>
    <t xml:space="preserve">Former les enquêteurs</t>
  </si>
  <si>
    <t xml:space="preserve">Expliquer quel formulaire utiliser pour quelle activité et l'importance du code indicateur.</t>
  </si>
  <si>
    <t xml:space="preserve">PHASE 2 — COLLECTE TERRAIN (en continu)</t>
  </si>
  <si>
    <t xml:space="preserve">2.1</t>
  </si>
  <si>
    <t xml:space="preserve">Collecter sur le terrain</t>
  </si>
  <si>
    <t xml:space="preserve">Les enquêteurs remplissent les formulaires sur smartphone, même sans connexion internet.</t>
  </si>
  <si>
    <t xml:space="preserve">2.2</t>
  </si>
  <si>
    <t xml:space="preserve">Synchroniser les données</t>
  </si>
  <si>
    <t xml:space="preserve">Dès qu'une connexion est disponible, envoyer les soumissions vers le serveur KoboToolbox.</t>
  </si>
  <si>
    <t xml:space="preserve">PHASE 3 — INTÉGRATION MENSUELLE (chaque fin de mois)</t>
  </si>
  <si>
    <t xml:space="preserve">3.1</t>
  </si>
  <si>
    <t xml:space="preserve">Exporter depuis KoboToolbox</t>
  </si>
  <si>
    <t xml:space="preserve">Dans chaque formulaire : onglet DATA &gt; Downloads &gt; exporter en XLSX. Choisir "XLS" et inclure toutes les soumissions.</t>
  </si>
  <si>
    <t xml:space="preserve">3.2</t>
  </si>
  <si>
    <t xml:space="preserve">Ouvrir l'export</t>
  </si>
  <si>
    <t xml:space="preserve">Vérifier que les colonnes correspondent : date, code indicateur, commune, valeur, sexe, etc.</t>
  </si>
  <si>
    <t xml:space="preserve">3.3</t>
  </si>
  <si>
    <t xml:space="preserve">Copier les lignes de données</t>
  </si>
  <si>
    <t xml:space="preserve">Sélectionner toutes les lignes SANS l'en-tête. Copier (Ctrl+C).</t>
  </si>
  <si>
    <t xml:space="preserve">3.4</t>
  </si>
  <si>
    <t xml:space="preserve">Coller dans l'onglet Données Kobo</t>
  </si>
  <si>
    <t xml:space="preserve">Onglet K1 (EQUIFILLES) ou K2 (S2L), à partir de la ligne 13. Coller en VALEURS (Ctrl+Maj+V).</t>
  </si>
  <si>
    <t xml:space="preserve">3.5</t>
  </si>
  <si>
    <t xml:space="preserve">Vérifier la colonne C (code indicateur)</t>
  </si>
  <si>
    <t xml:space="preserve">S'assurer que chaque ligne a un code valide. Sans code, la donnée ne sera pas comptée.</t>
  </si>
  <si>
    <t xml:space="preserve">3.6</t>
  </si>
  <si>
    <t xml:space="preserve">Contrôler la mise à jour automatique</t>
  </si>
  <si>
    <t xml:space="preserve">Vérifier l'onglet Collecte (7 ou 12) : les valeurs se sont mises à jour. Puis l'onglet Indicateurs.</t>
  </si>
  <si>
    <t xml:space="preserve">PHASE 4 — VÉRIFICATION ET RAPPORT</t>
  </si>
  <si>
    <t xml:space="preserve">4.1</t>
  </si>
  <si>
    <t xml:space="preserve">Croiser avec le terrain</t>
  </si>
  <si>
    <t xml:space="preserve">Vérifier la cohérence des valeurs agrégées avec ce que les équipes constatent sur le terrain.</t>
  </si>
  <si>
    <t xml:space="preserve">4.2</t>
  </si>
  <si>
    <t xml:space="preserve">Consulter l'onglet Alertes</t>
  </si>
  <si>
    <t xml:space="preserve">Identifier les indicateurs en retard et planifier les actions correctives.</t>
  </si>
  <si>
    <t xml:space="preserve">4.3</t>
  </si>
  <si>
    <t xml:space="preserve">Archiver l'export Kobo</t>
  </si>
  <si>
    <t xml:space="preserve">Conserver le fichier d'export mensuel dans un dossier dédié (traçabilité, audit bailleur).</t>
  </si>
  <si>
    <t xml:space="preserve">💡 CONSEIL : faites un premier test complet avec quelques soumissions fictives avant le déploiement réel, pour vérifier que toute la chaîne fonctionne (Kobo → onglet K1/K2 → Collecte → Indicateurs).</t>
  </si>
  <si>
    <t xml:space="preserve">Code activite</t>
  </si>
  <si>
    <t xml:space="preserve">Activite</t>
  </si>
  <si>
    <t xml:space="preserve">Categorie</t>
  </si>
  <si>
    <t xml:space="preserve">Criticite</t>
  </si>
  <si>
    <t xml:space="preserve">Date debut prevue</t>
  </si>
  <si>
    <t xml:space="preserve">Date fin prevue</t>
  </si>
  <si>
    <t xml:space="preserve">Date fin reelle</t>
  </si>
  <si>
    <t xml:space="preserve">Pourcentage prevu</t>
  </si>
  <si>
    <t xml:space="preserve">Pourcentage reel</t>
  </si>
  <si>
    <t xml:space="preserve">Budget prevu</t>
  </si>
  <si>
    <t xml:space="preserve">Budget consomme</t>
  </si>
  <si>
    <t xml:space="preserve">Note</t>
  </si>
  <si>
    <t xml:space="preserve">Quantite cible</t>
  </si>
  <si>
    <t xml:space="preserve">Quantite realisee</t>
  </si>
  <si>
    <t xml:space="preserve">Niveau/Volet</t>
  </si>
  <si>
    <t xml:space="preserve">Valeur cumulee</t>
  </si>
  <si>
    <t xml:space="preserve">Pourcentage atteinte</t>
  </si>
  <si>
    <t xml:space="preserve">Total activites</t>
  </si>
  <si>
    <t xml:space="preserve">Activites EQUIFILLES</t>
  </si>
  <si>
    <t xml:space="preserve">Activites S2L</t>
  </si>
  <si>
    <t xml:space="preserve">Score consolide</t>
  </si>
  <si>
    <t xml:space="preserve">Activites critiques</t>
  </si>
  <si>
    <t xml:space="preserve">Activites en retard</t>
  </si>
  <si>
    <t xml:space="preserve">Activites terminees</t>
  </si>
  <si>
    <t xml:space="preserve">Date prevue</t>
  </si>
  <si>
    <t xml:space="preserve">Date recue</t>
  </si>
  <si>
    <t xml:space="preserve">Montant prevu</t>
  </si>
  <si>
    <t xml:space="preserve">Montant recu</t>
  </si>
  <si>
    <t xml:space="preserve">Commune/Site</t>
  </si>
  <si>
    <t xml:space="preserve">Domaine</t>
  </si>
  <si>
    <t xml:space="preserve">Sexe/Age</t>
  </si>
  <si>
    <t xml:space="preserve">Recit/Description</t>
  </si>
  <si>
    <t xml:space="preserve">Citation</t>
  </si>
  <si>
    <t xml:space="preserve">Consentement</t>
  </si>
  <si>
    <t xml:space="preserve">Gravite</t>
  </si>
  <si>
    <t xml:space="preserve">Structure reference</t>
  </si>
</sst>
</file>

<file path=xl/styles.xml><?xml version="1.0" encoding="utf-8"?>
<styleSheet xmlns="http://schemas.openxmlformats.org/spreadsheetml/2006/main">
  <numFmts count="11">
    <numFmt numFmtId="164" formatCode="General"/>
    <numFmt numFmtId="165" formatCode="0"/>
    <numFmt numFmtId="166" formatCode="0%"/>
    <numFmt numFmtId="167" formatCode="#,##0"/>
    <numFmt numFmtId="168" formatCode="0.0%"/>
    <numFmt numFmtId="169" formatCode="dd/mm/yyyy"/>
    <numFmt numFmtId="170" formatCode="0\%"/>
    <numFmt numFmtId="171" formatCode="General"/>
    <numFmt numFmtId="172" formatCode="0.0"/>
    <numFmt numFmtId="173" formatCode="0.00"/>
    <numFmt numFmtId="174" formatCode="yyyy\-mm\-dd"/>
  </numFmts>
  <fonts count="57">
    <font>
      <sz val="11"/>
      <color theme="1"/>
      <name val="Calibri"/>
      <family val="2"/>
      <charset val="1"/>
    </font>
    <font>
      <sz val="10"/>
      <name val="Arial"/>
      <family val="0"/>
    </font>
    <font>
      <sz val="10"/>
      <name val="Arial"/>
      <family val="0"/>
    </font>
    <font>
      <sz val="10"/>
      <name val="Arial"/>
      <family val="0"/>
    </font>
    <font>
      <b val="true"/>
      <sz val="20"/>
      <color rgb="FF1F3864"/>
      <name val="Calibri"/>
      <family val="0"/>
      <charset val="1"/>
    </font>
    <font>
      <i val="true"/>
      <sz val="12"/>
      <color rgb="FF2E75B6"/>
      <name val="Calibri"/>
      <family val="0"/>
      <charset val="1"/>
    </font>
    <font>
      <b val="true"/>
      <sz val="11"/>
      <color rgb="FFFFFFFF"/>
      <name val="Calibri"/>
      <family val="0"/>
      <charset val="1"/>
    </font>
    <font>
      <b val="true"/>
      <sz val="10"/>
      <color rgb="FF000000"/>
      <name val="Calibri"/>
      <family val="0"/>
      <charset val="1"/>
    </font>
    <font>
      <sz val="10"/>
      <color rgb="FF000000"/>
      <name val="Calibri"/>
      <family val="0"/>
      <charset val="1"/>
    </font>
    <font>
      <b val="true"/>
      <sz val="11"/>
      <color rgb="FF1F3864"/>
      <name val="Calibri"/>
      <family val="0"/>
      <charset val="1"/>
    </font>
    <font>
      <b val="true"/>
      <sz val="12"/>
      <color rgb="FFFFFFFF"/>
      <name val="Calibri"/>
      <family val="0"/>
      <charset val="1"/>
    </font>
    <font>
      <i val="true"/>
      <sz val="9"/>
      <color rgb="FF2E75B6"/>
      <name val="Calibri"/>
      <family val="0"/>
      <charset val="1"/>
    </font>
    <font>
      <b val="true"/>
      <sz val="12"/>
      <color rgb="FF1F3864"/>
      <name val="Calibri"/>
      <family val="0"/>
      <charset val="1"/>
    </font>
    <font>
      <b val="true"/>
      <sz val="12"/>
      <color rgb="FF385723"/>
      <name val="Calibri"/>
      <family val="0"/>
      <charset val="1"/>
    </font>
    <font>
      <b val="true"/>
      <sz val="12"/>
      <color rgb="FFED7D31"/>
      <name val="Calibri"/>
      <family val="0"/>
      <charset val="1"/>
    </font>
    <font>
      <b val="true"/>
      <sz val="12"/>
      <color rgb="FFC00000"/>
      <name val="Calibri"/>
      <family val="0"/>
      <charset val="1"/>
    </font>
    <font>
      <b val="true"/>
      <sz val="12"/>
      <color rgb="FF2E75B6"/>
      <name val="Calibri"/>
      <family val="0"/>
      <charset val="1"/>
    </font>
    <font>
      <b val="true"/>
      <sz val="12"/>
      <color rgb="FF548235"/>
      <name val="Calibri"/>
      <family val="0"/>
      <charset val="1"/>
    </font>
    <font>
      <b val="true"/>
      <sz val="9"/>
      <name val="Cambria"/>
      <family val="0"/>
      <charset val="1"/>
    </font>
    <font>
      <sz val="10"/>
      <name val="Calibri"/>
      <family val="0"/>
      <charset val="1"/>
    </font>
    <font>
      <b val="true"/>
      <sz val="18"/>
      <color rgb="FF000000"/>
      <name val="Calibri"/>
      <family val="2"/>
    </font>
    <font>
      <b val="true"/>
      <sz val="16"/>
      <color rgb="FF1F3864"/>
      <name val="Calibri"/>
      <family val="0"/>
      <charset val="1"/>
    </font>
    <font>
      <b val="true"/>
      <sz val="16"/>
      <color rgb="FF7030A0"/>
      <name val="Calibri"/>
      <family val="0"/>
      <charset val="1"/>
    </font>
    <font>
      <i val="true"/>
      <sz val="10"/>
      <color rgb="FF2E75B6"/>
      <name val="Calibri"/>
      <family val="0"/>
      <charset val="1"/>
    </font>
    <font>
      <b val="true"/>
      <sz val="16"/>
      <color rgb="FFC00000"/>
      <name val="Calibri"/>
      <family val="0"/>
      <charset val="1"/>
    </font>
    <font>
      <b val="true"/>
      <sz val="16"/>
      <color rgb="FFBF8F00"/>
      <name val="Calibri"/>
      <family val="0"/>
      <charset val="1"/>
    </font>
    <font>
      <b val="true"/>
      <sz val="10"/>
      <color rgb="FFC00000"/>
      <name val="Calibri"/>
      <family val="0"/>
      <charset val="1"/>
    </font>
    <font>
      <b val="true"/>
      <sz val="16"/>
      <color rgb="FF385723"/>
      <name val="Calibri"/>
      <family val="0"/>
      <charset val="1"/>
    </font>
    <font>
      <b val="true"/>
      <i val="true"/>
      <sz val="10"/>
      <color rgb="FFC00000"/>
      <name val="Calibri"/>
      <family val="0"/>
      <charset val="1"/>
    </font>
    <font>
      <b val="true"/>
      <i val="true"/>
      <sz val="10"/>
      <color rgb="FF7030A0"/>
      <name val="Calibri"/>
      <family val="0"/>
      <charset val="1"/>
    </font>
    <font>
      <b val="true"/>
      <sz val="16"/>
      <color rgb="FFC65911"/>
      <name val="Calibri"/>
      <family val="0"/>
      <charset val="1"/>
    </font>
    <font>
      <b val="true"/>
      <sz val="16"/>
      <color rgb="FF00B050"/>
      <name val="Calibri"/>
      <family val="0"/>
      <charset val="1"/>
    </font>
    <font>
      <b val="true"/>
      <sz val="10"/>
      <color rgb="FF00B050"/>
      <name val="Calibri"/>
      <family val="0"/>
      <charset val="1"/>
    </font>
    <font>
      <b val="true"/>
      <i val="true"/>
      <sz val="10"/>
      <color rgb="FF00B050"/>
      <name val="Calibri"/>
      <family val="0"/>
      <charset val="1"/>
    </font>
    <font>
      <b val="true"/>
      <sz val="16"/>
      <color rgb="FF0E4F66"/>
      <name val="Calibri"/>
      <family val="0"/>
      <charset val="1"/>
    </font>
    <font>
      <b val="true"/>
      <sz val="16"/>
      <color rgb="FF548235"/>
      <name val="Calibri"/>
      <family val="0"/>
      <charset val="1"/>
    </font>
    <font>
      <b val="true"/>
      <sz val="18"/>
      <color rgb="FFC00000"/>
      <name val="Calibri"/>
      <family val="0"/>
      <charset val="1"/>
    </font>
    <font>
      <b val="true"/>
      <sz val="18"/>
      <color rgb="FFED7D31"/>
      <name val="Calibri"/>
      <family val="0"/>
      <charset val="1"/>
    </font>
    <font>
      <b val="true"/>
      <sz val="18"/>
      <color rgb="FFFFD966"/>
      <name val="Calibri"/>
      <family val="0"/>
      <charset val="1"/>
    </font>
    <font>
      <b val="true"/>
      <sz val="18"/>
      <color rgb="FFBF6312"/>
      <name val="Calibri"/>
      <family val="0"/>
      <charset val="1"/>
    </font>
    <font>
      <b val="true"/>
      <sz val="18"/>
      <color rgb="FF2E75B6"/>
      <name val="Calibri"/>
      <family val="0"/>
      <charset val="1"/>
    </font>
    <font>
      <b val="true"/>
      <sz val="10"/>
      <color rgb="FFFFFFFF"/>
      <name val="Calibri"/>
      <family val="0"/>
      <charset val="1"/>
    </font>
    <font>
      <b val="true"/>
      <sz val="16"/>
      <color rgb="FF1A6985"/>
      <name val="Calibri"/>
      <family val="0"/>
      <charset val="1"/>
    </font>
    <font>
      <b val="true"/>
      <i val="true"/>
      <sz val="10"/>
      <color rgb="FF1A6985"/>
      <name val="Calibri"/>
      <family val="0"/>
      <charset val="1"/>
    </font>
    <font>
      <b val="true"/>
      <sz val="11"/>
      <color rgb="FF1A6985"/>
      <name val="Calibri"/>
      <family val="0"/>
      <charset val="1"/>
    </font>
    <font>
      <sz val="9"/>
      <name val="Calibri"/>
      <family val="0"/>
      <charset val="1"/>
    </font>
    <font>
      <b val="true"/>
      <i val="true"/>
      <sz val="9"/>
      <color rgb="FF7F6000"/>
      <name val="Calibri"/>
      <family val="0"/>
      <charset val="1"/>
    </font>
    <font>
      <b val="true"/>
      <sz val="8"/>
      <color rgb="FFC65911"/>
      <name val="Consolas"/>
      <family val="0"/>
      <charset val="1"/>
    </font>
    <font>
      <sz val="10"/>
      <name val="Arial"/>
      <family val="2"/>
    </font>
    <font>
      <b val="true"/>
      <sz val="14"/>
      <color rgb="FF70AD47"/>
      <name val="Calibri"/>
      <family val="0"/>
      <charset val="1"/>
    </font>
    <font>
      <b val="true"/>
      <sz val="14"/>
      <color rgb="FFC00000"/>
      <name val="Calibri"/>
      <family val="0"/>
      <charset val="1"/>
    </font>
    <font>
      <b val="true"/>
      <sz val="14"/>
      <color rgb="FFED7D31"/>
      <name val="Calibri"/>
      <family val="0"/>
      <charset val="1"/>
    </font>
    <font>
      <b val="true"/>
      <sz val="12"/>
      <color rgb="FF1A6985"/>
      <name val="Calibri"/>
      <family val="0"/>
      <charset val="1"/>
    </font>
    <font>
      <i val="true"/>
      <sz val="9"/>
      <color rgb="FF1A6985"/>
      <name val="Calibri"/>
      <family val="0"/>
      <charset val="1"/>
    </font>
    <font>
      <b val="true"/>
      <sz val="9"/>
      <color rgb="FFFFFFFF"/>
      <name val="Calibri"/>
      <family val="0"/>
      <charset val="1"/>
    </font>
    <font>
      <b val="true"/>
      <sz val="10"/>
      <color rgb="FF1A6985"/>
      <name val="Calibri"/>
      <family val="0"/>
      <charset val="1"/>
    </font>
    <font>
      <b val="true"/>
      <sz val="10"/>
      <color rgb="FF548235"/>
      <name val="Calibri"/>
      <family val="0"/>
      <charset val="1"/>
    </font>
  </fonts>
  <fills count="30">
    <fill>
      <patternFill patternType="none"/>
    </fill>
    <fill>
      <patternFill patternType="gray125"/>
    </fill>
    <fill>
      <patternFill patternType="solid">
        <fgColor rgb="FF0E4F66"/>
        <bgColor rgb="FF1F3864"/>
      </patternFill>
    </fill>
    <fill>
      <patternFill patternType="solid">
        <fgColor rgb="FF2E75B6"/>
        <bgColor rgb="FF1A6985"/>
      </patternFill>
    </fill>
    <fill>
      <patternFill patternType="solid">
        <fgColor rgb="FFFAFAFA"/>
        <bgColor rgb="FFFFFFFF"/>
      </patternFill>
    </fill>
    <fill>
      <patternFill patternType="solid">
        <fgColor rgb="FFF2F2F2"/>
        <bgColor rgb="FFEBF5FB"/>
      </patternFill>
    </fill>
    <fill>
      <patternFill patternType="solid">
        <fgColor rgb="FFFFFFFF"/>
        <bgColor rgb="FFFAFAFA"/>
      </patternFill>
    </fill>
    <fill>
      <patternFill patternType="solid">
        <fgColor rgb="FF595959"/>
        <bgColor rgb="FF404040"/>
      </patternFill>
    </fill>
    <fill>
      <patternFill patternType="solid">
        <fgColor rgb="FF70AD47"/>
        <bgColor rgb="FF548235"/>
      </patternFill>
    </fill>
    <fill>
      <patternFill patternType="solid">
        <fgColor rgb="FFFFD966"/>
        <bgColor rgb="FFF8CBAD"/>
      </patternFill>
    </fill>
    <fill>
      <patternFill patternType="solid">
        <fgColor rgb="FFED7D31"/>
        <bgColor rgb="FFBF8F00"/>
      </patternFill>
    </fill>
    <fill>
      <patternFill patternType="solid">
        <fgColor rgb="FFC00000"/>
        <bgColor rgb="FF800000"/>
      </patternFill>
    </fill>
    <fill>
      <patternFill patternType="solid">
        <fgColor rgb="FF385723"/>
        <bgColor rgb="FF404040"/>
      </patternFill>
    </fill>
    <fill>
      <patternFill patternType="solid">
        <fgColor rgb="FFBF6312"/>
        <bgColor rgb="FFC65911"/>
      </patternFill>
    </fill>
    <fill>
      <patternFill patternType="solid">
        <fgColor rgb="FF404040"/>
        <bgColor rgb="FF385723"/>
      </patternFill>
    </fill>
    <fill>
      <patternFill patternType="solid">
        <fgColor rgb="FF7030A0"/>
        <bgColor rgb="FF800080"/>
      </patternFill>
    </fill>
    <fill>
      <patternFill patternType="solid">
        <fgColor rgb="FFFCE4E4"/>
        <bgColor rgb="FFFFE6E6"/>
      </patternFill>
    </fill>
    <fill>
      <patternFill patternType="solid">
        <fgColor rgb="FFBF8F00"/>
        <bgColor rgb="FFED7D31"/>
      </patternFill>
    </fill>
    <fill>
      <patternFill patternType="solid">
        <fgColor rgb="FFFFFCEB"/>
        <bgColor rgb="FFFAFAFA"/>
      </patternFill>
    </fill>
    <fill>
      <patternFill patternType="solid">
        <fgColor rgb="FFE9DCF2"/>
        <bgColor rgb="FFD9D9D9"/>
      </patternFill>
    </fill>
    <fill>
      <patternFill patternType="solid">
        <fgColor rgb="FFEBF5FB"/>
        <bgColor rgb="FFF2F2F2"/>
      </patternFill>
    </fill>
    <fill>
      <patternFill patternType="solid">
        <fgColor rgb="FFC65911"/>
        <bgColor rgb="FFBF6312"/>
      </patternFill>
    </fill>
    <fill>
      <patternFill patternType="solid">
        <fgColor rgb="FF00B050"/>
        <bgColor rgb="FF008000"/>
      </patternFill>
    </fill>
    <fill>
      <patternFill patternType="solid">
        <fgColor rgb="FF548235"/>
        <bgColor rgb="FF595959"/>
      </patternFill>
    </fill>
    <fill>
      <patternFill patternType="solid">
        <fgColor rgb="FFE2F0D9"/>
        <bgColor rgb="FFD6EAF1"/>
      </patternFill>
    </fill>
    <fill>
      <patternFill patternType="solid">
        <fgColor rgb="FFD6EAF1"/>
        <bgColor rgb="FFE2F0D9"/>
      </patternFill>
    </fill>
    <fill>
      <patternFill patternType="solid">
        <fgColor rgb="FFFFF2CC"/>
        <bgColor rgb="FFFCE4D6"/>
      </patternFill>
    </fill>
    <fill>
      <patternFill patternType="solid">
        <fgColor rgb="FFFCE4D6"/>
        <bgColor rgb="FFFCE4E4"/>
      </patternFill>
    </fill>
    <fill>
      <patternFill patternType="solid">
        <fgColor rgb="FF1A6985"/>
        <bgColor rgb="FF2E75B6"/>
      </patternFill>
    </fill>
    <fill>
      <patternFill patternType="solid">
        <fgColor rgb="FF4285F4"/>
        <bgColor rgb="FF2E75B6"/>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hair">
        <color rgb="FFBFBFBF"/>
      </top>
      <bottom style="hair">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right" vertical="center" textRotation="0" wrapText="false" indent="0" shrinkToFit="false"/>
      <protection locked="true" hidden="false"/>
    </xf>
    <xf numFmtId="164" fontId="10" fillId="3" borderId="1" xfId="0" applyFont="true" applyBorder="true" applyAlignment="true" applyProtection="true">
      <alignment horizontal="center" vertical="center" textRotation="0" wrapText="false" indent="0" shrinkToFit="false"/>
      <protection locked="fals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5" fontId="12" fillId="5" borderId="1" xfId="0" applyFont="true" applyBorder="true" applyAlignment="true" applyProtection="false">
      <alignment horizontal="center" vertical="center" textRotation="0" wrapText="false" indent="0" shrinkToFit="false"/>
      <protection locked="true" hidden="false"/>
    </xf>
    <xf numFmtId="165" fontId="13" fillId="6" borderId="1" xfId="0" applyFont="true" applyBorder="true" applyAlignment="true" applyProtection="false">
      <alignment horizontal="center" vertical="center" textRotation="0" wrapText="false" indent="0" shrinkToFit="false"/>
      <protection locked="true" hidden="false"/>
    </xf>
    <xf numFmtId="165" fontId="14" fillId="5" borderId="1" xfId="0" applyFont="true" applyBorder="true" applyAlignment="true" applyProtection="false">
      <alignment horizontal="center" vertical="center" textRotation="0" wrapText="false" indent="0" shrinkToFit="false"/>
      <protection locked="true" hidden="false"/>
    </xf>
    <xf numFmtId="165" fontId="15" fillId="6" borderId="1" xfId="0" applyFont="true" applyBorder="true" applyAlignment="true" applyProtection="false">
      <alignment horizontal="center" vertical="center" textRotation="0" wrapText="false" indent="0" shrinkToFit="false"/>
      <protection locked="true" hidden="false"/>
    </xf>
    <xf numFmtId="166" fontId="16" fillId="5" borderId="1" xfId="0" applyFont="true" applyBorder="true" applyAlignment="true" applyProtection="false">
      <alignment horizontal="center" vertical="center" textRotation="0" wrapText="false" indent="0" shrinkToFit="false"/>
      <protection locked="true" hidden="false"/>
    </xf>
    <xf numFmtId="167" fontId="17" fillId="6" borderId="1" xfId="0" applyFont="true" applyBorder="true" applyAlignment="true" applyProtection="false">
      <alignment horizontal="center" vertical="center" textRotation="0" wrapText="false" indent="0" shrinkToFit="false"/>
      <protection locked="true" hidden="false"/>
    </xf>
    <xf numFmtId="167" fontId="17" fillId="5" borderId="1" xfId="0" applyFont="true" applyBorder="true" applyAlignment="true" applyProtection="false">
      <alignment horizontal="center" vertical="center" textRotation="0" wrapText="false" indent="0" shrinkToFit="false"/>
      <protection locked="true" hidden="false"/>
    </xf>
    <xf numFmtId="168" fontId="17" fillId="6"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6" borderId="2" xfId="0" applyFont="true" applyBorder="true" applyAlignment="true" applyProtection="false">
      <alignment horizontal="left" vertical="center" textRotation="0" wrapText="true" indent="1" shrinkToFit="false"/>
      <protection locked="true" hidden="false"/>
    </xf>
    <xf numFmtId="164" fontId="19" fillId="5" borderId="2" xfId="0" applyFont="true" applyBorder="true" applyAlignment="true" applyProtection="false">
      <alignment horizontal="left" vertical="center" textRotation="0" wrapText="true" indent="1"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true" applyAlignment="true" applyProtection="false">
      <alignment horizontal="left"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4" fontId="0" fillId="11" borderId="1" xfId="0" applyFont="false" applyBorder="true" applyAlignment="true" applyProtection="false">
      <alignment horizontal="general" vertical="bottom" textRotation="0" wrapText="false" indent="0" shrinkToFit="false"/>
      <protection locked="true" hidden="false"/>
    </xf>
    <xf numFmtId="164" fontId="0" fillId="12" borderId="1" xfId="0" applyFont="false" applyBorder="true" applyAlignment="true" applyProtection="false">
      <alignment horizontal="general" vertical="bottom" textRotation="0" wrapText="false" indent="0" shrinkToFit="false"/>
      <protection locked="true" hidden="false"/>
    </xf>
    <xf numFmtId="164" fontId="0" fillId="13" borderId="1" xfId="0" applyFont="false" applyBorder="true" applyAlignment="true" applyProtection="false">
      <alignment horizontal="general" vertical="bottom" textRotation="0" wrapText="false" indent="0" shrinkToFit="false"/>
      <protection locked="true" hidden="false"/>
    </xf>
    <xf numFmtId="164" fontId="0" fillId="14"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false" indent="0" shrinkToFit="false"/>
      <protection locked="true" hidden="false"/>
    </xf>
    <xf numFmtId="164" fontId="6" fillId="15"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true" applyAlignment="true" applyProtection="false">
      <alignment horizontal="left" vertical="center" textRotation="0" wrapText="fals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left" vertical="center" textRotation="0" wrapText="true" indent="0" shrinkToFit="false"/>
      <protection locked="true" hidden="false"/>
    </xf>
    <xf numFmtId="164" fontId="25" fillId="0" borderId="0" xfId="0" applyFont="true" applyBorder="true" applyAlignment="true" applyProtection="false">
      <alignment horizontal="left" vertical="center" textRotation="0" wrapText="false" indent="0" shrinkToFit="false"/>
      <protection locked="true" hidden="false"/>
    </xf>
    <xf numFmtId="164" fontId="6" fillId="17" borderId="1" xfId="0" applyFont="true" applyBorder="true" applyAlignment="true" applyProtection="false">
      <alignment horizontal="center" vertical="center" textRotation="0" wrapText="true" indent="0" shrinkToFit="false"/>
      <protection locked="true" hidden="false"/>
    </xf>
    <xf numFmtId="169" fontId="8" fillId="6" borderId="1" xfId="0" applyFont="true" applyBorder="true" applyAlignment="true" applyProtection="false">
      <alignment horizontal="center" vertical="center" textRotation="0" wrapText="true" indent="0" shrinkToFit="false"/>
      <protection locked="true" hidden="false"/>
    </xf>
    <xf numFmtId="170" fontId="8" fillId="18" borderId="1" xfId="0" applyFont="true" applyBorder="true" applyAlignment="true" applyProtection="false">
      <alignment horizontal="center" vertical="center" textRotation="0" wrapText="true" indent="0" shrinkToFit="false"/>
      <protection locked="true" hidden="false"/>
    </xf>
    <xf numFmtId="170" fontId="8" fillId="6" borderId="1" xfId="0" applyFont="true" applyBorder="true" applyAlignment="true" applyProtection="false">
      <alignment horizontal="center" vertical="center" textRotation="0" wrapText="true" indent="0" shrinkToFit="false"/>
      <protection locked="true" hidden="false"/>
    </xf>
    <xf numFmtId="167" fontId="8" fillId="6" borderId="1" xfId="0" applyFont="true" applyBorder="true" applyAlignment="true" applyProtection="false">
      <alignment horizontal="right"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71" fontId="8" fillId="18" borderId="1" xfId="0" applyFont="true" applyBorder="true" applyAlignment="true" applyProtection="false">
      <alignment horizontal="center" vertical="center" textRotation="0" wrapText="true" indent="0" shrinkToFit="false"/>
      <protection locked="true" hidden="false"/>
    </xf>
    <xf numFmtId="164" fontId="26" fillId="6" borderId="1" xfId="0" applyFont="true" applyBorder="true" applyAlignment="true" applyProtection="false">
      <alignment horizontal="center" vertical="center" textRotation="0" wrapText="true" indent="0" shrinkToFit="false"/>
      <protection locked="true" hidden="false"/>
    </xf>
    <xf numFmtId="172" fontId="8" fillId="6" borderId="1" xfId="0" applyFont="true" applyBorder="true" applyAlignment="true" applyProtection="false">
      <alignment horizontal="center" vertical="center" textRotation="0" wrapText="true" indent="0" shrinkToFit="false"/>
      <protection locked="true" hidden="false"/>
    </xf>
    <xf numFmtId="172" fontId="8" fillId="18" borderId="1" xfId="0" applyFont="true" applyBorder="true" applyAlignment="true" applyProtection="false">
      <alignment horizontal="center" vertical="center" textRotation="0" wrapText="true" indent="0" shrinkToFit="false"/>
      <protection locked="true" hidden="false"/>
    </xf>
    <xf numFmtId="169" fontId="8" fillId="4" borderId="1" xfId="0" applyFont="true" applyBorder="true" applyAlignment="true" applyProtection="false">
      <alignment horizontal="center" vertical="center" textRotation="0" wrapText="true" indent="0" shrinkToFit="false"/>
      <protection locked="true" hidden="false"/>
    </xf>
    <xf numFmtId="170" fontId="8" fillId="4" borderId="1" xfId="0" applyFont="true" applyBorder="true" applyAlignment="true" applyProtection="false">
      <alignment horizontal="center" vertical="center" textRotation="0" wrapText="true" indent="0" shrinkToFit="false"/>
      <protection locked="true" hidden="false"/>
    </xf>
    <xf numFmtId="167" fontId="8" fillId="4" borderId="1" xfId="0" applyFont="true" applyBorder="true" applyAlignment="true" applyProtection="false">
      <alignment horizontal="right" vertical="center" textRotation="0" wrapText="true" indent="0" shrinkToFit="false"/>
      <protection locked="true" hidden="false"/>
    </xf>
    <xf numFmtId="164" fontId="26" fillId="4" borderId="1" xfId="0" applyFont="true" applyBorder="true" applyAlignment="true" applyProtection="false">
      <alignment horizontal="center" vertical="center" textRotation="0" wrapText="true" indent="0" shrinkToFit="false"/>
      <protection locked="true" hidden="false"/>
    </xf>
    <xf numFmtId="172" fontId="8" fillId="4"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right" vertical="center" textRotation="0" wrapText="false" indent="0" shrinkToFit="false"/>
      <protection locked="true" hidden="false"/>
    </xf>
    <xf numFmtId="167" fontId="6" fillId="11" borderId="1" xfId="0" applyFont="true" applyBorder="true" applyAlignment="true" applyProtection="false">
      <alignment horizontal="right" vertical="center" textRotation="0" wrapText="false" indent="0" shrinkToFit="false"/>
      <protection locked="true" hidden="false"/>
    </xf>
    <xf numFmtId="169" fontId="8" fillId="6" borderId="1" xfId="0" applyFont="true" applyBorder="true" applyAlignment="true" applyProtection="false">
      <alignment horizontal="left" vertical="center" textRotation="0" wrapText="true" indent="0" shrinkToFit="false"/>
      <protection locked="true" hidden="false"/>
    </xf>
    <xf numFmtId="170" fontId="8" fillId="18" borderId="1" xfId="0" applyFont="true" applyBorder="true" applyAlignment="true" applyProtection="false">
      <alignment horizontal="left" vertical="center" textRotation="0" wrapText="true" indent="0" shrinkToFit="false"/>
      <protection locked="true" hidden="false"/>
    </xf>
    <xf numFmtId="170" fontId="8" fillId="6" borderId="1" xfId="0" applyFont="true" applyBorder="true" applyAlignment="true" applyProtection="false">
      <alignment horizontal="left" vertical="center" textRotation="0" wrapText="true" indent="0" shrinkToFit="false"/>
      <protection locked="true" hidden="false"/>
    </xf>
    <xf numFmtId="167" fontId="8" fillId="6" borderId="1" xfId="0" applyFont="true" applyBorder="true" applyAlignment="true" applyProtection="false">
      <alignment horizontal="left" vertical="center" textRotation="0" wrapText="true" indent="0" shrinkToFit="false"/>
      <protection locked="true" hidden="false"/>
    </xf>
    <xf numFmtId="164" fontId="8" fillId="18" borderId="1" xfId="0" applyFont="true" applyBorder="true" applyAlignment="true" applyProtection="false">
      <alignment horizontal="left" vertical="center" textRotation="0" wrapText="true" indent="0" shrinkToFit="false"/>
      <protection locked="true" hidden="false"/>
    </xf>
    <xf numFmtId="171" fontId="8" fillId="18" borderId="1" xfId="0" applyFont="true" applyBorder="true" applyAlignment="true" applyProtection="false">
      <alignment horizontal="left" vertical="center" textRotation="0" wrapText="true" indent="0" shrinkToFit="false"/>
      <protection locked="true" hidden="false"/>
    </xf>
    <xf numFmtId="172" fontId="8" fillId="6" borderId="1" xfId="0" applyFont="true" applyBorder="true" applyAlignment="true" applyProtection="false">
      <alignment horizontal="left" vertical="center" textRotation="0" wrapText="true" indent="0" shrinkToFit="false"/>
      <protection locked="true" hidden="false"/>
    </xf>
    <xf numFmtId="172" fontId="8" fillId="18" borderId="1" xfId="0" applyFont="true" applyBorder="true" applyAlignment="true" applyProtection="false">
      <alignment horizontal="left" vertical="center" textRotation="0" wrapText="true" indent="0" shrinkToFit="false"/>
      <protection locked="true" hidden="false"/>
    </xf>
    <xf numFmtId="169" fontId="8" fillId="4" borderId="1" xfId="0" applyFont="true" applyBorder="true" applyAlignment="true" applyProtection="false">
      <alignment horizontal="left" vertical="center" textRotation="0" wrapText="true" indent="0" shrinkToFit="false"/>
      <protection locked="true" hidden="false"/>
    </xf>
    <xf numFmtId="170" fontId="8" fillId="4" borderId="1" xfId="0" applyFont="true" applyBorder="true" applyAlignment="true" applyProtection="false">
      <alignment horizontal="left" vertical="center" textRotation="0" wrapText="true" indent="0" shrinkToFit="false"/>
      <protection locked="true" hidden="false"/>
    </xf>
    <xf numFmtId="167" fontId="8" fillId="4" borderId="1" xfId="0" applyFont="true" applyBorder="true" applyAlignment="true" applyProtection="false">
      <alignment horizontal="left" vertical="center" textRotation="0" wrapText="true" indent="0" shrinkToFit="false"/>
      <protection locked="true" hidden="false"/>
    </xf>
    <xf numFmtId="172" fontId="8" fillId="4" borderId="1" xfId="0" applyFont="true" applyBorder="true" applyAlignment="true" applyProtection="false">
      <alignment horizontal="left" vertical="center" textRotation="0" wrapText="true" indent="0" shrinkToFit="false"/>
      <protection locked="true" hidden="false"/>
    </xf>
    <xf numFmtId="164" fontId="27" fillId="0" borderId="0" xfId="0" applyFont="true" applyBorder="true" applyAlignment="true" applyProtection="false">
      <alignment horizontal="left" vertical="center" textRotation="0" wrapText="false" indent="0" shrinkToFit="false"/>
      <protection locked="true" hidden="false"/>
    </xf>
    <xf numFmtId="164" fontId="28" fillId="18" borderId="1" xfId="0" applyFont="true" applyBorder="true" applyAlignment="true" applyProtection="false">
      <alignment horizontal="left"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6" fontId="7" fillId="6" borderId="1" xfId="0" applyFont="true" applyBorder="true" applyAlignment="true" applyProtection="false">
      <alignment horizontal="center" vertical="center" textRotation="0" wrapText="true" indent="0" shrinkToFit="false"/>
      <protection locked="true" hidden="false"/>
    </xf>
    <xf numFmtId="166" fontId="7" fillId="4" borderId="1" xfId="0" applyFont="true" applyBorder="true" applyAlignment="true" applyProtection="false">
      <alignment horizontal="center" vertical="center" textRotation="0" wrapText="true" indent="0" shrinkToFit="false"/>
      <protection locked="true" hidden="false"/>
    </xf>
    <xf numFmtId="166" fontId="6" fillId="12" borderId="1" xfId="0" applyFont="true" applyBorder="true" applyAlignment="true" applyProtection="false">
      <alignment horizontal="center" vertical="bottom" textRotation="0" wrapText="false" indent="0" shrinkToFit="false"/>
      <protection locked="true" hidden="false"/>
    </xf>
    <xf numFmtId="164" fontId="6" fillId="12" borderId="1" xfId="0" applyFont="true" applyBorder="true" applyAlignment="true" applyProtection="false">
      <alignment horizontal="center" vertical="bottom" textRotation="0" wrapText="false" indent="0" shrinkToFit="false"/>
      <protection locked="true" hidden="false"/>
    </xf>
    <xf numFmtId="164" fontId="29" fillId="19" borderId="1" xfId="0" applyFont="true" applyBorder="true" applyAlignment="true" applyProtection="false">
      <alignment horizontal="left" vertical="center" textRotation="0" wrapText="true" indent="0" shrinkToFit="false"/>
      <protection locked="true" hidden="false"/>
    </xf>
    <xf numFmtId="171" fontId="7" fillId="18" borderId="1" xfId="0" applyFont="true" applyBorder="true" applyAlignment="true" applyProtection="false">
      <alignment horizontal="center" vertical="center" textRotation="0" wrapText="true" indent="0" shrinkToFit="false"/>
      <protection locked="true" hidden="false"/>
    </xf>
    <xf numFmtId="169" fontId="8" fillId="18" borderId="1" xfId="0" applyFont="true" applyBorder="true" applyAlignment="true" applyProtection="false">
      <alignment horizontal="center" vertical="center" textRotation="0" wrapText="true" indent="0" shrinkToFit="false"/>
      <protection locked="true" hidden="false"/>
    </xf>
    <xf numFmtId="164" fontId="8" fillId="20" borderId="1" xfId="0" applyFont="true" applyBorder="true" applyAlignment="true" applyProtection="false">
      <alignment horizontal="center" vertical="center" textRotation="0" wrapText="true" indent="0" shrinkToFit="false"/>
      <protection locked="true" hidden="false"/>
    </xf>
    <xf numFmtId="169" fontId="8" fillId="18" borderId="1" xfId="0" applyFont="true" applyBorder="true" applyAlignment="true" applyProtection="false">
      <alignment horizontal="left" vertical="center" textRotation="0" wrapText="true" indent="0" shrinkToFit="false"/>
      <protection locked="true" hidden="false"/>
    </xf>
    <xf numFmtId="164" fontId="8" fillId="20" borderId="1" xfId="0" applyFont="true" applyBorder="true" applyAlignment="true" applyProtection="false">
      <alignment horizontal="left" vertical="center" textRotation="0" wrapText="true" indent="0" shrinkToFit="false"/>
      <protection locked="true" hidden="false"/>
    </xf>
    <xf numFmtId="164" fontId="30" fillId="0"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4" fontId="6" fillId="21" borderId="1" xfId="0" applyFont="true" applyBorder="true" applyAlignment="true" applyProtection="false">
      <alignment horizontal="center" vertical="center" textRotation="0" wrapText="true" indent="0" shrinkToFit="false"/>
      <protection locked="true" hidden="false"/>
    </xf>
    <xf numFmtId="168" fontId="7" fillId="18" borderId="1" xfId="0" applyFont="true" applyBorder="true" applyAlignment="true" applyProtection="false">
      <alignment horizontal="center" vertical="center" textRotation="0" wrapText="true" indent="0" shrinkToFit="false"/>
      <protection locked="true" hidden="false"/>
    </xf>
    <xf numFmtId="164" fontId="31" fillId="0" borderId="0" xfId="0" applyFont="true" applyBorder="true" applyAlignment="true" applyProtection="false">
      <alignment horizontal="left" vertical="center" textRotation="0" wrapText="false" indent="0" shrinkToFit="false"/>
      <protection locked="true" hidden="false"/>
    </xf>
    <xf numFmtId="164" fontId="6" fillId="22" borderId="1" xfId="0" applyFont="true" applyBorder="true" applyAlignment="true" applyProtection="false">
      <alignment horizontal="center" vertical="center" textRotation="0" wrapText="true" indent="0" shrinkToFit="false"/>
      <protection locked="true" hidden="false"/>
    </xf>
    <xf numFmtId="164" fontId="32" fillId="6" borderId="1" xfId="0" applyFont="true" applyBorder="true" applyAlignment="true" applyProtection="false">
      <alignment horizontal="center" vertical="center" textRotation="0" wrapText="true" indent="0" shrinkToFit="false"/>
      <protection locked="true" hidden="false"/>
    </xf>
    <xf numFmtId="164" fontId="32" fillId="4" borderId="1" xfId="0" applyFont="true" applyBorder="true" applyAlignment="true" applyProtection="false">
      <alignment horizontal="center" vertical="center" textRotation="0" wrapText="true" indent="0" shrinkToFit="false"/>
      <protection locked="true" hidden="false"/>
    </xf>
    <xf numFmtId="164" fontId="6" fillId="22" borderId="1" xfId="0" applyFont="true" applyBorder="true" applyAlignment="true" applyProtection="false">
      <alignment horizontal="right" vertical="center" textRotation="0" wrapText="false" indent="0" shrinkToFit="false"/>
      <protection locked="true" hidden="false"/>
    </xf>
    <xf numFmtId="167" fontId="6" fillId="22" borderId="1" xfId="0" applyFont="true" applyBorder="true" applyAlignment="true" applyProtection="false">
      <alignment horizontal="right" vertical="center" textRotation="0" wrapText="false" indent="0" shrinkToFit="false"/>
      <protection locked="true" hidden="false"/>
    </xf>
    <xf numFmtId="164" fontId="33" fillId="18" borderId="1" xfId="0" applyFont="true" applyBorder="true" applyAlignment="true" applyProtection="false">
      <alignment horizontal="left" vertical="center" textRotation="0" wrapText="true" indent="0" shrinkToFit="false"/>
      <protection locked="true" hidden="false"/>
    </xf>
    <xf numFmtId="164" fontId="34" fillId="0" borderId="0" xfId="0" applyFont="true" applyBorder="true" applyAlignment="true" applyProtection="false">
      <alignment horizontal="left" vertical="center" textRotation="0" wrapText="false" indent="0" shrinkToFit="false"/>
      <protection locked="true" hidden="false"/>
    </xf>
    <xf numFmtId="168" fontId="8" fillId="18" borderId="1" xfId="0" applyFont="true" applyBorder="true" applyAlignment="true" applyProtection="false">
      <alignment horizontal="center" vertical="center" textRotation="0" wrapText="true" indent="0" shrinkToFit="false"/>
      <protection locked="true" hidden="false"/>
    </xf>
    <xf numFmtId="164" fontId="35" fillId="0" borderId="0" xfId="0" applyFont="true" applyBorder="true" applyAlignment="true" applyProtection="false">
      <alignment horizontal="left" vertical="center" textRotation="0" wrapText="false" indent="0" shrinkToFit="false"/>
      <protection locked="true" hidden="false"/>
    </xf>
    <xf numFmtId="164" fontId="17" fillId="0" borderId="0" xfId="0" applyFont="true" applyBorder="true" applyAlignment="true" applyProtection="false">
      <alignment horizontal="left" vertical="center" textRotation="0" wrapText="false" indent="0" shrinkToFit="false"/>
      <protection locked="true" hidden="false"/>
    </xf>
    <xf numFmtId="164" fontId="6" fillId="23"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left" vertical="center" textRotation="0" wrapText="true" indent="0" shrinkToFit="false"/>
      <protection locked="true" hidden="false"/>
    </xf>
    <xf numFmtId="168" fontId="8" fillId="6"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left" vertical="center" textRotation="0" wrapText="true" indent="0" shrinkToFit="false"/>
      <protection locked="true" hidden="false"/>
    </xf>
    <xf numFmtId="168" fontId="8" fillId="4" borderId="1" xfId="0" applyFont="true" applyBorder="true" applyAlignment="true" applyProtection="false">
      <alignment horizontal="center" vertical="center" textRotation="0" wrapText="true" indent="0" shrinkToFit="false"/>
      <protection locked="true" hidden="false"/>
    </xf>
    <xf numFmtId="167" fontId="6" fillId="23" borderId="1" xfId="0" applyFont="true" applyBorder="true" applyAlignment="true" applyProtection="false">
      <alignment horizontal="center" vertical="center" textRotation="0" wrapText="true" indent="0" shrinkToFit="false"/>
      <protection locked="true" hidden="false"/>
    </xf>
    <xf numFmtId="168" fontId="6" fillId="23" borderId="1"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6" borderId="3" xfId="0" applyFont="true" applyBorder="true" applyAlignment="true" applyProtection="false">
      <alignment horizontal="left" vertical="center" textRotation="0" wrapText="true" indent="0" shrinkToFit="false"/>
      <protection locked="true" hidden="false"/>
    </xf>
    <xf numFmtId="164" fontId="6" fillId="11" borderId="3" xfId="0" applyFont="true" applyBorder="true" applyAlignment="true" applyProtection="false">
      <alignment horizontal="right" vertical="center" textRotation="0" wrapText="false" indent="0" shrinkToFit="false"/>
      <protection locked="true" hidden="false"/>
    </xf>
    <xf numFmtId="164" fontId="6" fillId="22" borderId="3" xfId="0" applyFont="true" applyBorder="true" applyAlignment="true" applyProtection="false">
      <alignment horizontal="right" vertical="center" textRotation="0" wrapText="false" indent="0" shrinkToFit="false"/>
      <protection locked="true" hidden="false"/>
    </xf>
    <xf numFmtId="168" fontId="7" fillId="6"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6" fillId="11" borderId="3" xfId="0" applyFont="true" applyBorder="true" applyAlignment="true" applyProtection="false">
      <alignment horizontal="left" vertical="center" textRotation="0" wrapText="false" indent="1" shrinkToFit="false"/>
      <protection locked="true" hidden="false"/>
    </xf>
    <xf numFmtId="165" fontId="36" fillId="5" borderId="3" xfId="0" applyFont="true" applyBorder="true" applyAlignment="true" applyProtection="false">
      <alignment horizontal="center" vertical="center" textRotation="0" wrapText="false" indent="0" shrinkToFit="false"/>
      <protection locked="true" hidden="false"/>
    </xf>
    <xf numFmtId="164" fontId="6" fillId="10" borderId="3" xfId="0" applyFont="true" applyBorder="true" applyAlignment="true" applyProtection="false">
      <alignment horizontal="left" vertical="center" textRotation="0" wrapText="false" indent="1" shrinkToFit="false"/>
      <protection locked="true" hidden="false"/>
    </xf>
    <xf numFmtId="165" fontId="37" fillId="5" borderId="3" xfId="0" applyFont="true" applyBorder="true" applyAlignment="true" applyProtection="false">
      <alignment horizontal="center" vertical="center" textRotation="0" wrapText="false" indent="0" shrinkToFit="false"/>
      <protection locked="true" hidden="false"/>
    </xf>
    <xf numFmtId="164" fontId="6" fillId="9" borderId="3" xfId="0" applyFont="true" applyBorder="true" applyAlignment="true" applyProtection="false">
      <alignment horizontal="left" vertical="center" textRotation="0" wrapText="false" indent="1" shrinkToFit="false"/>
      <protection locked="true" hidden="false"/>
    </xf>
    <xf numFmtId="165" fontId="38" fillId="5" borderId="3" xfId="0" applyFont="true" applyBorder="true" applyAlignment="true" applyProtection="false">
      <alignment horizontal="center" vertical="center" textRotation="0" wrapText="false" indent="0" shrinkToFit="false"/>
      <protection locked="true" hidden="false"/>
    </xf>
    <xf numFmtId="164" fontId="6" fillId="13" borderId="3" xfId="0" applyFont="true" applyBorder="true" applyAlignment="true" applyProtection="false">
      <alignment horizontal="left" vertical="center" textRotation="0" wrapText="false" indent="1" shrinkToFit="false"/>
      <protection locked="true" hidden="false"/>
    </xf>
    <xf numFmtId="165" fontId="39" fillId="5" borderId="3" xfId="0" applyFont="true" applyBorder="true" applyAlignment="true" applyProtection="false">
      <alignment horizontal="center" vertical="center" textRotation="0" wrapText="false" indent="0" shrinkToFit="false"/>
      <protection locked="true" hidden="false"/>
    </xf>
    <xf numFmtId="164" fontId="6" fillId="3" borderId="3" xfId="0" applyFont="true" applyBorder="true" applyAlignment="true" applyProtection="false">
      <alignment horizontal="left" vertical="center" textRotation="0" wrapText="false" indent="1" shrinkToFit="false"/>
      <protection locked="true" hidden="false"/>
    </xf>
    <xf numFmtId="165" fontId="40" fillId="5" borderId="3" xfId="0" applyFont="true" applyBorder="true" applyAlignment="true" applyProtection="false">
      <alignment horizontal="center" vertical="center" textRotation="0" wrapText="fals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41" fillId="11" borderId="1" xfId="0" applyFont="true" applyBorder="true" applyAlignment="true" applyProtection="false">
      <alignment horizontal="center" vertical="center" textRotation="0" wrapText="true" indent="0" shrinkToFit="false"/>
      <protection locked="true" hidden="false"/>
    </xf>
    <xf numFmtId="164" fontId="7" fillId="24"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6" fontId="8" fillId="6" borderId="1" xfId="0" applyFont="true" applyBorder="true" applyAlignment="true" applyProtection="false">
      <alignment horizontal="center" vertical="center" textRotation="0" wrapText="true" indent="0" shrinkToFit="false"/>
      <protection locked="true" hidden="false"/>
    </xf>
    <xf numFmtId="166" fontId="8" fillId="4" borderId="1" xfId="0" applyFont="true" applyBorder="true" applyAlignment="true" applyProtection="false">
      <alignment horizontal="center" vertical="center" textRotation="0" wrapText="true" indent="0" shrinkToFit="false"/>
      <protection locked="true" hidden="false"/>
    </xf>
    <xf numFmtId="164" fontId="19" fillId="5" borderId="3" xfId="0" applyFont="true" applyBorder="true" applyAlignment="true" applyProtection="false">
      <alignment horizontal="left" vertical="center" textRotation="0" wrapText="true" indent="1" shrinkToFit="false"/>
      <protection locked="true" hidden="false"/>
    </xf>
    <xf numFmtId="164" fontId="19" fillId="6" borderId="3" xfId="0" applyFont="true" applyBorder="true" applyAlignment="true" applyProtection="false">
      <alignment horizontal="left" vertical="center" textRotation="0" wrapText="true" indent="1" shrinkToFit="false"/>
      <protection locked="true" hidden="false"/>
    </xf>
    <xf numFmtId="164" fontId="42" fillId="0" borderId="0" xfId="0" applyFont="true" applyBorder="true" applyAlignment="true" applyProtection="false">
      <alignment horizontal="left" vertical="center" textRotation="0" wrapText="false" indent="0" shrinkToFit="false"/>
      <protection locked="true" hidden="false"/>
    </xf>
    <xf numFmtId="164" fontId="43" fillId="25" borderId="1" xfId="0" applyFont="true" applyBorder="true" applyAlignment="true" applyProtection="false">
      <alignment horizontal="left" vertical="center" textRotation="0" wrapText="true" indent="0" shrinkToFit="false"/>
      <protection locked="true" hidden="false"/>
    </xf>
    <xf numFmtId="164" fontId="44" fillId="0" borderId="0" xfId="0" applyFont="true" applyBorder="true" applyAlignment="true" applyProtection="false">
      <alignment horizontal="left" vertical="center" textRotation="0" wrapText="false" indent="0" shrinkToFit="false"/>
      <protection locked="true" hidden="false"/>
    </xf>
    <xf numFmtId="164" fontId="45" fillId="5" borderId="2" xfId="0" applyFont="true" applyBorder="true" applyAlignment="true" applyProtection="false">
      <alignment horizontal="left" vertical="center" textRotation="0" wrapText="false" indent="1" shrinkToFit="false"/>
      <protection locked="true" hidden="false"/>
    </xf>
    <xf numFmtId="164" fontId="45" fillId="6" borderId="2" xfId="0" applyFont="true" applyBorder="true" applyAlignment="true" applyProtection="false">
      <alignment horizontal="left" vertical="center" textRotation="0" wrapText="false" indent="1" shrinkToFit="false"/>
      <protection locked="true" hidden="false"/>
    </xf>
    <xf numFmtId="164" fontId="46" fillId="26" borderId="3" xfId="0" applyFont="true" applyBorder="true" applyAlignment="true" applyProtection="false">
      <alignment horizontal="left" vertical="center" textRotation="0" wrapText="true" indent="1" shrinkToFit="false"/>
      <protection locked="true" hidden="false"/>
    </xf>
    <xf numFmtId="164" fontId="47" fillId="27" borderId="1" xfId="0" applyFont="true" applyBorder="true" applyAlignment="true" applyProtection="false">
      <alignment horizontal="center" vertical="center" textRotation="0" wrapText="true" indent="0" shrinkToFit="false"/>
      <protection locked="true" hidden="false"/>
    </xf>
    <xf numFmtId="164" fontId="6" fillId="28" borderId="1" xfId="0" applyFont="true" applyBorder="true" applyAlignment="true" applyProtection="false">
      <alignment horizontal="center" vertical="center" textRotation="0" wrapText="true" indent="0" shrinkToFit="false"/>
      <protection locked="true" hidden="false"/>
    </xf>
    <xf numFmtId="169" fontId="8" fillId="20" borderId="1" xfId="0" applyFont="true" applyBorder="true" applyAlignment="true" applyProtection="false">
      <alignment horizontal="left" vertical="center" textRotation="0" wrapText="true" indent="0" shrinkToFit="false"/>
      <protection locked="true" hidden="false"/>
    </xf>
    <xf numFmtId="173" fontId="8" fillId="20" borderId="1" xfId="0" applyFont="true" applyBorder="true" applyAlignment="true" applyProtection="false">
      <alignment horizontal="left" vertical="center" textRotation="0" wrapText="true" indent="0" shrinkToFit="false"/>
      <protection locked="true" hidden="false"/>
    </xf>
    <xf numFmtId="165" fontId="8" fillId="20" borderId="1" xfId="0" applyFont="true" applyBorder="true" applyAlignment="true" applyProtection="false">
      <alignment horizontal="left" vertical="center" textRotation="0" wrapText="true" indent="0" shrinkToFit="false"/>
      <protection locked="true" hidden="false"/>
    </xf>
    <xf numFmtId="173" fontId="8" fillId="4" borderId="1" xfId="0" applyFont="true" applyBorder="true" applyAlignment="true" applyProtection="false">
      <alignment horizontal="left" vertical="center" textRotation="0" wrapText="true" indent="0" shrinkToFit="false"/>
      <protection locked="true" hidden="false"/>
    </xf>
    <xf numFmtId="165" fontId="8" fillId="4" borderId="1" xfId="0" applyFont="true" applyBorder="true" applyAlignment="true" applyProtection="false">
      <alignment horizontal="left" vertical="center" textRotation="0" wrapText="true" indent="0" shrinkToFit="false"/>
      <protection locked="true" hidden="false"/>
    </xf>
    <xf numFmtId="164" fontId="28" fillId="26" borderId="3" xfId="0" applyFont="true" applyBorder="true" applyAlignment="true" applyProtection="false">
      <alignment horizontal="left" vertical="center" textRotation="0" wrapText="true" indent="0" shrinkToFit="false"/>
      <protection locked="true" hidden="false"/>
    </xf>
    <xf numFmtId="164" fontId="41" fillId="8" borderId="3" xfId="0" applyFont="true" applyBorder="true" applyAlignment="true" applyProtection="false">
      <alignment horizontal="center" vertical="center" textRotation="0" wrapText="false" indent="0" shrinkToFit="false"/>
      <protection locked="true" hidden="false"/>
    </xf>
    <xf numFmtId="171" fontId="49" fillId="5" borderId="1" xfId="0" applyFont="true" applyBorder="true" applyAlignment="true" applyProtection="false">
      <alignment horizontal="center" vertical="center" textRotation="0" wrapText="false" indent="0" shrinkToFit="false"/>
      <protection locked="true" hidden="false"/>
    </xf>
    <xf numFmtId="164" fontId="41" fillId="11" borderId="3" xfId="0" applyFont="true" applyBorder="true" applyAlignment="true" applyProtection="false">
      <alignment horizontal="center" vertical="center" textRotation="0" wrapText="false" indent="0" shrinkToFit="false"/>
      <protection locked="true" hidden="false"/>
    </xf>
    <xf numFmtId="171" fontId="50" fillId="5" borderId="1" xfId="0" applyFont="true" applyBorder="true" applyAlignment="true" applyProtection="false">
      <alignment horizontal="center" vertical="center" textRotation="0" wrapText="false" indent="0" shrinkToFit="false"/>
      <protection locked="true" hidden="false"/>
    </xf>
    <xf numFmtId="164" fontId="41" fillId="10" borderId="3" xfId="0" applyFont="true" applyBorder="true" applyAlignment="true" applyProtection="false">
      <alignment horizontal="center" vertical="center" textRotation="0" wrapText="false" indent="0" shrinkToFit="false"/>
      <protection locked="true" hidden="false"/>
    </xf>
    <xf numFmtId="171" fontId="51" fillId="5"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52" fillId="0" borderId="0" xfId="0" applyFont="true" applyBorder="true" applyAlignment="true" applyProtection="false">
      <alignment horizontal="left" vertical="center" textRotation="0" wrapText="false" indent="0" shrinkToFit="false"/>
      <protection locked="true" hidden="false"/>
    </xf>
    <xf numFmtId="164" fontId="6" fillId="11" borderId="0" xfId="0" applyFont="true" applyBorder="true" applyAlignment="true" applyProtection="false">
      <alignment horizontal="left" vertical="center" textRotation="0" wrapText="false" indent="1"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6" fillId="22" borderId="0" xfId="0" applyFont="true" applyBorder="true" applyAlignment="true" applyProtection="false">
      <alignment horizontal="left" vertical="center" textRotation="0" wrapText="false" indent="1" shrinkToFit="false"/>
      <protection locked="true" hidden="false"/>
    </xf>
    <xf numFmtId="164" fontId="26" fillId="26" borderId="3" xfId="0" applyFont="true" applyBorder="true" applyAlignment="true" applyProtection="false">
      <alignment horizontal="left" vertical="center" textRotation="0" wrapText="true" indent="1" shrinkToFit="false"/>
      <protection locked="true" hidden="false"/>
    </xf>
    <xf numFmtId="164" fontId="53" fillId="25" borderId="1" xfId="0" applyFont="true" applyBorder="true" applyAlignment="true" applyProtection="false">
      <alignment horizontal="left" vertical="center" textRotation="0" wrapText="true" indent="1" shrinkToFit="false"/>
      <protection locked="true" hidden="false"/>
    </xf>
    <xf numFmtId="164" fontId="54" fillId="3" borderId="1" xfId="0" applyFont="true" applyBorder="true" applyAlignment="true" applyProtection="false">
      <alignment horizontal="center" vertical="center" textRotation="0" wrapText="true" indent="0" shrinkToFit="false"/>
      <protection locked="true" hidden="false"/>
    </xf>
    <xf numFmtId="164" fontId="26" fillId="26" borderId="1" xfId="0" applyFont="true" applyBorder="true" applyAlignment="true" applyProtection="false">
      <alignment horizontal="left" vertical="center" textRotation="0" wrapText="true" indent="1" shrinkToFit="false"/>
      <protection locked="true" hidden="false"/>
    </xf>
    <xf numFmtId="164" fontId="6" fillId="28" borderId="3" xfId="0" applyFont="true" applyBorder="true" applyAlignment="true" applyProtection="false">
      <alignment horizontal="center" vertical="center" textRotation="0" wrapText="true" indent="0" shrinkToFit="false"/>
      <protection locked="true" hidden="false"/>
    </xf>
    <xf numFmtId="164" fontId="55" fillId="25" borderId="1" xfId="0" applyFont="true" applyBorder="true" applyAlignment="true" applyProtection="false">
      <alignment horizontal="center" vertical="center" textRotation="0" wrapText="false" indent="0" shrinkToFit="false"/>
      <protection locked="true" hidden="false"/>
    </xf>
    <xf numFmtId="164" fontId="56" fillId="24" borderId="3" xfId="0" applyFont="true" applyBorder="true" applyAlignment="true" applyProtection="false">
      <alignment horizontal="left" vertical="center" textRotation="0" wrapText="true" indent="1" shrinkToFit="false"/>
      <protection locked="true" hidden="false"/>
    </xf>
    <xf numFmtId="164" fontId="41" fillId="29" borderId="0" xfId="0" applyFont="true" applyBorder="false" applyAlignment="true" applyProtection="false">
      <alignment horizontal="center" vertical="center" textRotation="0" wrapText="tru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ont>
        <name val="Calibri"/>
        <charset val="1"/>
        <family val="0"/>
        <b val="1"/>
        <color rgb="FFFFFFFF"/>
        <sz val="10"/>
      </font>
      <fill>
        <patternFill>
          <bgColor rgb="FF70AD47"/>
        </patternFill>
      </fill>
    </dxf>
    <dxf>
      <font>
        <name val="Calibri"/>
        <charset val="1"/>
        <family val="0"/>
        <b val="1"/>
        <color rgb="FFFFFFFF"/>
        <sz val="10"/>
      </font>
      <fill>
        <patternFill>
          <bgColor rgb="FFFFD966"/>
        </patternFill>
      </fill>
    </dxf>
    <dxf>
      <font>
        <name val="Calibri"/>
        <charset val="1"/>
        <family val="0"/>
        <b val="1"/>
        <color rgb="FFFFFFFF"/>
        <sz val="10"/>
      </font>
      <fill>
        <patternFill>
          <bgColor rgb="FFED7D31"/>
        </patternFill>
      </fill>
    </dxf>
    <dxf>
      <font>
        <name val="Calibri"/>
        <charset val="1"/>
        <family val="0"/>
        <b val="1"/>
        <color rgb="FFFFFFFF"/>
        <sz val="10"/>
      </font>
      <fill>
        <patternFill>
          <bgColor rgb="FFC00000"/>
        </patternFill>
      </fill>
    </dxf>
    <dxf>
      <font>
        <name val="Calibri"/>
        <charset val="1"/>
        <family val="0"/>
        <b val="1"/>
        <color rgb="FFFFFFFF"/>
        <sz val="10"/>
      </font>
      <fill>
        <patternFill>
          <bgColor rgb="FF385723"/>
        </patternFill>
      </fill>
    </dxf>
    <dxf>
      <font>
        <name val="Calibri"/>
        <charset val="1"/>
        <family val="0"/>
        <b val="1"/>
        <color rgb="FFFFFFFF"/>
        <sz val="10"/>
      </font>
      <fill>
        <patternFill>
          <bgColor rgb="FFBF6312"/>
        </patternFill>
      </fill>
    </dxf>
    <dxf>
      <font>
        <name val="Calibri"/>
        <charset val="1"/>
        <family val="0"/>
        <b val="1"/>
        <color rgb="FFFFFFFF"/>
        <sz val="10"/>
      </font>
      <fill>
        <patternFill>
          <bgColor rgb="FF404040"/>
        </patternFill>
      </fill>
    </dxf>
    <dxf>
      <font>
        <name val="Calibri"/>
        <charset val="1"/>
        <family val="0"/>
        <b val="1"/>
        <color rgb="FFFFFFFF"/>
        <sz val="10"/>
      </font>
      <fill>
        <patternFill>
          <bgColor rgb="FF595959"/>
        </patternFill>
      </fill>
    </dxf>
    <dxf>
      <font>
        <name val="Calibri"/>
        <charset val="1"/>
        <family val="0"/>
        <b val="1"/>
        <color rgb="FFC00000"/>
        <sz val="10"/>
      </font>
      <fill>
        <patternFill>
          <bgColor rgb="FFFFE6E6"/>
        </patternFill>
      </fill>
    </dxf>
    <dxf>
      <font>
        <name val="Calibri"/>
        <charset val="1"/>
        <family val="0"/>
        <b val="1"/>
        <color rgb="FFC00000"/>
        <sz val="10"/>
      </font>
      <fill>
        <patternFill>
          <bgColor rgb="FFF8CBAD"/>
        </patternFill>
      </fill>
    </dxf>
    <dxf>
      <font>
        <name val="Calibri"/>
        <charset val="1"/>
        <family val="0"/>
        <b val="1"/>
        <color rgb="FF385723"/>
        <sz val="10"/>
      </font>
      <fill>
        <patternFill>
          <bgColor rgb="FFC6EFCE"/>
        </patternFill>
      </fill>
    </dxf>
  </dxfs>
  <colors>
    <indexedColors>
      <rgbColor rgb="FF000000"/>
      <rgbColor rgb="FFFFFFFF"/>
      <rgbColor rgb="FFC00000"/>
      <rgbColor rgb="FF00FF00"/>
      <rgbColor rgb="FF0000FF"/>
      <rgbColor rgb="FFE2F0D9"/>
      <rgbColor rgb="FFFF00FF"/>
      <rgbColor rgb="FF00FFFF"/>
      <rgbColor rgb="FF800000"/>
      <rgbColor rgb="FF008000"/>
      <rgbColor rgb="FF000080"/>
      <rgbColor rgb="FF7F6000"/>
      <rgbColor rgb="FF800080"/>
      <rgbColor rgb="FF1A6985"/>
      <rgbColor rgb="FFBFBFBF"/>
      <rgbColor rgb="FF808080"/>
      <rgbColor rgb="FFF2F2F2"/>
      <rgbColor rgb="FF7030A0"/>
      <rgbColor rgb="FFFFF2CC"/>
      <rgbColor rgb="FFD6EAF1"/>
      <rgbColor rgb="FF660066"/>
      <rgbColor rgb="FFFAFAFA"/>
      <rgbColor rgb="FF2E75B6"/>
      <rgbColor rgb="FFD9D9D9"/>
      <rgbColor rgb="FF000080"/>
      <rgbColor rgb="FFFF00FF"/>
      <rgbColor rgb="FFFFE6E6"/>
      <rgbColor rgb="FF00FFFF"/>
      <rgbColor rgb="FF800080"/>
      <rgbColor rgb="FF800000"/>
      <rgbColor rgb="FF00B050"/>
      <rgbColor rgb="FF0000FF"/>
      <rgbColor rgb="FF00CCFF"/>
      <rgbColor rgb="FFEBF5FB"/>
      <rgbColor rgb="FFC6EFCE"/>
      <rgbColor rgb="FFFFFCEB"/>
      <rgbColor rgb="FFE9DCF2"/>
      <rgbColor rgb="FFFCE4D6"/>
      <rgbColor rgb="FFFCE4E4"/>
      <rgbColor rgb="FFF8CBAD"/>
      <rgbColor rgb="FF4285F4"/>
      <rgbColor rgb="FF33CCCC"/>
      <rgbColor rgb="FF99CC00"/>
      <rgbColor rgb="FFFFD966"/>
      <rgbColor rgb="FFBF8F00"/>
      <rgbColor rgb="FFED7D31"/>
      <rgbColor rgb="FF595959"/>
      <rgbColor rgb="FF70AD47"/>
      <rgbColor rgb="FF1F3864"/>
      <rgbColor rgb="FF548235"/>
      <rgbColor rgb="FF003300"/>
      <rgbColor rgb="FF385723"/>
      <rgbColor rgb="FFC65911"/>
      <rgbColor rgb="FFBF6312"/>
      <rgbColor rgb="FF0E4F6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Répartition des activités par statut</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ser>
        <c:gapWidth val="150"/>
        <c:overlap val="0"/>
        <c:axId val="1207339"/>
        <c:axId val="72289209"/>
      </c:barChart>
      <c:catAx>
        <c:axId val="1207339"/>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Nombre d'activités</a:t>
                </a:r>
              </a:p>
            </c:rich>
          </c:tx>
          <c:overlay val="0"/>
          <c:spPr>
            <a:noFill/>
            <a:ln w="0">
              <a:noFill/>
            </a:ln>
          </c:spPr>
        </c:title>
        <c:numFmt formatCode="[$-409]mm/dd/yy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289209"/>
        <c:crosses val="autoZero"/>
        <c:auto val="1"/>
        <c:lblAlgn val="ctr"/>
        <c:lblOffset val="100"/>
        <c:noMultiLvlLbl val="0"/>
      </c:catAx>
      <c:valAx>
        <c:axId val="72289209"/>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Statut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073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19</xdr:row>
      <xdr:rowOff>0</xdr:rowOff>
    </xdr:from>
    <xdr:to>
      <xdr:col>8</xdr:col>
      <xdr:colOff>274680</xdr:colOff>
      <xdr:row>43</xdr:row>
      <xdr:rowOff>206280</xdr:rowOff>
    </xdr:to>
    <xdr:graphicFrame>
      <xdr:nvGraphicFramePr>
        <xdr:cNvPr id="0" name="Chart 1"/>
        <xdr:cNvGraphicFramePr/>
      </xdr:nvGraphicFramePr>
      <xdr:xfrm>
        <a:off x="141120" y="5095800"/>
        <a:ext cx="6477120" cy="359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2.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3.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4F66"/>
    <pageSetUpPr fitToPage="false"/>
  </sheetPr>
  <dimension ref="B2:N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6" min="2" style="1" width="14"/>
    <col collapsed="false" customWidth="true" hidden="false" outlineLevel="0" max="7" min="7" style="1" width="4"/>
    <col collapsed="false" customWidth="true" hidden="false" outlineLevel="0" max="14" min="8" style="1" width="14"/>
  </cols>
  <sheetData>
    <row r="2" customFormat="false" ht="31.5" hidden="false" customHeight="true" outlineLevel="0" collapsed="false">
      <c r="B2" s="2" t="s">
        <v>0</v>
      </c>
      <c r="C2" s="2"/>
      <c r="D2" s="2"/>
      <c r="E2" s="2"/>
      <c r="F2" s="2"/>
      <c r="G2" s="2"/>
      <c r="H2" s="2"/>
      <c r="I2" s="2"/>
      <c r="J2" s="2"/>
      <c r="K2" s="2"/>
      <c r="L2" s="2"/>
      <c r="M2" s="2"/>
      <c r="N2" s="2"/>
    </row>
    <row r="3" customFormat="false" ht="21.75" hidden="false" customHeight="true" outlineLevel="0" collapsed="false">
      <c r="B3" s="3" t="s">
        <v>1</v>
      </c>
      <c r="C3" s="3"/>
      <c r="D3" s="3"/>
      <c r="E3" s="3"/>
      <c r="F3" s="3"/>
      <c r="G3" s="3"/>
      <c r="H3" s="3"/>
      <c r="I3" s="3"/>
      <c r="J3" s="3"/>
      <c r="K3" s="3"/>
      <c r="L3" s="3"/>
      <c r="M3" s="3"/>
      <c r="N3" s="3"/>
    </row>
    <row r="5" customFormat="false" ht="21.75" hidden="false" customHeight="true" outlineLevel="0" collapsed="false">
      <c r="B5" s="4" t="s">
        <v>2</v>
      </c>
      <c r="C5" s="4"/>
      <c r="D5" s="4"/>
      <c r="E5" s="4"/>
      <c r="F5" s="4"/>
      <c r="H5" s="5" t="s">
        <v>3</v>
      </c>
      <c r="I5" s="5"/>
      <c r="J5" s="5"/>
      <c r="K5" s="5"/>
      <c r="L5" s="5"/>
      <c r="M5" s="5"/>
      <c r="N5" s="5"/>
    </row>
    <row r="6" customFormat="false" ht="27.75" hidden="false" customHeight="true" outlineLevel="0" collapsed="false">
      <c r="B6" s="6" t="s">
        <v>4</v>
      </c>
      <c r="C6" s="6"/>
      <c r="D6" s="7" t="s">
        <v>5</v>
      </c>
      <c r="E6" s="7"/>
      <c r="F6" s="7"/>
      <c r="H6" s="8" t="s">
        <v>6</v>
      </c>
      <c r="I6" s="8"/>
      <c r="J6" s="9" t="s">
        <v>7</v>
      </c>
      <c r="K6" s="9"/>
      <c r="L6" s="9"/>
      <c r="M6" s="9"/>
      <c r="N6" s="9"/>
    </row>
    <row r="7" customFormat="false" ht="18" hidden="false" customHeight="true" outlineLevel="0" collapsed="false">
      <c r="B7" s="10" t="s">
        <v>8</v>
      </c>
      <c r="C7" s="10"/>
      <c r="D7" s="11" t="s">
        <v>9</v>
      </c>
      <c r="E7" s="11"/>
      <c r="F7" s="11"/>
      <c r="H7" s="12" t="s">
        <v>10</v>
      </c>
      <c r="I7" s="12"/>
      <c r="J7" s="12"/>
      <c r="K7" s="12"/>
      <c r="L7" s="12"/>
      <c r="M7" s="12"/>
      <c r="N7" s="12"/>
    </row>
    <row r="8" customFormat="false" ht="18" hidden="false" customHeight="true" outlineLevel="0" collapsed="false">
      <c r="B8" s="6" t="s">
        <v>11</v>
      </c>
      <c r="C8" s="6"/>
      <c r="D8" s="7" t="s">
        <v>12</v>
      </c>
      <c r="E8" s="7"/>
      <c r="F8" s="7"/>
    </row>
    <row r="9" customFormat="false" ht="21.75" hidden="false" customHeight="true" outlineLevel="0" collapsed="false">
      <c r="B9" s="10" t="s">
        <v>13</v>
      </c>
      <c r="C9" s="10"/>
      <c r="D9" s="11" t="s">
        <v>14</v>
      </c>
      <c r="E9" s="11"/>
      <c r="F9" s="11"/>
      <c r="H9" s="4" t="s">
        <v>15</v>
      </c>
      <c r="I9" s="4"/>
      <c r="J9" s="4"/>
      <c r="K9" s="4"/>
      <c r="L9" s="4"/>
      <c r="M9" s="4"/>
      <c r="N9" s="4"/>
    </row>
    <row r="10" customFormat="false" ht="21.75" hidden="false" customHeight="true" outlineLevel="0" collapsed="false">
      <c r="B10" s="6" t="s">
        <v>16</v>
      </c>
      <c r="C10" s="6"/>
      <c r="D10" s="7" t="s">
        <v>17</v>
      </c>
      <c r="E10" s="7"/>
      <c r="F10" s="7"/>
      <c r="H10" s="4" t="s">
        <v>18</v>
      </c>
      <c r="I10" s="4"/>
      <c r="J10" s="4"/>
      <c r="K10" s="4"/>
      <c r="L10" s="4" t="s">
        <v>19</v>
      </c>
      <c r="M10" s="4"/>
      <c r="N10" s="4"/>
    </row>
    <row r="11" customFormat="false" ht="21.75" hidden="false" customHeight="true" outlineLevel="0" collapsed="false">
      <c r="B11" s="10" t="s">
        <v>20</v>
      </c>
      <c r="C11" s="10"/>
      <c r="D11" s="11" t="s">
        <v>21</v>
      </c>
      <c r="E11" s="11"/>
      <c r="F11" s="11"/>
      <c r="H11" s="6" t="s">
        <v>22</v>
      </c>
      <c r="I11" s="6"/>
      <c r="J11" s="6"/>
      <c r="K11" s="6"/>
      <c r="L11" s="13" t="n">
        <f aca="false">IF($J$6="EQUIFILLES",COUNTA('5. Gantt EQUIFILLES'!B6:B205)-COUNTBLANK('5. Gantt EQUIFILLES'!B6:B205),IF($J$6="SPACE TO LEAD",COUNTA('10. Gantt S2L'!B6:B205)-COUNTBLANK('10. Gantt S2L'!B6:B205),COUNTA('5. Gantt EQUIFILLES'!B6:B205)+COUNTA('10. Gantt S2L'!B6:B205)-COUNTBLANK('5. Gantt EQUIFILLES'!B6:B205)-COUNTBLANK('10. Gantt S2L'!B6:B205)))</f>
        <v>-300</v>
      </c>
      <c r="M11" s="13"/>
      <c r="N11" s="13"/>
    </row>
    <row r="12" customFormat="false" ht="21.75" hidden="false" customHeight="true" outlineLevel="0" collapsed="false">
      <c r="H12" s="10" t="s">
        <v>23</v>
      </c>
      <c r="I12" s="10"/>
      <c r="J12" s="10"/>
      <c r="K12" s="10"/>
      <c r="L12" s="14" t="n">
        <f aca="false">IF($J$6="EQUIFILLES",COUNTIF('5. Gantt EQUIFILLES'!Q6:Q205,"Terminé à temps")+COUNTIF('5. Gantt EQUIFILLES'!Q6:Q205,"Terminé hors délai"),IF($J$6="SPACE TO LEAD",COUNTIF('10. Gantt S2L'!Q6:Q205,"Terminé à temps")+COUNTIF('10. Gantt S2L'!Q6:Q205,"Terminé hors délai"),COUNTIF('5. Gantt EQUIFILLES'!Q6:Q205,"Terminé à temps")+COUNTIF('5. Gantt EQUIFILLES'!Q6:Q205,"Terminé hors délai")+COUNTIF('10. Gantt S2L'!Q6:Q205,"Terminé à temps")+COUNTIF('10. Gantt S2L'!Q6:Q205,"Terminé hors délai")))</f>
        <v>0</v>
      </c>
      <c r="M12" s="14"/>
      <c r="N12" s="14"/>
    </row>
    <row r="13" customFormat="false" ht="21.75" hidden="false" customHeight="true" outlineLevel="0" collapsed="false">
      <c r="H13" s="6" t="s">
        <v>24</v>
      </c>
      <c r="I13" s="6"/>
      <c r="J13" s="6"/>
      <c r="K13" s="6"/>
      <c r="L13" s="15" t="n">
        <f aca="false">IF($J$6="EQUIFILLES",COUNTIF('5. Gantt EQUIFILLES'!Q6:Q205,"En retard"),IF($J$6="SPACE TO LEAD",COUNTIF('10. Gantt S2L'!Q6:Q205,"En retard"),COUNTIF('5. Gantt EQUIFILLES'!Q6:Q205,"En retard")+COUNTIF('10. Gantt S2L'!Q6:Q205,"En retard")))</f>
        <v>21</v>
      </c>
      <c r="M13" s="15"/>
      <c r="N13" s="15"/>
    </row>
    <row r="14" customFormat="false" ht="21.75" hidden="false" customHeight="true" outlineLevel="0" collapsed="false">
      <c r="H14" s="10" t="s">
        <v>25</v>
      </c>
      <c r="I14" s="10"/>
      <c r="J14" s="10"/>
      <c r="K14" s="10"/>
      <c r="L14" s="16" t="n">
        <f aca="false">IF($J$6="EQUIFILLES",COUNTIF('5. Gantt EQUIFILLES'!Q6:Q205,"Critique"),IF($J$6="SPACE TO LEAD",COUNTIF('10. Gantt S2L'!Q6:Q205,"Critique"),COUNTIF('5. Gantt EQUIFILLES'!Q6:Q205,"Critique")+COUNTIF('10. Gantt S2L'!Q6:Q205,"Critique")))</f>
        <v>7</v>
      </c>
      <c r="M14" s="16"/>
      <c r="N14" s="16"/>
    </row>
    <row r="15" customFormat="false" ht="21.75" hidden="false" customHeight="true" outlineLevel="0" collapsed="false">
      <c r="H15" s="6" t="s">
        <v>26</v>
      </c>
      <c r="I15" s="6"/>
      <c r="J15" s="6"/>
      <c r="K15" s="6"/>
      <c r="L15" s="17" t="n">
        <f aca="false">IFERROR(IF($J$6="EQUIFILLES",AVERAGEIF('5. Gantt EQUIFILLES'!B6:B205,"&lt;&gt;",'5. Gantt EQUIFILLES'!N6:N205),IF($J$6="SPACE TO LEAD",AVERAGEIF('10. Gantt S2L'!B6:B205,"&lt;&gt;",'10. Gantt S2L'!N6:N205),(SUMIF('5. Gantt EQUIFILLES'!B6:B205,"&lt;&gt;",'5. Gantt EQUIFILLES'!N6:N205)+SUMIF('10. Gantt S2L'!B6:B205,"&lt;&gt;",'10. Gantt S2L'!N6:N205))/(COUNTIF('5. Gantt EQUIFILLES'!B6:B205,"&lt;&gt;")+COUNTIF('10. Gantt S2L'!B6:B205,"&lt;&gt;"))))/100,0)</f>
        <v>0</v>
      </c>
      <c r="M15" s="17"/>
      <c r="N15" s="17"/>
    </row>
    <row r="16" customFormat="false" ht="21.75" hidden="false" customHeight="true" outlineLevel="0" collapsed="false">
      <c r="H16" s="10" t="s">
        <v>27</v>
      </c>
      <c r="I16" s="10"/>
      <c r="J16" s="10"/>
      <c r="K16" s="10"/>
      <c r="L16" s="18" t="n">
        <f aca="false">IF($J$6="EQUIFILLES",SUM('5. Gantt EQUIFILLES'!O6:O205),IF($J$6="SPACE TO LEAD",SUM('10. Gantt S2L'!O6:O205),SUM('5. Gantt EQUIFILLES'!O6:O205)+SUM('10. Gantt S2L'!O6:O205)))</f>
        <v>152708466</v>
      </c>
      <c r="M16" s="18"/>
      <c r="N16" s="18"/>
    </row>
    <row r="17" customFormat="false" ht="21.75" hidden="false" customHeight="true" outlineLevel="0" collapsed="false">
      <c r="H17" s="6" t="s">
        <v>28</v>
      </c>
      <c r="I17" s="6"/>
      <c r="J17" s="6"/>
      <c r="K17" s="6"/>
      <c r="L17" s="19" t="n">
        <f aca="false">IF($J$6="EQUIFILLES",SUM('5. Gantt EQUIFILLES'!P6:P205),IF($J$6="SPACE TO LEAD",SUM('10. Gantt S2L'!P6:P205),SUM('5. Gantt EQUIFILLES'!P6:P205)+SUM('10. Gantt S2L'!P6:P205)))</f>
        <v>0</v>
      </c>
      <c r="M17" s="19"/>
      <c r="N17" s="19"/>
    </row>
    <row r="18" customFormat="false" ht="21.75" hidden="false" customHeight="true" outlineLevel="0" collapsed="false">
      <c r="H18" s="10" t="s">
        <v>29</v>
      </c>
      <c r="I18" s="10"/>
      <c r="J18" s="10"/>
      <c r="K18" s="10"/>
      <c r="L18" s="20" t="n">
        <f aca="false">IFERROR(IF($J$6="EQUIFILLES",SUM('5. Gantt EQUIFILLES'!P6:P205)/SUM('5. Gantt EQUIFILLES'!O6:O205),IF($J$6="SPACE TO LEAD",SUM('10. Gantt S2L'!P6:P205)/SUM('10. Gantt S2L'!O6:O205),(SUM('5. Gantt EQUIFILLES'!P6:P205)+SUM('10. Gantt S2L'!P6:P205))/(SUM('5. Gantt EQUIFILLES'!O6:O205)+SUM('10. Gantt S2L'!O6:O205)))),0)</f>
        <v>0</v>
      </c>
      <c r="M18" s="20"/>
      <c r="N18" s="20"/>
    </row>
    <row r="30" customFormat="false" ht="15" hidden="true" customHeight="true" outlineLevel="0" collapsed="false">
      <c r="B30" s="21" t="s">
        <v>30</v>
      </c>
      <c r="C30" s="21" t="s">
        <v>31</v>
      </c>
    </row>
    <row r="31" customFormat="false" ht="15" hidden="true" customHeight="true" outlineLevel="0" collapsed="false">
      <c r="B31" s="1" t="s">
        <v>32</v>
      </c>
      <c r="C31" s="1" t="n">
        <f aca="false">IF($J$6="EQUIFILLES",COUNTIF('5. Gantt EQUIFILLES'!Q6:Q205,"Terminé à temps"),IF($J$6="SPACE TO LEAD",COUNTIF('10. Gantt S2L'!Q6:Q205,"Terminé à temps"),COUNTIF('5. Gantt EQUIFILLES'!Q6:Q205,"Terminé à temps")+COUNTIF('10. Gantt S2L'!Q6:Q205,"Terminé à temps")))</f>
        <v>0</v>
      </c>
    </row>
    <row r="32" customFormat="false" ht="15" hidden="true" customHeight="true" outlineLevel="0" collapsed="false">
      <c r="B32" s="1" t="s">
        <v>33</v>
      </c>
      <c r="C32" s="1" t="n">
        <f aca="false">IF($J$6="EQUIFILLES",COUNTIF('5. Gantt EQUIFILLES'!Q6:Q205,"Terminé hors délai"),IF($J$6="SPACE TO LEAD",COUNTIF('10. Gantt S2L'!Q6:Q205,"Terminé hors délai"),COUNTIF('5. Gantt EQUIFILLES'!Q6:Q205,"Terminé hors délai")+COUNTIF('10. Gantt S2L'!Q6:Q205,"Terminé hors délai")))</f>
        <v>0</v>
      </c>
    </row>
    <row r="33" customFormat="false" ht="15" hidden="true" customHeight="true" outlineLevel="0" collapsed="false">
      <c r="B33" s="1" t="s">
        <v>34</v>
      </c>
      <c r="C33" s="1" t="n">
        <f aca="false">IF($J$6="EQUIFILLES",COUNTIF('5. Gantt EQUIFILLES'!Q6:Q205,"À temps"),IF($J$6="SPACE TO LEAD",COUNTIF('10. Gantt S2L'!Q6:Q205,"À temps"),COUNTIF('5. Gantt EQUIFILLES'!Q6:Q205,"À temps")+COUNTIF('10. Gantt S2L'!Q6:Q205,"À temps")))</f>
        <v>0</v>
      </c>
    </row>
    <row r="34" customFormat="false" ht="15" hidden="true" customHeight="true" outlineLevel="0" collapsed="false">
      <c r="B34" s="1" t="s">
        <v>35</v>
      </c>
      <c r="C34" s="1" t="n">
        <f aca="false">IF($J$6="EQUIFILLES",COUNTIF('5. Gantt EQUIFILLES'!Q6:Q205,"À surveiller"),IF($J$6="SPACE TO LEAD",COUNTIF('10. Gantt S2L'!Q6:Q205,"À surveiller"),COUNTIF('5. Gantt EQUIFILLES'!Q6:Q205,"À surveiller")+COUNTIF('10. Gantt S2L'!Q6:Q205,"À surveiller")))</f>
        <v>0</v>
      </c>
    </row>
    <row r="35" customFormat="false" ht="15" hidden="true" customHeight="true" outlineLevel="0" collapsed="false">
      <c r="B35" s="1" t="s">
        <v>36</v>
      </c>
      <c r="C35" s="1" t="n">
        <f aca="false">IF($J$6="EQUIFILLES",COUNTIF('5. Gantt EQUIFILLES'!Q6:Q205,"En retard"),IF($J$6="SPACE TO LEAD",COUNTIF('10. Gantt S2L'!Q6:Q205,"En retard"),COUNTIF('5. Gantt EQUIFILLES'!Q6:Q205,"En retard")+COUNTIF('10. Gantt S2L'!Q6:Q205,"En retard")))</f>
        <v>21</v>
      </c>
    </row>
    <row r="36" customFormat="false" ht="15" hidden="true" customHeight="true" outlineLevel="0" collapsed="false">
      <c r="B36" s="1" t="s">
        <v>37</v>
      </c>
      <c r="C36" s="1" t="n">
        <f aca="false">IF($J$6="EQUIFILLES",COUNTIF('5. Gantt EQUIFILLES'!Q6:Q205,"Critique"),IF($J$6="SPACE TO LEAD",COUNTIF('10. Gantt S2L'!Q6:Q205,"Critique"),COUNTIF('5. Gantt EQUIFILLES'!Q6:Q205,"Critique")+COUNTIF('10. Gantt S2L'!Q6:Q205,"Critique")))</f>
        <v>7</v>
      </c>
    </row>
    <row r="37" customFormat="false" ht="15" hidden="true" customHeight="true" outlineLevel="0" collapsed="false"/>
    <row r="40" customFormat="false" ht="21.75" hidden="false" customHeight="true" outlineLevel="0" collapsed="false">
      <c r="B40" s="4" t="s">
        <v>38</v>
      </c>
      <c r="C40" s="4"/>
      <c r="D40" s="4"/>
      <c r="E40" s="4"/>
      <c r="F40" s="4"/>
      <c r="G40" s="4"/>
      <c r="H40" s="4"/>
      <c r="I40" s="4"/>
      <c r="J40" s="4"/>
      <c r="K40" s="4"/>
      <c r="L40" s="4"/>
      <c r="M40" s="4"/>
      <c r="N40" s="4"/>
    </row>
    <row r="41" customFormat="false" ht="21.75" hidden="false" customHeight="true" outlineLevel="0" collapsed="false">
      <c r="B41" s="22" t="s">
        <v>39</v>
      </c>
      <c r="C41" s="22"/>
      <c r="D41" s="22"/>
      <c r="E41" s="22"/>
      <c r="F41" s="22"/>
      <c r="G41" s="22"/>
      <c r="H41" s="22"/>
      <c r="I41" s="22"/>
      <c r="J41" s="22"/>
      <c r="K41" s="22"/>
      <c r="L41" s="22"/>
      <c r="M41" s="22"/>
      <c r="N41" s="22"/>
    </row>
    <row r="42" customFormat="false" ht="21.75" hidden="false" customHeight="true" outlineLevel="0" collapsed="false">
      <c r="B42" s="23" t="s">
        <v>40</v>
      </c>
      <c r="C42" s="23"/>
      <c r="D42" s="23"/>
      <c r="E42" s="23"/>
      <c r="F42" s="23"/>
      <c r="G42" s="23"/>
      <c r="H42" s="23"/>
      <c r="I42" s="23"/>
      <c r="J42" s="23"/>
      <c r="K42" s="23"/>
      <c r="L42" s="23"/>
      <c r="M42" s="23"/>
      <c r="N42" s="23"/>
    </row>
    <row r="43" customFormat="false" ht="21.75" hidden="false" customHeight="true" outlineLevel="0" collapsed="false">
      <c r="B43" s="22" t="s">
        <v>41</v>
      </c>
      <c r="C43" s="22"/>
      <c r="D43" s="22"/>
      <c r="E43" s="22"/>
      <c r="F43" s="22"/>
      <c r="G43" s="22"/>
      <c r="H43" s="22"/>
      <c r="I43" s="22"/>
      <c r="J43" s="22"/>
      <c r="K43" s="22"/>
      <c r="L43" s="22"/>
      <c r="M43" s="22"/>
      <c r="N43" s="22"/>
    </row>
    <row r="44" customFormat="false" ht="21.75" hidden="false" customHeight="true" outlineLevel="0" collapsed="false">
      <c r="B44" s="23" t="s">
        <v>42</v>
      </c>
      <c r="C44" s="23"/>
      <c r="D44" s="23"/>
      <c r="E44" s="23"/>
      <c r="F44" s="23"/>
      <c r="G44" s="23"/>
      <c r="H44" s="23"/>
      <c r="I44" s="23"/>
      <c r="J44" s="23"/>
      <c r="K44" s="23"/>
      <c r="L44" s="23"/>
      <c r="M44" s="23"/>
      <c r="N44" s="23"/>
    </row>
    <row r="45" customFormat="false" ht="21.75" hidden="false" customHeight="true" outlineLevel="0" collapsed="false">
      <c r="B45" s="22" t="s">
        <v>43</v>
      </c>
      <c r="C45" s="22"/>
      <c r="D45" s="22"/>
      <c r="E45" s="22"/>
      <c r="F45" s="22"/>
      <c r="G45" s="22"/>
      <c r="H45" s="22"/>
      <c r="I45" s="22"/>
      <c r="J45" s="22"/>
      <c r="K45" s="22"/>
      <c r="L45" s="22"/>
      <c r="M45" s="22"/>
      <c r="N45" s="22"/>
    </row>
    <row r="46" customFormat="false" ht="21.75" hidden="false" customHeight="true" outlineLevel="0" collapsed="false">
      <c r="B46" s="23" t="s">
        <v>44</v>
      </c>
      <c r="C46" s="23"/>
      <c r="D46" s="23"/>
      <c r="E46" s="23"/>
      <c r="F46" s="23"/>
      <c r="G46" s="23"/>
      <c r="H46" s="23"/>
      <c r="I46" s="23"/>
      <c r="J46" s="23"/>
      <c r="K46" s="23"/>
      <c r="L46" s="23"/>
      <c r="M46" s="23"/>
      <c r="N46" s="23"/>
    </row>
    <row r="47" customFormat="false" ht="21.75" hidden="false" customHeight="true" outlineLevel="0" collapsed="false">
      <c r="B47" s="22" t="s">
        <v>45</v>
      </c>
      <c r="C47" s="22"/>
      <c r="D47" s="22"/>
      <c r="E47" s="22"/>
      <c r="F47" s="22"/>
      <c r="G47" s="22"/>
      <c r="H47" s="22"/>
      <c r="I47" s="22"/>
      <c r="J47" s="22"/>
      <c r="K47" s="22"/>
      <c r="L47" s="22"/>
      <c r="M47" s="22"/>
      <c r="N47" s="22"/>
    </row>
  </sheetData>
  <mergeCells count="46">
    <mergeCell ref="B2:N2"/>
    <mergeCell ref="B3:N3"/>
    <mergeCell ref="B5:F5"/>
    <mergeCell ref="H5:N5"/>
    <mergeCell ref="B6:C6"/>
    <mergeCell ref="D6:F6"/>
    <mergeCell ref="H6:I6"/>
    <mergeCell ref="J6:N6"/>
    <mergeCell ref="B7:C7"/>
    <mergeCell ref="D7:F7"/>
    <mergeCell ref="H7:N7"/>
    <mergeCell ref="B8:C8"/>
    <mergeCell ref="D8:F8"/>
    <mergeCell ref="B9:C9"/>
    <mergeCell ref="D9:F9"/>
    <mergeCell ref="H9:N9"/>
    <mergeCell ref="B10:C10"/>
    <mergeCell ref="D10:F10"/>
    <mergeCell ref="H10:K10"/>
    <mergeCell ref="L10:N10"/>
    <mergeCell ref="B11:C11"/>
    <mergeCell ref="D11:F11"/>
    <mergeCell ref="H11:K11"/>
    <mergeCell ref="L11:N11"/>
    <mergeCell ref="H12:K12"/>
    <mergeCell ref="L12:N12"/>
    <mergeCell ref="H13:K13"/>
    <mergeCell ref="L13:N13"/>
    <mergeCell ref="H14:K14"/>
    <mergeCell ref="L14:N14"/>
    <mergeCell ref="H15:K15"/>
    <mergeCell ref="L15:N15"/>
    <mergeCell ref="H16:K16"/>
    <mergeCell ref="L16:N16"/>
    <mergeCell ref="H17:K17"/>
    <mergeCell ref="L17:N17"/>
    <mergeCell ref="H18:K18"/>
    <mergeCell ref="L18:N18"/>
    <mergeCell ref="B40:N40"/>
    <mergeCell ref="B41:N41"/>
    <mergeCell ref="B42:N42"/>
    <mergeCell ref="B43:N43"/>
    <mergeCell ref="B44:N44"/>
    <mergeCell ref="B45:N45"/>
    <mergeCell ref="B46:N46"/>
    <mergeCell ref="B47:N47"/>
  </mergeCells>
  <dataValidations count="1">
    <dataValidation allowBlank="false" errorStyle="stop" operator="between" showDropDown="false" showErrorMessage="false" showInputMessage="false" sqref="J6:N6" type="list">
      <formula1>"Tous les projets,EQUIFILLES,SPACE TO LEAD"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B2: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3" min="2" style="1" width="22"/>
    <col collapsed="false" customWidth="true" hidden="false" outlineLevel="0" max="4" min="4" style="1" width="38"/>
    <col collapsed="false" customWidth="true" hidden="false" outlineLevel="0" max="7" min="5" style="1" width="14"/>
    <col collapsed="false" customWidth="true" hidden="false" outlineLevel="0" max="8" min="8" style="1" width="18"/>
  </cols>
  <sheetData>
    <row r="2" customFormat="false" ht="27.75" hidden="false" customHeight="true" outlineLevel="0" collapsed="false">
      <c r="B2" s="24" t="s">
        <v>46</v>
      </c>
      <c r="C2" s="24"/>
      <c r="D2" s="24"/>
      <c r="E2" s="24"/>
      <c r="F2" s="24"/>
      <c r="G2" s="24"/>
      <c r="H2" s="24"/>
    </row>
    <row r="4" customFormat="false" ht="21.75" hidden="false" customHeight="true" outlineLevel="0" collapsed="false">
      <c r="B4" s="25" t="s">
        <v>47</v>
      </c>
      <c r="C4" s="25"/>
      <c r="D4" s="25"/>
      <c r="E4" s="25"/>
      <c r="F4" s="25"/>
      <c r="G4" s="25"/>
      <c r="H4" s="25"/>
    </row>
    <row r="5" customFormat="false" ht="21.75" hidden="false" customHeight="true" outlineLevel="0" collapsed="false">
      <c r="B5" s="26" t="s">
        <v>48</v>
      </c>
      <c r="C5" s="26" t="s">
        <v>30</v>
      </c>
      <c r="D5" s="26" t="s">
        <v>49</v>
      </c>
      <c r="E5" s="26" t="s">
        <v>50</v>
      </c>
      <c r="F5" s="26" t="s">
        <v>51</v>
      </c>
    </row>
    <row r="6" customFormat="false" ht="18" hidden="false" customHeight="true" outlineLevel="0" collapsed="false">
      <c r="B6" s="27" t="s">
        <v>52</v>
      </c>
      <c r="C6" s="7" t="s">
        <v>34</v>
      </c>
      <c r="D6" s="7" t="s">
        <v>53</v>
      </c>
      <c r="E6" s="28" t="n">
        <v>50</v>
      </c>
      <c r="F6" s="29"/>
    </row>
    <row r="7" customFormat="false" ht="18" hidden="false" customHeight="true" outlineLevel="0" collapsed="false">
      <c r="B7" s="27" t="s">
        <v>54</v>
      </c>
      <c r="C7" s="11" t="s">
        <v>35</v>
      </c>
      <c r="D7" s="11" t="s">
        <v>55</v>
      </c>
      <c r="E7" s="30" t="n">
        <v>40</v>
      </c>
      <c r="F7" s="31"/>
    </row>
    <row r="8" customFormat="false" ht="18" hidden="false" customHeight="true" outlineLevel="0" collapsed="false">
      <c r="B8" s="27" t="s">
        <v>56</v>
      </c>
      <c r="C8" s="7" t="s">
        <v>36</v>
      </c>
      <c r="D8" s="7" t="s">
        <v>57</v>
      </c>
      <c r="E8" s="28" t="n">
        <v>25</v>
      </c>
      <c r="F8" s="32"/>
    </row>
    <row r="9" customFormat="false" ht="18" hidden="false" customHeight="true" outlineLevel="0" collapsed="false">
      <c r="B9" s="27" t="s">
        <v>58</v>
      </c>
      <c r="C9" s="11" t="s">
        <v>37</v>
      </c>
      <c r="D9" s="11" t="s">
        <v>59</v>
      </c>
      <c r="E9" s="30" t="n">
        <v>10</v>
      </c>
      <c r="F9" s="33"/>
    </row>
    <row r="10" customFormat="false" ht="18" hidden="false" customHeight="true" outlineLevel="0" collapsed="false">
      <c r="B10" s="27" t="s">
        <v>60</v>
      </c>
      <c r="C10" s="7" t="s">
        <v>32</v>
      </c>
      <c r="D10" s="7" t="s">
        <v>61</v>
      </c>
      <c r="E10" s="28" t="n">
        <v>100</v>
      </c>
      <c r="F10" s="34"/>
    </row>
    <row r="11" customFormat="false" ht="18" hidden="false" customHeight="true" outlineLevel="0" collapsed="false">
      <c r="B11" s="27" t="s">
        <v>62</v>
      </c>
      <c r="C11" s="11" t="s">
        <v>33</v>
      </c>
      <c r="D11" s="11" t="s">
        <v>63</v>
      </c>
      <c r="E11" s="30" t="n">
        <v>75</v>
      </c>
      <c r="F11" s="35"/>
    </row>
    <row r="12" customFormat="false" ht="18" hidden="false" customHeight="true" outlineLevel="0" collapsed="false">
      <c r="B12" s="27" t="s">
        <v>64</v>
      </c>
      <c r="C12" s="7" t="s">
        <v>65</v>
      </c>
      <c r="D12" s="7" t="s">
        <v>66</v>
      </c>
      <c r="E12" s="28" t="n">
        <v>0</v>
      </c>
      <c r="F12" s="36"/>
    </row>
    <row r="13" customFormat="false" ht="18" hidden="false" customHeight="true" outlineLevel="0" collapsed="false">
      <c r="B13" s="27" t="s">
        <v>67</v>
      </c>
      <c r="C13" s="11" t="s">
        <v>68</v>
      </c>
      <c r="D13" s="11" t="s">
        <v>69</v>
      </c>
      <c r="E13" s="30" t="n">
        <v>50</v>
      </c>
      <c r="F13" s="37"/>
    </row>
    <row r="15" customFormat="false" ht="21.75" hidden="false" customHeight="true" outlineLevel="0" collapsed="false">
      <c r="B15" s="25" t="s">
        <v>70</v>
      </c>
      <c r="C15" s="25"/>
      <c r="D15" s="25"/>
      <c r="E15" s="25"/>
      <c r="F15" s="25"/>
      <c r="G15" s="25"/>
      <c r="H15" s="25"/>
    </row>
    <row r="16" customFormat="false" ht="21.75" hidden="false" customHeight="true" outlineLevel="0" collapsed="false">
      <c r="B16" s="26" t="s">
        <v>71</v>
      </c>
      <c r="C16" s="26" t="s">
        <v>72</v>
      </c>
      <c r="D16" s="26" t="s">
        <v>49</v>
      </c>
      <c r="E16" s="26" t="s">
        <v>73</v>
      </c>
    </row>
    <row r="17" customFormat="false" ht="18" hidden="false" customHeight="true" outlineLevel="0" collapsed="false">
      <c r="B17" s="27" t="n">
        <v>1</v>
      </c>
      <c r="C17" s="11" t="s">
        <v>74</v>
      </c>
      <c r="D17" s="11" t="s">
        <v>75</v>
      </c>
      <c r="E17" s="30" t="n">
        <v>1</v>
      </c>
    </row>
    <row r="18" customFormat="false" ht="18" hidden="false" customHeight="true" outlineLevel="0" collapsed="false">
      <c r="B18" s="38" t="n">
        <v>2</v>
      </c>
      <c r="C18" s="7" t="s">
        <v>76</v>
      </c>
      <c r="D18" s="7" t="s">
        <v>77</v>
      </c>
      <c r="E18" s="28" t="n">
        <v>2</v>
      </c>
    </row>
    <row r="19" customFormat="false" ht="18" hidden="false" customHeight="true" outlineLevel="0" collapsed="false">
      <c r="B19" s="27" t="n">
        <v>3</v>
      </c>
      <c r="C19" s="11" t="s">
        <v>37</v>
      </c>
      <c r="D19" s="11" t="s">
        <v>78</v>
      </c>
      <c r="E19" s="30" t="n">
        <v>3</v>
      </c>
    </row>
    <row r="21" customFormat="false" ht="21.75" hidden="false" customHeight="true" outlineLevel="0" collapsed="false">
      <c r="B21" s="25" t="s">
        <v>79</v>
      </c>
      <c r="C21" s="25"/>
      <c r="D21" s="25"/>
      <c r="E21" s="25"/>
      <c r="F21" s="25"/>
      <c r="G21" s="25"/>
      <c r="H21" s="25"/>
    </row>
    <row r="22" customFormat="false" ht="21.75" hidden="false" customHeight="true" outlineLevel="0" collapsed="false">
      <c r="B22" s="26" t="s">
        <v>80</v>
      </c>
      <c r="C22" s="26" t="s">
        <v>19</v>
      </c>
      <c r="D22" s="26" t="s">
        <v>81</v>
      </c>
      <c r="E22" s="26" t="s">
        <v>49</v>
      </c>
    </row>
    <row r="23" customFormat="false" ht="18" hidden="false" customHeight="true" outlineLevel="0" collapsed="false">
      <c r="B23" s="10" t="s">
        <v>82</v>
      </c>
      <c r="C23" s="30" t="n">
        <v>7</v>
      </c>
      <c r="D23" s="30" t="s">
        <v>83</v>
      </c>
      <c r="E23" s="11" t="s">
        <v>84</v>
      </c>
    </row>
    <row r="24" customFormat="false" ht="18" hidden="false" customHeight="true" outlineLevel="0" collapsed="false">
      <c r="B24" s="6" t="s">
        <v>85</v>
      </c>
      <c r="C24" s="28" t="n">
        <v>30</v>
      </c>
      <c r="D24" s="28" t="s">
        <v>83</v>
      </c>
      <c r="E24" s="7" t="s">
        <v>86</v>
      </c>
    </row>
    <row r="25" customFormat="false" ht="18" hidden="false" customHeight="true" outlineLevel="0" collapsed="false">
      <c r="B25" s="10" t="s">
        <v>87</v>
      </c>
      <c r="C25" s="30" t="n">
        <v>85</v>
      </c>
      <c r="D25" s="30" t="s">
        <v>88</v>
      </c>
      <c r="E25" s="11" t="s">
        <v>89</v>
      </c>
    </row>
    <row r="26" customFormat="false" ht="18" hidden="false" customHeight="true" outlineLevel="0" collapsed="false">
      <c r="B26" s="6" t="s">
        <v>90</v>
      </c>
      <c r="C26" s="28" t="n">
        <v>65</v>
      </c>
      <c r="D26" s="28" t="s">
        <v>88</v>
      </c>
      <c r="E26" s="7" t="s">
        <v>91</v>
      </c>
    </row>
    <row r="27" customFormat="false" ht="18" hidden="false" customHeight="true" outlineLevel="0" collapsed="false">
      <c r="B27" s="10" t="s">
        <v>92</v>
      </c>
      <c r="C27" s="30" t="n">
        <v>30</v>
      </c>
      <c r="D27" s="30" t="s">
        <v>83</v>
      </c>
      <c r="E27" s="11" t="s">
        <v>93</v>
      </c>
    </row>
    <row r="28" customFormat="false" ht="18" hidden="false" customHeight="true" outlineLevel="0" collapsed="false">
      <c r="B28" s="6" t="s">
        <v>94</v>
      </c>
      <c r="C28" s="28" t="n">
        <v>100</v>
      </c>
      <c r="D28" s="28" t="s">
        <v>88</v>
      </c>
      <c r="E28" s="7" t="s">
        <v>95</v>
      </c>
    </row>
    <row r="31" customFormat="false" ht="21.75" hidden="false" customHeight="true" outlineLevel="0" collapsed="false">
      <c r="B31" s="25" t="s">
        <v>96</v>
      </c>
      <c r="C31" s="25"/>
      <c r="D31" s="25"/>
      <c r="E31" s="25"/>
      <c r="F31" s="25"/>
      <c r="G31" s="25"/>
      <c r="H31" s="25"/>
    </row>
    <row r="32" customFormat="false" ht="15" hidden="false" customHeight="true" outlineLevel="0" collapsed="false">
      <c r="B32" s="26" t="s">
        <v>97</v>
      </c>
      <c r="C32" s="26" t="s">
        <v>98</v>
      </c>
      <c r="D32" s="26" t="s">
        <v>99</v>
      </c>
      <c r="E32" s="26" t="s">
        <v>100</v>
      </c>
      <c r="F32" s="26" t="s">
        <v>101</v>
      </c>
      <c r="G32" s="26" t="s">
        <v>102</v>
      </c>
    </row>
    <row r="33" customFormat="false" ht="15" hidden="false" customHeight="true" outlineLevel="0" collapsed="false">
      <c r="B33" s="7" t="s">
        <v>103</v>
      </c>
      <c r="C33" s="7" t="s">
        <v>34</v>
      </c>
      <c r="D33" s="7" t="n">
        <v>1</v>
      </c>
      <c r="E33" s="7" t="s">
        <v>104</v>
      </c>
      <c r="F33" s="7" t="s">
        <v>105</v>
      </c>
      <c r="G33" s="7" t="s">
        <v>106</v>
      </c>
    </row>
    <row r="34" customFormat="false" ht="15" hidden="false" customHeight="true" outlineLevel="0" collapsed="false">
      <c r="B34" s="11" t="s">
        <v>107</v>
      </c>
      <c r="C34" s="11" t="s">
        <v>35</v>
      </c>
      <c r="D34" s="11" t="n">
        <v>2</v>
      </c>
      <c r="E34" s="11" t="s">
        <v>108</v>
      </c>
      <c r="F34" s="11" t="s">
        <v>109</v>
      </c>
      <c r="G34" s="11" t="s">
        <v>110</v>
      </c>
    </row>
    <row r="35" customFormat="false" ht="15" hidden="false" customHeight="true" outlineLevel="0" collapsed="false">
      <c r="B35" s="7" t="s">
        <v>111</v>
      </c>
      <c r="C35" s="7" t="s">
        <v>36</v>
      </c>
      <c r="D35" s="7" t="n">
        <v>3</v>
      </c>
      <c r="E35" s="7" t="s">
        <v>112</v>
      </c>
      <c r="F35" s="7" t="s">
        <v>113</v>
      </c>
      <c r="G35" s="7" t="s">
        <v>114</v>
      </c>
    </row>
    <row r="36" customFormat="false" ht="15" hidden="false" customHeight="true" outlineLevel="0" collapsed="false">
      <c r="C36" s="11" t="s">
        <v>37</v>
      </c>
      <c r="E36" s="11" t="s">
        <v>115</v>
      </c>
      <c r="F36" s="11" t="s">
        <v>116</v>
      </c>
      <c r="G36" s="11" t="s">
        <v>117</v>
      </c>
    </row>
    <row r="37" customFormat="false" ht="15" hidden="false" customHeight="true" outlineLevel="0" collapsed="false">
      <c r="C37" s="7" t="s">
        <v>32</v>
      </c>
      <c r="E37" s="7" t="s">
        <v>118</v>
      </c>
      <c r="F37" s="7" t="s">
        <v>119</v>
      </c>
      <c r="G37" s="7" t="s">
        <v>120</v>
      </c>
    </row>
    <row r="38" customFormat="false" ht="15" hidden="false" customHeight="true" outlineLevel="0" collapsed="false">
      <c r="C38" s="11" t="s">
        <v>33</v>
      </c>
      <c r="E38" s="11" t="s">
        <v>121</v>
      </c>
      <c r="F38" s="11" t="s">
        <v>122</v>
      </c>
      <c r="G38" s="11" t="s">
        <v>123</v>
      </c>
    </row>
    <row r="39" customFormat="false" ht="15" hidden="false" customHeight="true" outlineLevel="0" collapsed="false">
      <c r="C39" s="7" t="s">
        <v>65</v>
      </c>
      <c r="G39" s="7" t="s">
        <v>124</v>
      </c>
    </row>
    <row r="40" customFormat="false" ht="15" hidden="false" customHeight="true" outlineLevel="0" collapsed="false">
      <c r="C40" s="11" t="s">
        <v>68</v>
      </c>
    </row>
  </sheetData>
  <mergeCells count="5">
    <mergeCell ref="B2:H2"/>
    <mergeCell ref="B4:H4"/>
    <mergeCell ref="B15:H15"/>
    <mergeCell ref="B21:H21"/>
    <mergeCell ref="B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K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24"/>
    <col collapsed="false" customWidth="true" hidden="false" outlineLevel="0" max="4" min="4" style="1" width="26"/>
    <col collapsed="false" customWidth="true" hidden="false" outlineLevel="0" max="5" min="5" style="1" width="12"/>
    <col collapsed="false" customWidth="true" hidden="false" outlineLevel="0" max="6" min="6" style="1" width="26"/>
    <col collapsed="false" customWidth="true" hidden="false" outlineLevel="0" max="7" min="7" style="1" width="16"/>
    <col collapsed="false" customWidth="true" hidden="false" outlineLevel="0" max="10" min="8" style="1" width="14"/>
    <col collapsed="false" customWidth="true" hidden="false" outlineLevel="0" max="11" min="11" style="1" width="22"/>
  </cols>
  <sheetData>
    <row r="2" customFormat="false" ht="27.75" hidden="false" customHeight="true" outlineLevel="0" collapsed="false">
      <c r="B2" s="39" t="s">
        <v>125</v>
      </c>
      <c r="C2" s="39"/>
      <c r="D2" s="39"/>
      <c r="E2" s="39"/>
      <c r="F2" s="39"/>
      <c r="G2" s="39"/>
      <c r="H2" s="39"/>
      <c r="I2" s="39"/>
      <c r="J2" s="39"/>
      <c r="K2" s="39"/>
    </row>
    <row r="3" customFormat="false" ht="15" hidden="false" customHeight="true" outlineLevel="0" collapsed="false">
      <c r="B3" s="40" t="s">
        <v>126</v>
      </c>
      <c r="C3" s="40"/>
      <c r="D3" s="40"/>
      <c r="E3" s="40"/>
      <c r="F3" s="40"/>
      <c r="G3" s="40"/>
      <c r="H3" s="40"/>
      <c r="I3" s="40"/>
      <c r="J3" s="40"/>
      <c r="K3" s="40"/>
    </row>
    <row r="5" customFormat="false" ht="31.5" hidden="false" customHeight="true" outlineLevel="0" collapsed="false">
      <c r="B5" s="41" t="s">
        <v>127</v>
      </c>
      <c r="C5" s="41" t="s">
        <v>128</v>
      </c>
      <c r="D5" s="41" t="s">
        <v>129</v>
      </c>
      <c r="E5" s="41" t="s">
        <v>130</v>
      </c>
      <c r="F5" s="41" t="s">
        <v>131</v>
      </c>
      <c r="G5" s="41" t="s">
        <v>132</v>
      </c>
      <c r="H5" s="41" t="s">
        <v>133</v>
      </c>
      <c r="I5" s="41" t="s">
        <v>134</v>
      </c>
      <c r="J5" s="41" t="s">
        <v>135</v>
      </c>
      <c r="K5" s="41" t="s">
        <v>136</v>
      </c>
    </row>
    <row r="6" customFormat="false" ht="21.75" hidden="false" customHeight="true" outlineLevel="0" collapsed="false">
      <c r="B6" s="38" t="s">
        <v>137</v>
      </c>
      <c r="C6" s="7" t="s">
        <v>138</v>
      </c>
      <c r="D6" s="7" t="s">
        <v>139</v>
      </c>
      <c r="E6" s="28" t="s">
        <v>140</v>
      </c>
      <c r="F6" s="7" t="s">
        <v>141</v>
      </c>
      <c r="G6" s="7" t="s">
        <v>142</v>
      </c>
      <c r="H6" s="7" t="s">
        <v>143</v>
      </c>
      <c r="I6" s="28" t="n">
        <v>30</v>
      </c>
      <c r="J6" s="28" t="n">
        <v>30</v>
      </c>
      <c r="K6" s="7" t="s">
        <v>144</v>
      </c>
    </row>
    <row r="7" customFormat="false" ht="21.75" hidden="false" customHeight="true" outlineLevel="0" collapsed="false">
      <c r="B7" s="27" t="s">
        <v>145</v>
      </c>
      <c r="C7" s="11" t="s">
        <v>146</v>
      </c>
      <c r="D7" s="11" t="s">
        <v>147</v>
      </c>
      <c r="E7" s="30" t="s">
        <v>140</v>
      </c>
      <c r="F7" s="11" t="s">
        <v>148</v>
      </c>
      <c r="G7" s="11" t="s">
        <v>149</v>
      </c>
      <c r="H7" s="11" t="s">
        <v>107</v>
      </c>
      <c r="I7" s="30" t="n">
        <v>0</v>
      </c>
      <c r="J7" s="30" t="n">
        <v>100</v>
      </c>
      <c r="K7" s="11" t="s">
        <v>138</v>
      </c>
    </row>
    <row r="8" customFormat="false" ht="21.75" hidden="false" customHeight="true" outlineLevel="0" collapsed="false">
      <c r="B8" s="38" t="s">
        <v>150</v>
      </c>
      <c r="C8" s="7" t="s">
        <v>151</v>
      </c>
      <c r="D8" s="7" t="s">
        <v>152</v>
      </c>
      <c r="E8" s="28" t="s">
        <v>140</v>
      </c>
      <c r="F8" s="7" t="s">
        <v>153</v>
      </c>
      <c r="G8" s="7" t="s">
        <v>154</v>
      </c>
      <c r="H8" s="7" t="s">
        <v>107</v>
      </c>
      <c r="I8" s="28" t="n">
        <v>30</v>
      </c>
      <c r="J8" s="28" t="n">
        <v>70</v>
      </c>
      <c r="K8" s="7" t="s">
        <v>138</v>
      </c>
    </row>
    <row r="9" customFormat="false" ht="21.75" hidden="false" customHeight="true" outlineLevel="0" collapsed="false">
      <c r="B9" s="27" t="s">
        <v>155</v>
      </c>
      <c r="C9" s="11" t="s">
        <v>156</v>
      </c>
      <c r="D9" s="11" t="s">
        <v>157</v>
      </c>
      <c r="E9" s="30" t="s">
        <v>140</v>
      </c>
      <c r="F9" s="11" t="s">
        <v>158</v>
      </c>
      <c r="G9" s="11" t="s">
        <v>159</v>
      </c>
      <c r="H9" s="11" t="s">
        <v>103</v>
      </c>
      <c r="I9" s="30" t="n">
        <v>100</v>
      </c>
      <c r="J9" s="30" t="n">
        <v>0</v>
      </c>
      <c r="K9" s="11" t="s">
        <v>138</v>
      </c>
    </row>
    <row r="10" customFormat="false" ht="21.75" hidden="false" customHeight="true" outlineLevel="0" collapsed="false">
      <c r="B10" s="38" t="s">
        <v>160</v>
      </c>
      <c r="C10" s="7" t="s">
        <v>161</v>
      </c>
      <c r="D10" s="7" t="s">
        <v>162</v>
      </c>
      <c r="E10" s="28" t="s">
        <v>140</v>
      </c>
      <c r="F10" s="7" t="s">
        <v>163</v>
      </c>
      <c r="G10" s="7" t="s">
        <v>164</v>
      </c>
      <c r="H10" s="7" t="s">
        <v>103</v>
      </c>
      <c r="I10" s="28" t="n">
        <v>100</v>
      </c>
      <c r="J10" s="28" t="n">
        <v>0</v>
      </c>
      <c r="K10" s="7" t="s">
        <v>156</v>
      </c>
    </row>
    <row r="11" customFormat="false" ht="21.75" hidden="false" customHeight="true" outlineLevel="0" collapsed="false">
      <c r="B11" s="27" t="s">
        <v>165</v>
      </c>
      <c r="C11" s="11" t="s">
        <v>166</v>
      </c>
      <c r="D11" s="11" t="s">
        <v>167</v>
      </c>
      <c r="E11" s="30" t="s">
        <v>140</v>
      </c>
      <c r="F11" s="11" t="s">
        <v>168</v>
      </c>
      <c r="G11" s="11" t="s">
        <v>169</v>
      </c>
      <c r="H11" s="11" t="s">
        <v>103</v>
      </c>
      <c r="I11" s="30" t="n">
        <v>100</v>
      </c>
      <c r="J11" s="30" t="n">
        <v>0</v>
      </c>
      <c r="K11" s="11" t="s">
        <v>156</v>
      </c>
    </row>
    <row r="12" customFormat="false" ht="21.75" hidden="false" customHeight="true" outlineLevel="0" collapsed="false">
      <c r="B12" s="38" t="s">
        <v>170</v>
      </c>
      <c r="C12" s="7" t="s">
        <v>171</v>
      </c>
      <c r="D12" s="7" t="s">
        <v>172</v>
      </c>
      <c r="E12" s="28" t="s">
        <v>173</v>
      </c>
      <c r="F12" s="7" t="s">
        <v>174</v>
      </c>
      <c r="G12" s="7" t="s">
        <v>175</v>
      </c>
      <c r="H12" s="7" t="s">
        <v>143</v>
      </c>
      <c r="I12" s="28" t="n">
        <v>50</v>
      </c>
      <c r="J12" s="28" t="n">
        <v>50</v>
      </c>
      <c r="K12" s="7" t="s">
        <v>138</v>
      </c>
    </row>
    <row r="13" customFormat="false" ht="21.75" hidden="false" customHeight="true" outlineLevel="0" collapsed="false">
      <c r="B13" s="27" t="s">
        <v>176</v>
      </c>
      <c r="C13" s="11" t="s">
        <v>177</v>
      </c>
      <c r="D13" s="11" t="s">
        <v>178</v>
      </c>
      <c r="E13" s="30" t="s">
        <v>173</v>
      </c>
      <c r="F13" s="11" t="s">
        <v>179</v>
      </c>
      <c r="G13" s="11" t="s">
        <v>180</v>
      </c>
      <c r="H13" s="11" t="s">
        <v>143</v>
      </c>
      <c r="I13" s="30" t="n">
        <v>50</v>
      </c>
      <c r="J13" s="30" t="n">
        <v>50</v>
      </c>
      <c r="K13" s="11" t="s">
        <v>171</v>
      </c>
    </row>
    <row r="14" customFormat="false" ht="21.75" hidden="false" customHeight="true" outlineLevel="0" collapsed="false">
      <c r="B14" s="38" t="s">
        <v>181</v>
      </c>
      <c r="C14" s="7" t="s">
        <v>182</v>
      </c>
      <c r="D14" s="7" t="s">
        <v>183</v>
      </c>
      <c r="E14" s="28" t="s">
        <v>173</v>
      </c>
      <c r="F14" s="7" t="s">
        <v>184</v>
      </c>
      <c r="G14" s="7" t="s">
        <v>185</v>
      </c>
      <c r="H14" s="7" t="s">
        <v>143</v>
      </c>
      <c r="I14" s="28" t="n">
        <v>50</v>
      </c>
      <c r="J14" s="28" t="n">
        <v>50</v>
      </c>
      <c r="K14" s="7" t="s">
        <v>138</v>
      </c>
    </row>
    <row r="15" customFormat="false" ht="21.75" hidden="false" customHeight="true" outlineLevel="0" collapsed="false">
      <c r="B15" s="27" t="s">
        <v>186</v>
      </c>
      <c r="C15" s="11" t="s">
        <v>187</v>
      </c>
      <c r="D15" s="11" t="s">
        <v>188</v>
      </c>
      <c r="E15" s="30" t="s">
        <v>173</v>
      </c>
      <c r="F15" s="11" t="s">
        <v>189</v>
      </c>
      <c r="G15" s="11" t="s">
        <v>190</v>
      </c>
      <c r="H15" s="11" t="s">
        <v>143</v>
      </c>
      <c r="I15" s="30" t="n">
        <v>50</v>
      </c>
      <c r="J15" s="30" t="n">
        <v>50</v>
      </c>
      <c r="K15" s="11" t="s">
        <v>171</v>
      </c>
    </row>
    <row r="16" customFormat="false" ht="19.5" hidden="false" customHeight="true" outlineLevel="0" collapsed="false">
      <c r="B16" s="28" t="s">
        <v>191</v>
      </c>
      <c r="C16" s="7" t="s">
        <v>192</v>
      </c>
      <c r="D16" s="7" t="s">
        <v>193</v>
      </c>
      <c r="E16" s="28" t="s">
        <v>193</v>
      </c>
      <c r="F16" s="7" t="s">
        <v>194</v>
      </c>
      <c r="G16" s="7" t="s">
        <v>195</v>
      </c>
      <c r="H16" s="7" t="s">
        <v>103</v>
      </c>
      <c r="I16" s="28" t="n">
        <v>100</v>
      </c>
      <c r="J16" s="28" t="n">
        <v>0</v>
      </c>
      <c r="K16" s="7" t="s">
        <v>156</v>
      </c>
    </row>
    <row r="17" customFormat="false" ht="19.5" hidden="false" customHeight="true" outlineLevel="0" collapsed="false">
      <c r="B17" s="30" t="s">
        <v>196</v>
      </c>
      <c r="C17" s="11" t="s">
        <v>197</v>
      </c>
      <c r="D17" s="11" t="s">
        <v>193</v>
      </c>
      <c r="E17" s="30" t="s">
        <v>193</v>
      </c>
      <c r="F17" s="11" t="s">
        <v>198</v>
      </c>
      <c r="G17" s="11" t="s">
        <v>199</v>
      </c>
      <c r="H17" s="11" t="s">
        <v>107</v>
      </c>
      <c r="I17" s="30" t="n">
        <v>0</v>
      </c>
      <c r="J17" s="30" t="n">
        <v>100</v>
      </c>
      <c r="K17" s="11" t="s">
        <v>146</v>
      </c>
    </row>
    <row r="18" customFormat="false" ht="19.5" hidden="false" customHeight="true" outlineLevel="0" collapsed="false">
      <c r="B18" s="28" t="s">
        <v>200</v>
      </c>
      <c r="C18" s="7" t="s">
        <v>201</v>
      </c>
      <c r="D18" s="7" t="s">
        <v>193</v>
      </c>
      <c r="E18" s="28" t="s">
        <v>193</v>
      </c>
      <c r="F18" s="7" t="s">
        <v>202</v>
      </c>
      <c r="G18" s="7" t="s">
        <v>203</v>
      </c>
      <c r="H18" s="7" t="s">
        <v>143</v>
      </c>
      <c r="I18" s="28" t="n">
        <v>50</v>
      </c>
      <c r="J18" s="28" t="n">
        <v>50</v>
      </c>
      <c r="K18" s="7" t="s">
        <v>171</v>
      </c>
    </row>
    <row r="19" customFormat="false" ht="19.5" hidden="false" customHeight="true" outlineLevel="0" collapsed="false">
      <c r="B19" s="30"/>
      <c r="C19" s="11"/>
      <c r="D19" s="11"/>
      <c r="E19" s="30"/>
      <c r="F19" s="11"/>
      <c r="G19" s="11"/>
      <c r="H19" s="11"/>
      <c r="I19" s="30"/>
      <c r="J19" s="30"/>
      <c r="K19" s="11"/>
    </row>
    <row r="20" customFormat="false" ht="19.5" hidden="false" customHeight="true" outlineLevel="0" collapsed="false">
      <c r="B20" s="28"/>
      <c r="C20" s="7"/>
      <c r="D20" s="7"/>
      <c r="E20" s="28"/>
      <c r="F20" s="7"/>
      <c r="G20" s="7"/>
      <c r="H20" s="7"/>
      <c r="I20" s="28"/>
      <c r="J20" s="28"/>
      <c r="K20" s="7"/>
    </row>
    <row r="21" customFormat="false" ht="19.5" hidden="false" customHeight="true" outlineLevel="0" collapsed="false">
      <c r="B21" s="30"/>
      <c r="C21" s="11"/>
      <c r="D21" s="11"/>
      <c r="E21" s="30"/>
      <c r="F21" s="11"/>
      <c r="G21" s="11"/>
      <c r="H21" s="11"/>
      <c r="I21" s="30"/>
      <c r="J21" s="30"/>
      <c r="K21" s="11"/>
    </row>
    <row r="22" customFormat="false" ht="19.5" hidden="false" customHeight="true" outlineLevel="0" collapsed="false">
      <c r="B22" s="28"/>
      <c r="C22" s="7"/>
      <c r="D22" s="7"/>
      <c r="E22" s="28"/>
      <c r="F22" s="7"/>
      <c r="G22" s="7"/>
      <c r="H22" s="7"/>
      <c r="I22" s="28"/>
      <c r="J22" s="28"/>
      <c r="K22" s="7"/>
    </row>
    <row r="23" customFormat="false" ht="19.5" hidden="false" customHeight="true" outlineLevel="0" collapsed="false">
      <c r="B23" s="30"/>
      <c r="C23" s="11"/>
      <c r="D23" s="11"/>
      <c r="E23" s="30"/>
      <c r="F23" s="11"/>
      <c r="G23" s="11"/>
      <c r="H23" s="11"/>
      <c r="I23" s="30"/>
      <c r="J23" s="30"/>
      <c r="K23" s="11"/>
    </row>
    <row r="24" customFormat="false" ht="19.5" hidden="false" customHeight="true" outlineLevel="0" collapsed="false">
      <c r="B24" s="28"/>
      <c r="C24" s="7"/>
      <c r="D24" s="7"/>
      <c r="E24" s="28"/>
      <c r="F24" s="7"/>
      <c r="G24" s="7"/>
      <c r="H24" s="7"/>
      <c r="I24" s="28"/>
      <c r="J24" s="28"/>
      <c r="K24" s="7"/>
    </row>
    <row r="25" customFormat="false" ht="19.5" hidden="false" customHeight="true" outlineLevel="0" collapsed="false">
      <c r="B25" s="30"/>
      <c r="C25" s="11"/>
      <c r="D25" s="11"/>
      <c r="E25" s="30"/>
      <c r="F25" s="11"/>
      <c r="G25" s="11"/>
      <c r="H25" s="11"/>
      <c r="I25" s="30"/>
      <c r="J25" s="30"/>
      <c r="K25" s="11"/>
    </row>
    <row r="26" customFormat="false" ht="19.5" hidden="false" customHeight="true" outlineLevel="0" collapsed="false">
      <c r="B26" s="28"/>
      <c r="C26" s="7"/>
      <c r="D26" s="7"/>
      <c r="E26" s="28"/>
      <c r="F26" s="7"/>
      <c r="G26" s="7"/>
      <c r="H26" s="7"/>
      <c r="I26" s="28"/>
      <c r="J26" s="28"/>
      <c r="K26" s="7"/>
    </row>
    <row r="27" customFormat="false" ht="19.5" hidden="false" customHeight="true" outlineLevel="0" collapsed="false">
      <c r="B27" s="30"/>
      <c r="C27" s="11"/>
      <c r="D27" s="11"/>
      <c r="E27" s="30"/>
      <c r="F27" s="11"/>
      <c r="G27" s="11"/>
      <c r="H27" s="11"/>
      <c r="I27" s="30"/>
      <c r="J27" s="30"/>
      <c r="K27" s="11"/>
    </row>
    <row r="28" customFormat="false" ht="19.5" hidden="false" customHeight="true" outlineLevel="0" collapsed="false">
      <c r="B28" s="28"/>
      <c r="C28" s="7"/>
      <c r="D28" s="7"/>
      <c r="E28" s="28"/>
      <c r="F28" s="7"/>
      <c r="G28" s="7"/>
      <c r="H28" s="7"/>
      <c r="I28" s="28"/>
      <c r="J28" s="28"/>
      <c r="K28" s="7"/>
    </row>
    <row r="29" customFormat="false" ht="19.5" hidden="false" customHeight="true" outlineLevel="0" collapsed="false">
      <c r="B29" s="30"/>
      <c r="C29" s="11"/>
      <c r="D29" s="11"/>
      <c r="E29" s="30"/>
      <c r="F29" s="11"/>
      <c r="G29" s="11"/>
      <c r="H29" s="11"/>
      <c r="I29" s="30"/>
      <c r="J29" s="30"/>
      <c r="K29" s="11"/>
    </row>
    <row r="30" customFormat="false" ht="19.5" hidden="false" customHeight="true" outlineLevel="0" collapsed="false">
      <c r="B30" s="28"/>
      <c r="C30" s="7"/>
      <c r="D30" s="7"/>
      <c r="E30" s="28"/>
      <c r="F30" s="7"/>
      <c r="G30" s="7"/>
      <c r="H30" s="7"/>
      <c r="I30" s="28"/>
      <c r="J30" s="28"/>
      <c r="K30" s="7"/>
    </row>
    <row r="31" customFormat="false" ht="19.5" hidden="false" customHeight="true" outlineLevel="0" collapsed="false">
      <c r="B31" s="30"/>
      <c r="C31" s="11"/>
      <c r="D31" s="11"/>
      <c r="E31" s="30"/>
      <c r="F31" s="11"/>
      <c r="G31" s="11"/>
      <c r="H31" s="11"/>
      <c r="I31" s="30"/>
      <c r="J31" s="30"/>
      <c r="K31" s="11"/>
    </row>
    <row r="32" customFormat="false" ht="19.5" hidden="false" customHeight="true" outlineLevel="0" collapsed="false">
      <c r="B32" s="28"/>
      <c r="C32" s="7"/>
      <c r="D32" s="7"/>
      <c r="E32" s="28"/>
      <c r="F32" s="7"/>
      <c r="G32" s="7"/>
      <c r="H32" s="7"/>
      <c r="I32" s="28"/>
      <c r="J32" s="28"/>
      <c r="K32" s="7"/>
    </row>
    <row r="33" customFormat="false" ht="19.5" hidden="false" customHeight="true" outlineLevel="0" collapsed="false">
      <c r="B33" s="30"/>
      <c r="C33" s="11"/>
      <c r="D33" s="11"/>
      <c r="E33" s="30"/>
      <c r="F33" s="11"/>
      <c r="G33" s="11"/>
      <c r="H33" s="11"/>
      <c r="I33" s="30"/>
      <c r="J33" s="30"/>
      <c r="K33" s="11"/>
    </row>
    <row r="34" customFormat="false" ht="19.5" hidden="false" customHeight="true" outlineLevel="0" collapsed="false">
      <c r="B34" s="28"/>
      <c r="C34" s="7"/>
      <c r="D34" s="7"/>
      <c r="E34" s="28"/>
      <c r="F34" s="7"/>
      <c r="G34" s="7"/>
      <c r="H34" s="7"/>
      <c r="I34" s="28"/>
      <c r="J34" s="28"/>
      <c r="K34" s="7"/>
    </row>
    <row r="35" customFormat="false" ht="19.5" hidden="false" customHeight="true" outlineLevel="0" collapsed="false">
      <c r="B35" s="30"/>
      <c r="C35" s="11"/>
      <c r="D35" s="11"/>
      <c r="E35" s="30"/>
      <c r="F35" s="11"/>
      <c r="G35" s="11"/>
      <c r="H35" s="11"/>
      <c r="I35" s="30"/>
      <c r="J35" s="30"/>
      <c r="K35" s="11"/>
    </row>
    <row r="36" customFormat="false" ht="19.5" hidden="false" customHeight="true" outlineLevel="0" collapsed="false">
      <c r="B36" s="28"/>
      <c r="C36" s="7"/>
      <c r="D36" s="7"/>
      <c r="E36" s="28"/>
      <c r="F36" s="7"/>
      <c r="G36" s="7"/>
      <c r="H36" s="7"/>
      <c r="I36" s="28"/>
      <c r="J36" s="28"/>
      <c r="K36" s="7"/>
    </row>
    <row r="37" customFormat="false" ht="19.5" hidden="false" customHeight="true" outlineLevel="0" collapsed="false">
      <c r="B37" s="30"/>
      <c r="C37" s="11"/>
      <c r="D37" s="11"/>
      <c r="E37" s="30"/>
      <c r="F37" s="11"/>
      <c r="G37" s="11"/>
      <c r="H37" s="11"/>
      <c r="I37" s="30"/>
      <c r="J37" s="30"/>
      <c r="K37" s="11"/>
    </row>
    <row r="38" customFormat="false" ht="19.5" hidden="false" customHeight="true" outlineLevel="0" collapsed="false">
      <c r="B38" s="28"/>
      <c r="C38" s="7"/>
      <c r="D38" s="7"/>
      <c r="E38" s="28"/>
      <c r="F38" s="7"/>
      <c r="G38" s="7"/>
      <c r="H38" s="7"/>
      <c r="I38" s="28"/>
      <c r="J38" s="28"/>
      <c r="K38" s="7"/>
    </row>
    <row r="39" customFormat="false" ht="19.5" hidden="false" customHeight="true" outlineLevel="0" collapsed="false">
      <c r="B39" s="30"/>
      <c r="C39" s="11"/>
      <c r="D39" s="11"/>
      <c r="E39" s="30"/>
      <c r="F39" s="11"/>
      <c r="G39" s="11"/>
      <c r="H39" s="11"/>
      <c r="I39" s="30"/>
      <c r="J39" s="30"/>
      <c r="K39" s="11"/>
    </row>
    <row r="40" customFormat="false" ht="19.5" hidden="false" customHeight="true" outlineLevel="0" collapsed="false">
      <c r="B40" s="28"/>
      <c r="C40" s="7"/>
      <c r="D40" s="7"/>
      <c r="E40" s="28"/>
      <c r="F40" s="7"/>
      <c r="G40" s="7"/>
      <c r="H40" s="7"/>
      <c r="I40" s="28"/>
      <c r="J40" s="28"/>
      <c r="K40" s="7"/>
    </row>
    <row r="41" customFormat="false" ht="19.5" hidden="false" customHeight="true" outlineLevel="0" collapsed="false">
      <c r="B41" s="30"/>
      <c r="C41" s="11"/>
      <c r="D41" s="11"/>
      <c r="E41" s="30"/>
      <c r="F41" s="11"/>
      <c r="G41" s="11"/>
      <c r="H41" s="11"/>
      <c r="I41" s="30"/>
      <c r="J41" s="30"/>
      <c r="K41" s="11"/>
    </row>
    <row r="42" customFormat="false" ht="19.5" hidden="false" customHeight="true" outlineLevel="0" collapsed="false">
      <c r="B42" s="28"/>
      <c r="C42" s="7"/>
      <c r="D42" s="7"/>
      <c r="E42" s="28"/>
      <c r="F42" s="7"/>
      <c r="G42" s="7"/>
      <c r="H42" s="7"/>
      <c r="I42" s="28"/>
      <c r="J42" s="28"/>
      <c r="K42" s="7"/>
    </row>
    <row r="43" customFormat="false" ht="19.5" hidden="false" customHeight="true" outlineLevel="0" collapsed="false">
      <c r="B43" s="30"/>
      <c r="C43" s="11"/>
      <c r="D43" s="11"/>
      <c r="E43" s="30"/>
      <c r="F43" s="11"/>
      <c r="G43" s="11"/>
      <c r="H43" s="11"/>
      <c r="I43" s="30"/>
      <c r="J43" s="30"/>
      <c r="K43" s="11"/>
    </row>
    <row r="44" customFormat="false" ht="19.5" hidden="false" customHeight="true" outlineLevel="0" collapsed="false">
      <c r="B44" s="28"/>
      <c r="C44" s="7"/>
      <c r="D44" s="7"/>
      <c r="E44" s="28"/>
      <c r="F44" s="7"/>
      <c r="G44" s="7"/>
      <c r="H44" s="7"/>
      <c r="I44" s="28"/>
      <c r="J44" s="28"/>
      <c r="K44" s="7"/>
    </row>
    <row r="45" customFormat="false" ht="19.5" hidden="false" customHeight="true" outlineLevel="0" collapsed="false">
      <c r="B45" s="30"/>
      <c r="C45" s="11"/>
      <c r="D45" s="11"/>
      <c r="E45" s="30"/>
      <c r="F45" s="11"/>
      <c r="G45" s="11"/>
      <c r="H45" s="11"/>
      <c r="I45" s="30"/>
      <c r="J45" s="30"/>
      <c r="K45" s="11"/>
    </row>
    <row r="46" customFormat="false" ht="19.5" hidden="false" customHeight="true" outlineLevel="0" collapsed="false">
      <c r="B46" s="28"/>
      <c r="C46" s="7"/>
      <c r="D46" s="7"/>
      <c r="E46" s="28"/>
      <c r="F46" s="7"/>
      <c r="G46" s="7"/>
      <c r="H46" s="7"/>
      <c r="I46" s="28"/>
      <c r="J46" s="28"/>
      <c r="K46" s="7"/>
    </row>
    <row r="47" customFormat="false" ht="19.5" hidden="false" customHeight="true" outlineLevel="0" collapsed="false">
      <c r="B47" s="30"/>
      <c r="C47" s="11"/>
      <c r="D47" s="11"/>
      <c r="E47" s="30"/>
      <c r="F47" s="11"/>
      <c r="G47" s="11"/>
      <c r="H47" s="11"/>
      <c r="I47" s="30"/>
      <c r="J47" s="30"/>
      <c r="K47" s="11"/>
    </row>
    <row r="48" customFormat="false" ht="19.5" hidden="false" customHeight="true" outlineLevel="0" collapsed="false">
      <c r="B48" s="28"/>
      <c r="C48" s="7"/>
      <c r="D48" s="7"/>
      <c r="E48" s="28"/>
      <c r="F48" s="7"/>
      <c r="G48" s="7"/>
      <c r="H48" s="7"/>
      <c r="I48" s="28"/>
      <c r="J48" s="28"/>
      <c r="K48" s="7"/>
    </row>
    <row r="49" customFormat="false" ht="19.5" hidden="false" customHeight="true" outlineLevel="0" collapsed="false">
      <c r="B49" s="30"/>
      <c r="C49" s="11"/>
      <c r="D49" s="11"/>
      <c r="E49" s="30"/>
      <c r="F49" s="11"/>
      <c r="G49" s="11"/>
      <c r="H49" s="11"/>
      <c r="I49" s="30"/>
      <c r="J49" s="30"/>
      <c r="K49" s="11"/>
    </row>
    <row r="50" customFormat="false" ht="19.5" hidden="false" customHeight="true" outlineLevel="0" collapsed="false">
      <c r="B50" s="28"/>
      <c r="C50" s="7"/>
      <c r="D50" s="7"/>
      <c r="E50" s="28"/>
      <c r="F50" s="7"/>
      <c r="G50" s="7"/>
      <c r="H50" s="7"/>
      <c r="I50" s="28"/>
      <c r="J50" s="28"/>
      <c r="K50" s="7"/>
    </row>
    <row r="51" customFormat="false" ht="19.5" hidden="false" customHeight="true" outlineLevel="0" collapsed="false">
      <c r="B51" s="30"/>
      <c r="C51" s="11"/>
      <c r="D51" s="11"/>
      <c r="E51" s="30"/>
      <c r="F51" s="11"/>
      <c r="G51" s="11"/>
      <c r="H51" s="11"/>
      <c r="I51" s="30"/>
      <c r="J51" s="30"/>
      <c r="K51" s="11"/>
    </row>
    <row r="52" customFormat="false" ht="19.5" hidden="false" customHeight="true" outlineLevel="0" collapsed="false">
      <c r="B52" s="28"/>
      <c r="C52" s="7"/>
      <c r="D52" s="7"/>
      <c r="E52" s="28"/>
      <c r="F52" s="7"/>
      <c r="G52" s="7"/>
      <c r="H52" s="7"/>
      <c r="I52" s="28"/>
      <c r="J52" s="28"/>
      <c r="K52" s="7"/>
    </row>
    <row r="53" customFormat="false" ht="19.5" hidden="false" customHeight="true" outlineLevel="0" collapsed="false">
      <c r="B53" s="30"/>
      <c r="C53" s="11"/>
      <c r="D53" s="11"/>
      <c r="E53" s="30"/>
      <c r="F53" s="11"/>
      <c r="G53" s="11"/>
      <c r="H53" s="11"/>
      <c r="I53" s="30"/>
      <c r="J53" s="30"/>
      <c r="K53" s="11"/>
    </row>
    <row r="54" customFormat="false" ht="19.5" hidden="false" customHeight="true" outlineLevel="0" collapsed="false">
      <c r="B54" s="28"/>
      <c r="C54" s="7"/>
      <c r="D54" s="7"/>
      <c r="E54" s="28"/>
      <c r="F54" s="7"/>
      <c r="G54" s="7"/>
      <c r="H54" s="7"/>
      <c r="I54" s="28"/>
      <c r="J54" s="28"/>
      <c r="K54" s="7"/>
    </row>
    <row r="55" customFormat="false" ht="19.5" hidden="false" customHeight="true" outlineLevel="0" collapsed="false">
      <c r="B55" s="30"/>
      <c r="C55" s="11"/>
      <c r="D55" s="11"/>
      <c r="E55" s="30"/>
      <c r="F55" s="11"/>
      <c r="G55" s="11"/>
      <c r="H55" s="11"/>
      <c r="I55" s="30"/>
      <c r="J55" s="30"/>
      <c r="K55" s="11"/>
    </row>
  </sheetData>
  <mergeCells count="2">
    <mergeCell ref="B2:K2"/>
    <mergeCell ref="B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2: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1"/>
    <col collapsed="false" customWidth="true" hidden="false" outlineLevel="0" max="3" min="3" style="1" width="50"/>
    <col collapsed="false" customWidth="true" hidden="false" outlineLevel="0" max="4" min="4" style="1" width="13"/>
    <col collapsed="false" customWidth="true" hidden="false" outlineLevel="0" max="6" min="5" style="1" width="25"/>
    <col collapsed="false" customWidth="true" hidden="false" outlineLevel="0" max="7" min="7" style="1" width="12"/>
    <col collapsed="false" customWidth="true" hidden="false" outlineLevel="0" max="8" min="8" style="1" width="18"/>
  </cols>
  <sheetData>
    <row r="2" customFormat="false" ht="27.75" hidden="false" customHeight="true" outlineLevel="0" collapsed="false">
      <c r="B2" s="42" t="s">
        <v>204</v>
      </c>
      <c r="C2" s="42"/>
      <c r="D2" s="42"/>
      <c r="E2" s="42"/>
      <c r="F2" s="42"/>
      <c r="G2" s="42"/>
      <c r="H2" s="42"/>
    </row>
    <row r="3" customFormat="false" ht="15" hidden="false" customHeight="true" outlineLevel="0" collapsed="false">
      <c r="B3" s="40" t="s">
        <v>205</v>
      </c>
      <c r="C3" s="40"/>
      <c r="D3" s="40"/>
      <c r="E3" s="40"/>
      <c r="F3" s="40"/>
      <c r="G3" s="40"/>
      <c r="H3" s="40"/>
    </row>
    <row r="5" customFormat="false" ht="21.75" hidden="false" customHeight="true" outlineLevel="0" collapsed="false">
      <c r="B5" s="43" t="s">
        <v>206</v>
      </c>
      <c r="C5" s="43"/>
      <c r="D5" s="43"/>
      <c r="E5" s="43"/>
      <c r="F5" s="43"/>
      <c r="G5" s="43"/>
      <c r="H5" s="43"/>
    </row>
    <row r="6" customFormat="false" ht="49.5" hidden="false" customHeight="true" outlineLevel="0" collapsed="false">
      <c r="B6" s="44" t="s">
        <v>207</v>
      </c>
      <c r="C6" s="44"/>
      <c r="D6" s="44"/>
      <c r="E6" s="44"/>
      <c r="F6" s="44"/>
      <c r="G6" s="44"/>
      <c r="H6" s="44"/>
    </row>
    <row r="7" customFormat="false" ht="27.75" hidden="false" customHeight="true" outlineLevel="0" collapsed="false">
      <c r="B7" s="43" t="s">
        <v>48</v>
      </c>
      <c r="C7" s="43" t="s">
        <v>18</v>
      </c>
      <c r="D7" s="43" t="s">
        <v>208</v>
      </c>
      <c r="E7" s="43" t="s">
        <v>209</v>
      </c>
      <c r="F7" s="43" t="s">
        <v>210</v>
      </c>
      <c r="G7" s="43" t="s">
        <v>211</v>
      </c>
      <c r="H7" s="43" t="s">
        <v>212</v>
      </c>
    </row>
    <row r="8" customFormat="false" ht="30" hidden="false" customHeight="true" outlineLevel="0" collapsed="false">
      <c r="B8" s="38" t="s">
        <v>213</v>
      </c>
      <c r="C8" s="7" t="s">
        <v>214</v>
      </c>
      <c r="D8" s="28" t="s">
        <v>215</v>
      </c>
      <c r="E8" s="7" t="s">
        <v>216</v>
      </c>
      <c r="F8" s="7" t="s">
        <v>217</v>
      </c>
      <c r="G8" s="28" t="s">
        <v>218</v>
      </c>
      <c r="H8" s="7" t="s">
        <v>219</v>
      </c>
    </row>
    <row r="9" customFormat="false" ht="30" hidden="false" customHeight="true" outlineLevel="0" collapsed="false">
      <c r="B9" s="27" t="s">
        <v>220</v>
      </c>
      <c r="C9" s="11" t="s">
        <v>221</v>
      </c>
      <c r="D9" s="30" t="s">
        <v>222</v>
      </c>
      <c r="E9" s="11" t="s">
        <v>223</v>
      </c>
      <c r="F9" s="11" t="s">
        <v>224</v>
      </c>
      <c r="G9" s="30" t="s">
        <v>225</v>
      </c>
      <c r="H9" s="11" t="s">
        <v>219</v>
      </c>
    </row>
    <row r="11" customFormat="false" ht="21.75" hidden="false" customHeight="true" outlineLevel="0" collapsed="false">
      <c r="B11" s="43" t="s">
        <v>226</v>
      </c>
      <c r="C11" s="43"/>
      <c r="D11" s="43"/>
      <c r="E11" s="43"/>
      <c r="F11" s="43"/>
      <c r="G11" s="43"/>
      <c r="H11" s="43"/>
    </row>
    <row r="12" customFormat="false" ht="39.75" hidden="false" customHeight="true" outlineLevel="0" collapsed="false">
      <c r="B12" s="44" t="s">
        <v>227</v>
      </c>
      <c r="C12" s="44"/>
      <c r="D12" s="44"/>
      <c r="E12" s="44"/>
      <c r="F12" s="44"/>
      <c r="G12" s="44"/>
      <c r="H12" s="44"/>
    </row>
    <row r="14" customFormat="false" ht="31.5" hidden="false" customHeight="true" outlineLevel="0" collapsed="false">
      <c r="B14" s="43" t="s">
        <v>228</v>
      </c>
      <c r="C14" s="43"/>
      <c r="D14" s="43"/>
      <c r="E14" s="43"/>
      <c r="F14" s="43"/>
      <c r="G14" s="43"/>
      <c r="H14" s="43"/>
    </row>
    <row r="15" customFormat="false" ht="27.75" hidden="false" customHeight="true" outlineLevel="0" collapsed="false">
      <c r="B15" s="43" t="s">
        <v>48</v>
      </c>
      <c r="C15" s="43" t="s">
        <v>18</v>
      </c>
      <c r="D15" s="43" t="s">
        <v>208</v>
      </c>
      <c r="E15" s="43" t="s">
        <v>209</v>
      </c>
      <c r="F15" s="43" t="s">
        <v>210</v>
      </c>
      <c r="G15" s="43" t="s">
        <v>211</v>
      </c>
      <c r="H15" s="43" t="s">
        <v>212</v>
      </c>
    </row>
    <row r="16" customFormat="false" ht="31.5" hidden="false" customHeight="true" outlineLevel="0" collapsed="false">
      <c r="B16" s="38" t="s">
        <v>229</v>
      </c>
      <c r="C16" s="7" t="s">
        <v>230</v>
      </c>
      <c r="D16" s="28" t="s">
        <v>231</v>
      </c>
      <c r="E16" s="7" t="s">
        <v>232</v>
      </c>
      <c r="F16" s="7" t="s">
        <v>233</v>
      </c>
      <c r="G16" s="28" t="s">
        <v>234</v>
      </c>
      <c r="H16" s="7" t="s">
        <v>219</v>
      </c>
    </row>
    <row r="17" customFormat="false" ht="31.5" hidden="false" customHeight="true" outlineLevel="0" collapsed="false">
      <c r="B17" s="27" t="s">
        <v>235</v>
      </c>
      <c r="C17" s="11" t="s">
        <v>236</v>
      </c>
      <c r="D17" s="30" t="s">
        <v>237</v>
      </c>
      <c r="E17" s="11" t="s">
        <v>238</v>
      </c>
      <c r="F17" s="11" t="s">
        <v>239</v>
      </c>
      <c r="G17" s="30" t="s">
        <v>240</v>
      </c>
      <c r="H17" s="11" t="s">
        <v>219</v>
      </c>
    </row>
    <row r="18" customFormat="false" ht="31.5" hidden="false" customHeight="true" outlineLevel="0" collapsed="false">
      <c r="B18" s="38" t="s">
        <v>241</v>
      </c>
      <c r="C18" s="7" t="s">
        <v>242</v>
      </c>
      <c r="D18" s="28" t="s">
        <v>243</v>
      </c>
      <c r="E18" s="7" t="s">
        <v>244</v>
      </c>
      <c r="F18" s="7" t="s">
        <v>245</v>
      </c>
      <c r="G18" s="28" t="s">
        <v>246</v>
      </c>
      <c r="H18" s="7" t="s">
        <v>219</v>
      </c>
    </row>
    <row r="19" customFormat="false" ht="31.5" hidden="false" customHeight="true" outlineLevel="0" collapsed="false">
      <c r="B19" s="27" t="s">
        <v>247</v>
      </c>
      <c r="C19" s="11" t="s">
        <v>248</v>
      </c>
      <c r="D19" s="30" t="s">
        <v>249</v>
      </c>
      <c r="E19" s="11" t="s">
        <v>250</v>
      </c>
      <c r="F19" s="11" t="s">
        <v>251</v>
      </c>
      <c r="G19" s="30" t="s">
        <v>252</v>
      </c>
      <c r="H19" s="11" t="s">
        <v>253</v>
      </c>
    </row>
    <row r="20" customFormat="false" ht="31.5" hidden="false" customHeight="true" outlineLevel="0" collapsed="false">
      <c r="B20" s="38" t="s">
        <v>254</v>
      </c>
      <c r="C20" s="7" t="s">
        <v>255</v>
      </c>
      <c r="D20" s="28" t="s">
        <v>256</v>
      </c>
      <c r="E20" s="7" t="s">
        <v>257</v>
      </c>
      <c r="F20" s="7" t="s">
        <v>258</v>
      </c>
      <c r="G20" s="28" t="s">
        <v>252</v>
      </c>
      <c r="H20" s="7" t="s">
        <v>253</v>
      </c>
    </row>
    <row r="21" customFormat="false" ht="31.5" hidden="false" customHeight="true" outlineLevel="0" collapsed="false">
      <c r="B21" s="27" t="s">
        <v>259</v>
      </c>
      <c r="C21" s="11" t="s">
        <v>260</v>
      </c>
      <c r="D21" s="30" t="s">
        <v>249</v>
      </c>
      <c r="E21" s="11" t="s">
        <v>250</v>
      </c>
      <c r="F21" s="11" t="s">
        <v>261</v>
      </c>
      <c r="G21" s="30" t="s">
        <v>262</v>
      </c>
      <c r="H21" s="11" t="s">
        <v>253</v>
      </c>
    </row>
    <row r="23" customFormat="false" ht="31.5" hidden="false" customHeight="true" outlineLevel="0" collapsed="false">
      <c r="B23" s="43" t="s">
        <v>263</v>
      </c>
      <c r="C23" s="43"/>
      <c r="D23" s="43"/>
      <c r="E23" s="43"/>
      <c r="F23" s="43"/>
      <c r="G23" s="43"/>
      <c r="H23" s="43"/>
    </row>
    <row r="24" customFormat="false" ht="27.75" hidden="false" customHeight="true" outlineLevel="0" collapsed="false">
      <c r="B24" s="43" t="s">
        <v>48</v>
      </c>
      <c r="C24" s="43" t="s">
        <v>18</v>
      </c>
      <c r="D24" s="43" t="s">
        <v>208</v>
      </c>
      <c r="E24" s="43" t="s">
        <v>209</v>
      </c>
      <c r="F24" s="43" t="s">
        <v>210</v>
      </c>
      <c r="G24" s="43" t="s">
        <v>211</v>
      </c>
      <c r="H24" s="43" t="s">
        <v>212</v>
      </c>
    </row>
    <row r="25" customFormat="false" ht="31.5" hidden="false" customHeight="true" outlineLevel="0" collapsed="false">
      <c r="B25" s="27" t="s">
        <v>264</v>
      </c>
      <c r="C25" s="11" t="s">
        <v>265</v>
      </c>
      <c r="D25" s="30" t="s">
        <v>266</v>
      </c>
      <c r="E25" s="11" t="s">
        <v>267</v>
      </c>
      <c r="F25" s="11" t="s">
        <v>268</v>
      </c>
      <c r="G25" s="30" t="s">
        <v>234</v>
      </c>
      <c r="H25" s="11" t="s">
        <v>253</v>
      </c>
    </row>
    <row r="26" customFormat="false" ht="31.5" hidden="false" customHeight="true" outlineLevel="0" collapsed="false">
      <c r="B26" s="38" t="s">
        <v>269</v>
      </c>
      <c r="C26" s="7" t="s">
        <v>270</v>
      </c>
      <c r="D26" s="28" t="s">
        <v>271</v>
      </c>
      <c r="E26" s="7" t="s">
        <v>272</v>
      </c>
      <c r="F26" s="7" t="s">
        <v>273</v>
      </c>
      <c r="G26" s="28" t="s">
        <v>274</v>
      </c>
      <c r="H26" s="7" t="s">
        <v>253</v>
      </c>
    </row>
    <row r="28" customFormat="false" ht="31.5" hidden="false" customHeight="true" outlineLevel="0" collapsed="false">
      <c r="B28" s="43" t="s">
        <v>275</v>
      </c>
      <c r="C28" s="43"/>
      <c r="D28" s="43"/>
      <c r="E28" s="43"/>
      <c r="F28" s="43"/>
      <c r="G28" s="43"/>
      <c r="H28" s="43"/>
    </row>
    <row r="29" customFormat="false" ht="27.75" hidden="false" customHeight="true" outlineLevel="0" collapsed="false">
      <c r="B29" s="43" t="s">
        <v>48</v>
      </c>
      <c r="C29" s="43" t="s">
        <v>18</v>
      </c>
      <c r="D29" s="43" t="s">
        <v>208</v>
      </c>
      <c r="E29" s="43" t="s">
        <v>209</v>
      </c>
      <c r="F29" s="43" t="s">
        <v>210</v>
      </c>
      <c r="G29" s="43" t="s">
        <v>211</v>
      </c>
      <c r="H29" s="43" t="s">
        <v>212</v>
      </c>
    </row>
    <row r="30" customFormat="false" ht="31.5" hidden="false" customHeight="true" outlineLevel="0" collapsed="false">
      <c r="B30" s="38" t="s">
        <v>276</v>
      </c>
      <c r="C30" s="7" t="s">
        <v>277</v>
      </c>
      <c r="D30" s="28" t="s">
        <v>278</v>
      </c>
      <c r="E30" s="7" t="s">
        <v>238</v>
      </c>
      <c r="F30" s="7" t="s">
        <v>239</v>
      </c>
      <c r="G30" s="28" t="s">
        <v>279</v>
      </c>
      <c r="H30" s="7" t="s">
        <v>219</v>
      </c>
    </row>
    <row r="31" customFormat="false" ht="31.5" hidden="false" customHeight="true" outlineLevel="0" collapsed="false">
      <c r="B31" s="27" t="s">
        <v>280</v>
      </c>
      <c r="C31" s="11" t="s">
        <v>281</v>
      </c>
      <c r="D31" s="30" t="s">
        <v>282</v>
      </c>
      <c r="E31" s="11" t="s">
        <v>283</v>
      </c>
      <c r="F31" s="11" t="s">
        <v>233</v>
      </c>
      <c r="G31" s="30" t="s">
        <v>284</v>
      </c>
      <c r="H31" s="11" t="s">
        <v>219</v>
      </c>
    </row>
    <row r="32" customFormat="false" ht="31.5" hidden="false" customHeight="true" outlineLevel="0" collapsed="false">
      <c r="B32" s="38" t="s">
        <v>285</v>
      </c>
      <c r="C32" s="7" t="s">
        <v>286</v>
      </c>
      <c r="D32" s="28" t="s">
        <v>287</v>
      </c>
      <c r="E32" s="7" t="s">
        <v>288</v>
      </c>
      <c r="F32" s="7" t="s">
        <v>289</v>
      </c>
      <c r="G32" s="28" t="s">
        <v>290</v>
      </c>
      <c r="H32" s="7" t="s">
        <v>291</v>
      </c>
    </row>
  </sheetData>
  <mergeCells count="9">
    <mergeCell ref="B2:H2"/>
    <mergeCell ref="B3:H3"/>
    <mergeCell ref="B5:H5"/>
    <mergeCell ref="B6:H6"/>
    <mergeCell ref="B11:H11"/>
    <mergeCell ref="B12:H12"/>
    <mergeCell ref="B14:H14"/>
    <mergeCell ref="B23:H23"/>
    <mergeCell ref="B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B2:V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9"/>
    <col collapsed="false" customWidth="true" hidden="false" outlineLevel="0" max="3" min="3" style="1" width="35"/>
    <col collapsed="false" customWidth="true" hidden="false" outlineLevel="0" max="4" min="4" style="1" width="9"/>
    <col collapsed="false" customWidth="true" hidden="false" outlineLevel="0" max="5" min="5" style="1" width="18"/>
    <col collapsed="false" customWidth="true" hidden="false" outlineLevel="0" max="6" min="6" style="1" width="16"/>
    <col collapsed="false" customWidth="true" hidden="false" outlineLevel="0" max="7" min="7" style="1" width="9"/>
    <col collapsed="false" customWidth="true" hidden="false" outlineLevel="0" max="11" min="8" style="1" width="12"/>
    <col collapsed="false" customWidth="true" hidden="false" outlineLevel="0" max="12" min="12" style="1" width="22"/>
    <col collapsed="false" customWidth="true" hidden="false" outlineLevel="0" max="14" min="13" style="1" width="9"/>
    <col collapsed="false" customWidth="true" hidden="false" outlineLevel="0" max="17" min="15" style="1" width="14"/>
    <col collapsed="false" customWidth="true" hidden="false" outlineLevel="0" max="18" min="18" style="1" width="10"/>
    <col collapsed="false" customWidth="true" hidden="false" outlineLevel="0" max="19" min="19" style="1" width="13"/>
    <col collapsed="false" customWidth="true" hidden="false" outlineLevel="0" max="20" min="20" style="1" width="10"/>
    <col collapsed="false" customWidth="true" hidden="false" outlineLevel="0" max="21" min="21" style="1" width="11"/>
    <col collapsed="false" customWidth="true" hidden="false" outlineLevel="0" max="22" min="22" style="1" width="22"/>
  </cols>
  <sheetData>
    <row r="2" customFormat="false" ht="27.75" hidden="false" customHeight="true" outlineLevel="0" collapsed="false">
      <c r="B2" s="45" t="s">
        <v>292</v>
      </c>
      <c r="C2" s="45"/>
      <c r="D2" s="45"/>
      <c r="E2" s="45"/>
      <c r="F2" s="45"/>
      <c r="G2" s="45"/>
      <c r="H2" s="45"/>
      <c r="I2" s="45"/>
      <c r="J2" s="45"/>
      <c r="K2" s="45"/>
      <c r="L2" s="45"/>
      <c r="M2" s="45"/>
      <c r="N2" s="45"/>
      <c r="O2" s="45"/>
      <c r="P2" s="45"/>
      <c r="Q2" s="45"/>
      <c r="R2" s="45"/>
      <c r="S2" s="45"/>
      <c r="T2" s="45"/>
      <c r="U2" s="45"/>
      <c r="V2" s="45"/>
    </row>
    <row r="3" customFormat="false" ht="21.75" hidden="false" customHeight="true" outlineLevel="0" collapsed="false">
      <c r="B3" s="40" t="s">
        <v>293</v>
      </c>
      <c r="C3" s="40"/>
      <c r="D3" s="40"/>
      <c r="E3" s="40"/>
      <c r="F3" s="40"/>
      <c r="G3" s="40"/>
      <c r="H3" s="40"/>
      <c r="I3" s="40"/>
      <c r="J3" s="40"/>
      <c r="K3" s="40"/>
      <c r="L3" s="40"/>
      <c r="M3" s="40"/>
      <c r="N3" s="40"/>
      <c r="O3" s="40"/>
      <c r="P3" s="40"/>
      <c r="Q3" s="40"/>
      <c r="R3" s="40"/>
      <c r="S3" s="40"/>
      <c r="T3" s="40"/>
      <c r="U3" s="40"/>
      <c r="V3" s="40"/>
    </row>
    <row r="5" customFormat="false" ht="37.5" hidden="false" customHeight="true" outlineLevel="0" collapsed="false">
      <c r="B5" s="46" t="s">
        <v>48</v>
      </c>
      <c r="C5" s="46" t="s">
        <v>294</v>
      </c>
      <c r="D5" s="46" t="s">
        <v>295</v>
      </c>
      <c r="E5" s="46" t="s">
        <v>296</v>
      </c>
      <c r="F5" s="46" t="s">
        <v>297</v>
      </c>
      <c r="G5" s="46" t="s">
        <v>298</v>
      </c>
      <c r="H5" s="46" t="s">
        <v>299</v>
      </c>
      <c r="I5" s="46" t="s">
        <v>300</v>
      </c>
      <c r="J5" s="46" t="s">
        <v>301</v>
      </c>
      <c r="K5" s="46" t="s">
        <v>302</v>
      </c>
      <c r="L5" s="46" t="s">
        <v>303</v>
      </c>
      <c r="M5" s="46" t="s">
        <v>304</v>
      </c>
      <c r="N5" s="46" t="s">
        <v>305</v>
      </c>
      <c r="O5" s="46" t="s">
        <v>306</v>
      </c>
      <c r="P5" s="46" t="s">
        <v>28</v>
      </c>
      <c r="Q5" s="46" t="s">
        <v>307</v>
      </c>
      <c r="R5" s="46" t="s">
        <v>50</v>
      </c>
      <c r="S5" s="46" t="s">
        <v>308</v>
      </c>
      <c r="T5" s="46" t="s">
        <v>309</v>
      </c>
      <c r="U5" s="46" t="s">
        <v>310</v>
      </c>
      <c r="V5" s="46" t="s">
        <v>311</v>
      </c>
    </row>
    <row r="6" customFormat="false" ht="37.5" hidden="false" customHeight="true" outlineLevel="0" collapsed="false">
      <c r="B6" s="27" t="s">
        <v>312</v>
      </c>
      <c r="C6" s="11" t="s">
        <v>313</v>
      </c>
      <c r="D6" s="30" t="s">
        <v>143</v>
      </c>
      <c r="E6" s="11" t="s">
        <v>138</v>
      </c>
      <c r="F6" s="11" t="s">
        <v>314</v>
      </c>
      <c r="G6" s="30" t="n">
        <v>2</v>
      </c>
      <c r="H6" s="47" t="n">
        <v>46096</v>
      </c>
      <c r="I6" s="47" t="n">
        <v>46111</v>
      </c>
      <c r="J6" s="47"/>
      <c r="K6" s="47"/>
      <c r="L6" s="11" t="s">
        <v>315</v>
      </c>
      <c r="M6" s="48" t="n">
        <f aca="true">IF(OR(H6="",I6=""),0,IF(TODAY()&lt;H6,0,IF(TODAY()&gt;=I6,100,(TODAY()-H6)/(I6-H6)*100)))</f>
        <v>100</v>
      </c>
      <c r="N6" s="49" t="n">
        <v>0</v>
      </c>
      <c r="O6" s="50" t="n">
        <v>277500</v>
      </c>
      <c r="P6" s="50"/>
      <c r="Q6" s="51" t="str">
        <f aca="true">IF(B6="","",IF(K6&lt;&gt;"",IF(K6&lt;=I6,"Terminé à temps","Terminé hors délai"),IF(N6=0,IF(TODAY()&lt;H6,"En attente",IF(TODAY()&gt;I6+30,"Critique","En retard")),IF(N6&gt;=M6,"À temps",IF(N6&gt;=M6*0.8,"À surveiller",IF(N6&gt;=M6*0.5,"En retard","Critique"))))))</f>
        <v>Critique</v>
      </c>
      <c r="R6" s="52" t="n">
        <f aca="false">IFERROR(IF(Q6="Terminé à temps",100,IF(Q6="Terminé hors délai",75,IF(Q6="À temps",50,IF(Q6="À surveiller",40,IF(Q6="En retard",25,IF(Q6="Critique",10,IF(Q6="En attente",50,0))))))),0)</f>
        <v>10</v>
      </c>
      <c r="S6" s="53"/>
      <c r="T6" s="54"/>
      <c r="U6" s="55" t="n">
        <f aca="false">IFERROR(IF(T6="",0,T6*N6/100),0)</f>
        <v>0</v>
      </c>
      <c r="V6" s="11"/>
    </row>
    <row r="7" customFormat="false" ht="37.5" hidden="false" customHeight="true" outlineLevel="0" collapsed="false">
      <c r="B7" s="38" t="s">
        <v>316</v>
      </c>
      <c r="C7" s="7" t="s">
        <v>317</v>
      </c>
      <c r="D7" s="28" t="s">
        <v>318</v>
      </c>
      <c r="E7" s="7" t="s">
        <v>156</v>
      </c>
      <c r="F7" s="7" t="s">
        <v>161</v>
      </c>
      <c r="G7" s="28" t="n">
        <v>2</v>
      </c>
      <c r="H7" s="56" t="n">
        <v>46113</v>
      </c>
      <c r="I7" s="56" t="n">
        <v>46127</v>
      </c>
      <c r="J7" s="56"/>
      <c r="K7" s="56"/>
      <c r="L7" s="7" t="s">
        <v>319</v>
      </c>
      <c r="M7" s="48" t="n">
        <f aca="true">IF(OR(H7="",I7=""),0,IF(TODAY()&lt;H7,0,IF(TODAY()&gt;=I7,100,(TODAY()-H7)/(I7-H7)*100)))</f>
        <v>100</v>
      </c>
      <c r="N7" s="57" t="n">
        <v>0</v>
      </c>
      <c r="O7" s="58" t="n">
        <v>191000</v>
      </c>
      <c r="P7" s="58"/>
      <c r="Q7" s="51" t="str">
        <f aca="true">IF(B7="","",IF(K7&lt;&gt;"",IF(K7&lt;=I7,"Terminé à temps","Terminé hors délai"),IF(N7=0,IF(TODAY()&lt;H7,"En attente",IF(TODAY()&gt;I7+30,"Critique","En retard")),IF(N7&gt;=M7,"À temps",IF(N7&gt;=M7*0.8,"À surveiller",IF(N7&gt;=M7*0.5,"En retard","Critique"))))))</f>
        <v>Critique</v>
      </c>
      <c r="R7" s="52" t="n">
        <f aca="false">IFERROR(IF(Q7="Terminé à temps",100,IF(Q7="Terminé hors délai",75,IF(Q7="À temps",50,IF(Q7="À surveiller",40,IF(Q7="En retard",25,IF(Q7="Critique",10,IF(Q7="En attente",50,0))))))),0)</f>
        <v>10</v>
      </c>
      <c r="S7" s="59" t="s">
        <v>241</v>
      </c>
      <c r="T7" s="60" t="n">
        <v>1</v>
      </c>
      <c r="U7" s="55" t="n">
        <f aca="false">IFERROR(IF(T7="",0,T7*N7/100),0)</f>
        <v>0</v>
      </c>
      <c r="V7" s="7"/>
    </row>
    <row r="8" customFormat="false" ht="37.5" hidden="false" customHeight="true" outlineLevel="0" collapsed="false">
      <c r="B8" s="27" t="s">
        <v>320</v>
      </c>
      <c r="C8" s="11" t="s">
        <v>321</v>
      </c>
      <c r="D8" s="30" t="s">
        <v>318</v>
      </c>
      <c r="E8" s="11" t="s">
        <v>156</v>
      </c>
      <c r="F8" s="11" t="s">
        <v>161</v>
      </c>
      <c r="G8" s="30" t="n">
        <v>3</v>
      </c>
      <c r="H8" s="47" t="n">
        <v>46132</v>
      </c>
      <c r="I8" s="47" t="n">
        <v>46157</v>
      </c>
      <c r="J8" s="47"/>
      <c r="K8" s="47"/>
      <c r="L8" s="11" t="s">
        <v>322</v>
      </c>
      <c r="M8" s="48" t="n">
        <f aca="true">IF(OR(H8="",I8=""),0,IF(TODAY()&lt;H8,0,IF(TODAY()&gt;=I8,100,(TODAY()-H8)/(I8-H8)*100)))</f>
        <v>100</v>
      </c>
      <c r="N8" s="49" t="n">
        <v>0</v>
      </c>
      <c r="O8" s="50" t="n">
        <v>600000</v>
      </c>
      <c r="P8" s="50"/>
      <c r="Q8" s="51" t="str">
        <f aca="true">IF(B8="","",IF(K8&lt;&gt;"",IF(K8&lt;=I8,"Terminé à temps","Terminé hors délai"),IF(N8=0,IF(TODAY()&lt;H8,"En attente",IF(TODAY()&gt;I8+30,"Critique","En retard")),IF(N8&gt;=M8,"À temps",IF(N8&gt;=M8*0.8,"À surveiller",IF(N8&gt;=M8*0.5,"En retard","Critique"))))))</f>
        <v>En retard</v>
      </c>
      <c r="R8" s="52" t="n">
        <f aca="false">IFERROR(IF(Q8="Terminé à temps",100,IF(Q8="Terminé hors délai",75,IF(Q8="À temps",50,IF(Q8="À surveiller",40,IF(Q8="En retard",25,IF(Q8="Critique",10,IF(Q8="En attente",50,0))))))),0)</f>
        <v>25</v>
      </c>
      <c r="S8" s="53" t="s">
        <v>229</v>
      </c>
      <c r="T8" s="54" t="n">
        <v>30</v>
      </c>
      <c r="U8" s="55" t="n">
        <f aca="false">IFERROR(IF(T8="",0,T8*N8/100),0)</f>
        <v>0</v>
      </c>
      <c r="V8" s="11"/>
    </row>
    <row r="9" customFormat="false" ht="37.5" hidden="false" customHeight="true" outlineLevel="0" collapsed="false">
      <c r="B9" s="38" t="s">
        <v>323</v>
      </c>
      <c r="C9" s="7" t="s">
        <v>324</v>
      </c>
      <c r="D9" s="28" t="s">
        <v>318</v>
      </c>
      <c r="E9" s="7" t="s">
        <v>156</v>
      </c>
      <c r="F9" s="7" t="s">
        <v>161</v>
      </c>
      <c r="G9" s="28" t="n">
        <v>2</v>
      </c>
      <c r="H9" s="56" t="n">
        <v>46132</v>
      </c>
      <c r="I9" s="56" t="n">
        <v>46157</v>
      </c>
      <c r="J9" s="56"/>
      <c r="K9" s="56"/>
      <c r="L9" s="7" t="s">
        <v>325</v>
      </c>
      <c r="M9" s="48" t="n">
        <f aca="true">IF(OR(H9="",I9=""),0,IF(TODAY()&lt;H9,0,IF(TODAY()&gt;=I9,100,(TODAY()-H9)/(I9-H9)*100)))</f>
        <v>100</v>
      </c>
      <c r="N9" s="57" t="n">
        <v>0</v>
      </c>
      <c r="O9" s="58" t="n">
        <v>0</v>
      </c>
      <c r="P9" s="58"/>
      <c r="Q9" s="51" t="str">
        <f aca="true">IF(B9="","",IF(K9&lt;&gt;"",IF(K9&lt;=I9,"Terminé à temps","Terminé hors délai"),IF(N9=0,IF(TODAY()&lt;H9,"En attente",IF(TODAY()&gt;I9+30,"Critique","En retard")),IF(N9&gt;=M9,"À temps",IF(N9&gt;=M9*0.8,"À surveiller",IF(N9&gt;=M9*0.5,"En retard","Critique"))))))</f>
        <v>En retard</v>
      </c>
      <c r="R9" s="52" t="n">
        <f aca="false">IFERROR(IF(Q9="Terminé à temps",100,IF(Q9="Terminé hors délai",75,IF(Q9="À temps",50,IF(Q9="À surveiller",40,IF(Q9="En retard",25,IF(Q9="Critique",10,IF(Q9="En attente",50,0))))))),0)</f>
        <v>25</v>
      </c>
      <c r="S9" s="59" t="s">
        <v>254</v>
      </c>
      <c r="T9" s="60" t="n">
        <v>18</v>
      </c>
      <c r="U9" s="55" t="n">
        <f aca="false">IFERROR(IF(T9="",0,T9*N9/100),0)</f>
        <v>0</v>
      </c>
      <c r="V9" s="7"/>
    </row>
    <row r="10" customFormat="false" ht="37.5" hidden="false" customHeight="true" outlineLevel="0" collapsed="false">
      <c r="B10" s="27" t="s">
        <v>326</v>
      </c>
      <c r="C10" s="11" t="s">
        <v>327</v>
      </c>
      <c r="D10" s="30" t="s">
        <v>318</v>
      </c>
      <c r="E10" s="11" t="s">
        <v>156</v>
      </c>
      <c r="F10" s="11" t="s">
        <v>161</v>
      </c>
      <c r="G10" s="30" t="n">
        <v>2</v>
      </c>
      <c r="H10" s="47" t="n">
        <v>46143</v>
      </c>
      <c r="I10" s="47" t="n">
        <v>46477</v>
      </c>
      <c r="J10" s="47"/>
      <c r="K10" s="47"/>
      <c r="L10" s="11" t="s">
        <v>328</v>
      </c>
      <c r="M10" s="48" t="n">
        <f aca="true">IF(OR(H10="",I10=""),0,IF(TODAY()&lt;H10,0,IF(TODAY()&gt;=I10,100,(TODAY()-H10)/(I10-H10)*100)))</f>
        <v>7.18562874251497</v>
      </c>
      <c r="N10" s="49" t="n">
        <v>0</v>
      </c>
      <c r="O10" s="50" t="n">
        <v>307000</v>
      </c>
      <c r="P10" s="50"/>
      <c r="Q10" s="51" t="str">
        <f aca="true">IF(B10="","",IF(K10&lt;&gt;"",IF(K10&lt;=I10,"Terminé à temps","Terminé hors délai"),IF(N10=0,IF(TODAY()&lt;H10,"En attente",IF(TODAY()&gt;I10+30,"Critique","En retard")),IF(N10&gt;=M10,"À temps",IF(N10&gt;=M10*0.8,"À surveiller",IF(N10&gt;=M10*0.5,"En retard","Critique"))))))</f>
        <v>En retard</v>
      </c>
      <c r="R10" s="52" t="n">
        <f aca="false">IFERROR(IF(Q10="Terminé à temps",100,IF(Q10="Terminé hors délai",75,IF(Q10="À temps",50,IF(Q10="À surveiller",40,IF(Q10="En retard",25,IF(Q10="Critique",10,IF(Q10="En attente",50,0))))))),0)</f>
        <v>25</v>
      </c>
      <c r="S10" s="53" t="s">
        <v>235</v>
      </c>
      <c r="T10" s="54" t="n">
        <v>24</v>
      </c>
      <c r="U10" s="55" t="n">
        <f aca="false">IFERROR(IF(T10="",0,T10*N10/100),0)</f>
        <v>0</v>
      </c>
      <c r="V10" s="11"/>
    </row>
    <row r="11" customFormat="false" ht="37.5" hidden="false" customHeight="true" outlineLevel="0" collapsed="false">
      <c r="B11" s="38" t="s">
        <v>329</v>
      </c>
      <c r="C11" s="7" t="s">
        <v>330</v>
      </c>
      <c r="D11" s="28" t="s">
        <v>318</v>
      </c>
      <c r="E11" s="7" t="s">
        <v>156</v>
      </c>
      <c r="F11" s="7" t="s">
        <v>161</v>
      </c>
      <c r="G11" s="28" t="n">
        <v>2</v>
      </c>
      <c r="H11" s="56" t="n">
        <v>46162</v>
      </c>
      <c r="I11" s="56" t="n">
        <v>46188</v>
      </c>
      <c r="J11" s="56"/>
      <c r="K11" s="56"/>
      <c r="L11" s="7" t="s">
        <v>331</v>
      </c>
      <c r="M11" s="48" t="n">
        <f aca="true">IF(OR(H11="",I11=""),0,IF(TODAY()&lt;H11,0,IF(TODAY()&gt;=I11,100,(TODAY()-H11)/(I11-H11)*100)))</f>
        <v>19.2307692307692</v>
      </c>
      <c r="N11" s="57" t="n">
        <v>0</v>
      </c>
      <c r="O11" s="58" t="n">
        <v>400000</v>
      </c>
      <c r="P11" s="58"/>
      <c r="Q11" s="51" t="str">
        <f aca="true">IF(B11="","",IF(K11&lt;&gt;"",IF(K11&lt;=I11,"Terminé à temps","Terminé hors délai"),IF(N11=0,IF(TODAY()&lt;H11,"En attente",IF(TODAY()&gt;I11+30,"Critique","En retard")),IF(N11&gt;=M11,"À temps",IF(N11&gt;=M11*0.8,"À surveiller",IF(N11&gt;=M11*0.5,"En retard","Critique"))))))</f>
        <v>En retard</v>
      </c>
      <c r="R11" s="52" t="n">
        <f aca="false">IFERROR(IF(Q11="Terminé à temps",100,IF(Q11="Terminé hors délai",75,IF(Q11="À temps",50,IF(Q11="À surveiller",40,IF(Q11="En retard",25,IF(Q11="Critique",10,IF(Q11="En attente",50,0))))))),0)</f>
        <v>25</v>
      </c>
      <c r="S11" s="59" t="s">
        <v>247</v>
      </c>
      <c r="T11" s="60" t="n">
        <v>15</v>
      </c>
      <c r="U11" s="55" t="n">
        <f aca="false">IFERROR(IF(T11="",0,T11*N11/100),0)</f>
        <v>0</v>
      </c>
      <c r="V11" s="7"/>
    </row>
    <row r="12" customFormat="false" ht="37.5" hidden="false" customHeight="true" outlineLevel="0" collapsed="false">
      <c r="B12" s="27" t="s">
        <v>332</v>
      </c>
      <c r="C12" s="11" t="s">
        <v>333</v>
      </c>
      <c r="D12" s="30" t="s">
        <v>318</v>
      </c>
      <c r="E12" s="11" t="s">
        <v>156</v>
      </c>
      <c r="F12" s="11" t="s">
        <v>161</v>
      </c>
      <c r="G12" s="30" t="n">
        <v>2</v>
      </c>
      <c r="H12" s="47" t="n">
        <v>46193</v>
      </c>
      <c r="I12" s="47" t="n">
        <v>46218</v>
      </c>
      <c r="J12" s="47"/>
      <c r="K12" s="47"/>
      <c r="L12" s="11" t="s">
        <v>334</v>
      </c>
      <c r="M12" s="48" t="n">
        <f aca="true">IF(OR(H12="",I12=""),0,IF(TODAY()&lt;H12,0,IF(TODAY()&gt;=I12,100,(TODAY()-H12)/(I12-H12)*100)))</f>
        <v>0</v>
      </c>
      <c r="N12" s="49" t="n">
        <v>0</v>
      </c>
      <c r="O12" s="50" t="n">
        <v>198000</v>
      </c>
      <c r="P12" s="50"/>
      <c r="Q12" s="51" t="str">
        <f aca="true">IF(B12="","",IF(K12&lt;&gt;"",IF(K12&lt;=I12,"Terminé à temps","Terminé hors délai"),IF(N12=0,IF(TODAY()&lt;H12,"En attente",IF(TODAY()&gt;I12+30,"Critique","En retard")),IF(N12&gt;=M12,"À temps",IF(N12&gt;=M12*0.8,"À surveiller",IF(N12&gt;=M12*0.5,"En retard","Critique"))))))</f>
        <v>En attente</v>
      </c>
      <c r="R12" s="52" t="n">
        <f aca="false">IFERROR(IF(Q12="Terminé à temps",100,IF(Q12="Terminé hors délai",75,IF(Q12="À temps",50,IF(Q12="À surveiller",40,IF(Q12="En retard",25,IF(Q12="Critique",10,IF(Q12="En attente",50,0))))))),0)</f>
        <v>50</v>
      </c>
      <c r="S12" s="53" t="s">
        <v>259</v>
      </c>
      <c r="T12" s="54" t="n">
        <v>15</v>
      </c>
      <c r="U12" s="55" t="n">
        <f aca="false">IFERROR(IF(T12="",0,T12*N12/100),0)</f>
        <v>0</v>
      </c>
      <c r="V12" s="11"/>
    </row>
    <row r="13" customFormat="false" ht="37.5" hidden="false" customHeight="true" outlineLevel="0" collapsed="false">
      <c r="B13" s="38" t="s">
        <v>335</v>
      </c>
      <c r="C13" s="7" t="s">
        <v>336</v>
      </c>
      <c r="D13" s="28" t="s">
        <v>318</v>
      </c>
      <c r="E13" s="7" t="s">
        <v>156</v>
      </c>
      <c r="F13" s="7" t="s">
        <v>337</v>
      </c>
      <c r="G13" s="28" t="n">
        <v>2</v>
      </c>
      <c r="H13" s="56" t="n">
        <v>46204</v>
      </c>
      <c r="I13" s="56" t="n">
        <v>46233</v>
      </c>
      <c r="J13" s="56"/>
      <c r="K13" s="56"/>
      <c r="L13" s="7" t="s">
        <v>338</v>
      </c>
      <c r="M13" s="48" t="n">
        <f aca="true">IF(OR(H13="",I13=""),0,IF(TODAY()&lt;H13,0,IF(TODAY()&gt;=I13,100,(TODAY()-H13)/(I13-H13)*100)))</f>
        <v>0</v>
      </c>
      <c r="N13" s="57" t="n">
        <v>0</v>
      </c>
      <c r="O13" s="58" t="n">
        <v>435000</v>
      </c>
      <c r="P13" s="58"/>
      <c r="Q13" s="51" t="str">
        <f aca="true">IF(B13="","",IF(K13&lt;&gt;"",IF(K13&lt;=I13,"Terminé à temps","Terminé hors délai"),IF(N13=0,IF(TODAY()&lt;H13,"En attente",IF(TODAY()&gt;I13+30,"Critique","En retard")),IF(N13&gt;=M13,"À temps",IF(N13&gt;=M13*0.8,"À surveiller",IF(N13&gt;=M13*0.5,"En retard","Critique"))))))</f>
        <v>En attente</v>
      </c>
      <c r="R13" s="52" t="n">
        <f aca="false">IFERROR(IF(Q13="Terminé à temps",100,IF(Q13="Terminé hors délai",75,IF(Q13="À temps",50,IF(Q13="À surveiller",40,IF(Q13="En retard",25,IF(Q13="Critique",10,IF(Q13="En attente",50,0))))))),0)</f>
        <v>50</v>
      </c>
      <c r="S13" s="59" t="s">
        <v>241</v>
      </c>
      <c r="T13" s="60"/>
      <c r="U13" s="55" t="n">
        <f aca="false">IFERROR(IF(T13="",0,T13*N13/100),0)</f>
        <v>0</v>
      </c>
      <c r="V13" s="7"/>
    </row>
    <row r="14" customFormat="false" ht="37.5" hidden="false" customHeight="true" outlineLevel="0" collapsed="false">
      <c r="B14" s="27" t="s">
        <v>339</v>
      </c>
      <c r="C14" s="11" t="s">
        <v>340</v>
      </c>
      <c r="D14" s="30" t="s">
        <v>318</v>
      </c>
      <c r="E14" s="11" t="s">
        <v>156</v>
      </c>
      <c r="F14" s="11" t="s">
        <v>161</v>
      </c>
      <c r="G14" s="30" t="n">
        <v>2</v>
      </c>
      <c r="H14" s="47" t="n">
        <v>46235</v>
      </c>
      <c r="I14" s="47" t="n">
        <v>46265</v>
      </c>
      <c r="J14" s="47"/>
      <c r="K14" s="47"/>
      <c r="L14" s="11" t="s">
        <v>331</v>
      </c>
      <c r="M14" s="48" t="n">
        <f aca="true">IF(OR(H14="",I14=""),0,IF(TODAY()&lt;H14,0,IF(TODAY()&gt;=I14,100,(TODAY()-H14)/(I14-H14)*100)))</f>
        <v>0</v>
      </c>
      <c r="N14" s="49" t="n">
        <v>0</v>
      </c>
      <c r="O14" s="50" t="n">
        <v>424500</v>
      </c>
      <c r="P14" s="50"/>
      <c r="Q14" s="51" t="str">
        <f aca="true">IF(B14="","",IF(K14&lt;&gt;"",IF(K14&lt;=I14,"Terminé à temps","Terminé hors délai"),IF(N14=0,IF(TODAY()&lt;H14,"En attente",IF(TODAY()&gt;I14+30,"Critique","En retard")),IF(N14&gt;=M14,"À temps",IF(N14&gt;=M14*0.8,"À surveiller",IF(N14&gt;=M14*0.5,"En retard","Critique"))))))</f>
        <v>En attente</v>
      </c>
      <c r="R14" s="52" t="n">
        <f aca="false">IFERROR(IF(Q14="Terminé à temps",100,IF(Q14="Terminé hors délai",75,IF(Q14="À temps",50,IF(Q14="À surveiller",40,IF(Q14="En retard",25,IF(Q14="Critique",10,IF(Q14="En attente",50,0))))))),0)</f>
        <v>50</v>
      </c>
      <c r="S14" s="53" t="s">
        <v>241</v>
      </c>
      <c r="T14" s="54"/>
      <c r="U14" s="55" t="n">
        <f aca="false">IFERROR(IF(T14="",0,T14*N14/100),0)</f>
        <v>0</v>
      </c>
      <c r="V14" s="11"/>
    </row>
    <row r="15" customFormat="false" ht="37.5" hidden="false" customHeight="true" outlineLevel="0" collapsed="false">
      <c r="B15" s="38" t="s">
        <v>341</v>
      </c>
      <c r="C15" s="7" t="s">
        <v>342</v>
      </c>
      <c r="D15" s="28" t="s">
        <v>318</v>
      </c>
      <c r="E15" s="7" t="s">
        <v>156</v>
      </c>
      <c r="F15" s="7" t="s">
        <v>161</v>
      </c>
      <c r="G15" s="28" t="n">
        <v>3</v>
      </c>
      <c r="H15" s="56" t="n">
        <v>46266</v>
      </c>
      <c r="I15" s="56" t="n">
        <v>46295</v>
      </c>
      <c r="J15" s="56"/>
      <c r="K15" s="56"/>
      <c r="L15" s="7" t="s">
        <v>343</v>
      </c>
      <c r="M15" s="48" t="n">
        <f aca="true">IF(OR(H15="",I15=""),0,IF(TODAY()&lt;H15,0,IF(TODAY()&gt;=I15,100,(TODAY()-H15)/(I15-H15)*100)))</f>
        <v>0</v>
      </c>
      <c r="N15" s="57" t="n">
        <v>0</v>
      </c>
      <c r="O15" s="58" t="n">
        <v>654000</v>
      </c>
      <c r="P15" s="58"/>
      <c r="Q15" s="51" t="str">
        <f aca="true">IF(B15="","",IF(K15&lt;&gt;"",IF(K15&lt;=I15,"Terminé à temps","Terminé hors délai"),IF(N15=0,IF(TODAY()&lt;H15,"En attente",IF(TODAY()&gt;I15+30,"Critique","En retard")),IF(N15&gt;=M15,"À temps",IF(N15&gt;=M15*0.8,"À surveiller",IF(N15&gt;=M15*0.5,"En retard","Critique"))))))</f>
        <v>En attente</v>
      </c>
      <c r="R15" s="52" t="n">
        <f aca="false">IFERROR(IF(Q15="Terminé à temps",100,IF(Q15="Terminé hors délai",75,IF(Q15="À temps",50,IF(Q15="À surveiller",40,IF(Q15="En retard",25,IF(Q15="Critique",10,IF(Q15="En attente",50,0))))))),0)</f>
        <v>50</v>
      </c>
      <c r="S15" s="59" t="s">
        <v>220</v>
      </c>
      <c r="T15" s="60" t="n">
        <v>1</v>
      </c>
      <c r="U15" s="55" t="n">
        <f aca="false">IFERROR(IF(T15="",0,T15*N15/100),0)</f>
        <v>0</v>
      </c>
      <c r="V15" s="7"/>
    </row>
    <row r="16" customFormat="false" ht="37.5" hidden="false" customHeight="true" outlineLevel="0" collapsed="false">
      <c r="B16" s="27" t="s">
        <v>344</v>
      </c>
      <c r="C16" s="11" t="s">
        <v>345</v>
      </c>
      <c r="D16" s="30" t="s">
        <v>318</v>
      </c>
      <c r="E16" s="11" t="s">
        <v>156</v>
      </c>
      <c r="F16" s="11" t="s">
        <v>161</v>
      </c>
      <c r="G16" s="30" t="n">
        <v>3</v>
      </c>
      <c r="H16" s="47" t="n">
        <v>46296</v>
      </c>
      <c r="I16" s="47" t="n">
        <v>46325</v>
      </c>
      <c r="J16" s="47"/>
      <c r="K16" s="47"/>
      <c r="L16" s="11" t="s">
        <v>346</v>
      </c>
      <c r="M16" s="48" t="n">
        <f aca="true">IF(OR(H16="",I16=""),0,IF(TODAY()&lt;H16,0,IF(TODAY()&gt;=I16,100,(TODAY()-H16)/(I16-H16)*100)))</f>
        <v>0</v>
      </c>
      <c r="N16" s="49" t="n">
        <v>0</v>
      </c>
      <c r="O16" s="50" t="n">
        <v>572500</v>
      </c>
      <c r="P16" s="50"/>
      <c r="Q16" s="51" t="str">
        <f aca="true">IF(B16="","",IF(K16&lt;&gt;"",IF(K16&lt;=I16,"Terminé à temps","Terminé hors délai"),IF(N16=0,IF(TODAY()&lt;H16,"En attente",IF(TODAY()&gt;I16+30,"Critique","En retard")),IF(N16&gt;=M16,"À temps",IF(N16&gt;=M16*0.8,"À surveiller",IF(N16&gt;=M16*0.5,"En retard","Critique"))))))</f>
        <v>En attente</v>
      </c>
      <c r="R16" s="52" t="n">
        <f aca="false">IFERROR(IF(Q16="Terminé à temps",100,IF(Q16="Terminé hors délai",75,IF(Q16="À temps",50,IF(Q16="À surveiller",40,IF(Q16="En retard",25,IF(Q16="Critique",10,IF(Q16="En attente",50,0))))))),0)</f>
        <v>50</v>
      </c>
      <c r="S16" s="53" t="s">
        <v>276</v>
      </c>
      <c r="T16" s="54" t="n">
        <v>1</v>
      </c>
      <c r="U16" s="55" t="n">
        <f aca="false">IFERROR(IF(T16="",0,T16*N16/100),0)</f>
        <v>0</v>
      </c>
      <c r="V16" s="11"/>
    </row>
    <row r="17" customFormat="false" ht="37.5" hidden="false" customHeight="true" outlineLevel="0" collapsed="false">
      <c r="B17" s="38" t="s">
        <v>347</v>
      </c>
      <c r="C17" s="7" t="s">
        <v>348</v>
      </c>
      <c r="D17" s="28" t="s">
        <v>349</v>
      </c>
      <c r="E17" s="7" t="s">
        <v>161</v>
      </c>
      <c r="F17" s="7" t="s">
        <v>192</v>
      </c>
      <c r="G17" s="28" t="n">
        <v>3</v>
      </c>
      <c r="H17" s="56" t="n">
        <v>46143</v>
      </c>
      <c r="I17" s="56" t="n">
        <v>46234</v>
      </c>
      <c r="J17" s="56"/>
      <c r="K17" s="56"/>
      <c r="L17" s="7" t="s">
        <v>350</v>
      </c>
      <c r="M17" s="48" t="n">
        <f aca="true">IF(OR(H17="",I17=""),0,IF(TODAY()&lt;H17,0,IF(TODAY()&gt;=I17,100,(TODAY()-H17)/(I17-H17)*100)))</f>
        <v>26.3736263736264</v>
      </c>
      <c r="N17" s="57" t="n">
        <v>0</v>
      </c>
      <c r="O17" s="58" t="n">
        <v>0</v>
      </c>
      <c r="P17" s="58"/>
      <c r="Q17" s="51" t="str">
        <f aca="true">IF(B17="","",IF(K17&lt;&gt;"",IF(K17&lt;=I17,"Terminé à temps","Terminé hors délai"),IF(N17=0,IF(TODAY()&lt;H17,"En attente",IF(TODAY()&gt;I17+30,"Critique","En retard")),IF(N17&gt;=M17,"À temps",IF(N17&gt;=M17*0.8,"À surveiller",IF(N17&gt;=M17*0.5,"En retard","Critique"))))))</f>
        <v>En retard</v>
      </c>
      <c r="R17" s="52" t="n">
        <f aca="false">IFERROR(IF(Q17="Terminé à temps",100,IF(Q17="Terminé hors délai",75,IF(Q17="À temps",50,IF(Q17="À surveiller",40,IF(Q17="En retard",25,IF(Q17="Critique",10,IF(Q17="En attente",50,0))))))),0)</f>
        <v>25</v>
      </c>
      <c r="S17" s="59" t="s">
        <v>264</v>
      </c>
      <c r="T17" s="60" t="n">
        <v>75</v>
      </c>
      <c r="U17" s="55" t="n">
        <f aca="false">IFERROR(IF(T17="",0,T17*N17/100),0)</f>
        <v>0</v>
      </c>
      <c r="V17" s="7"/>
    </row>
    <row r="18" customFormat="false" ht="37.5" hidden="false" customHeight="true" outlineLevel="0" collapsed="false">
      <c r="B18" s="27" t="s">
        <v>351</v>
      </c>
      <c r="C18" s="11" t="s">
        <v>352</v>
      </c>
      <c r="D18" s="30" t="s">
        <v>349</v>
      </c>
      <c r="E18" s="11" t="s">
        <v>161</v>
      </c>
      <c r="F18" s="11" t="s">
        <v>192</v>
      </c>
      <c r="G18" s="30" t="n">
        <v>3</v>
      </c>
      <c r="H18" s="47" t="n">
        <v>46235</v>
      </c>
      <c r="I18" s="47" t="n">
        <v>46538</v>
      </c>
      <c r="J18" s="47"/>
      <c r="K18" s="47"/>
      <c r="L18" s="11" t="s">
        <v>353</v>
      </c>
      <c r="M18" s="48" t="n">
        <f aca="true">IF(OR(H18="",I18=""),0,IF(TODAY()&lt;H18,0,IF(TODAY()&gt;=I18,100,(TODAY()-H18)/(I18-H18)*100)))</f>
        <v>0</v>
      </c>
      <c r="N18" s="49" t="n">
        <v>0</v>
      </c>
      <c r="O18" s="50" t="n">
        <v>0</v>
      </c>
      <c r="P18" s="50"/>
      <c r="Q18" s="51" t="str">
        <f aca="true">IF(B18="","",IF(K18&lt;&gt;"",IF(K18&lt;=I18,"Terminé à temps","Terminé hors délai"),IF(N18=0,IF(TODAY()&lt;H18,"En attente",IF(TODAY()&gt;I18+30,"Critique","En retard")),IF(N18&gt;=M18,"À temps",IF(N18&gt;=M18*0.8,"À surveiller",IF(N18&gt;=M18*0.5,"En retard","Critique"))))))</f>
        <v>En attente</v>
      </c>
      <c r="R18" s="52" t="n">
        <f aca="false">IFERROR(IF(Q18="Terminé à temps",100,IF(Q18="Terminé hors délai",75,IF(Q18="À temps",50,IF(Q18="À surveiller",40,IF(Q18="En retard",25,IF(Q18="Critique",10,IF(Q18="En attente",50,0))))))),0)</f>
        <v>50</v>
      </c>
      <c r="S18" s="53" t="s">
        <v>269</v>
      </c>
      <c r="T18" s="54" t="n">
        <v>5</v>
      </c>
      <c r="U18" s="55" t="n">
        <f aca="false">IFERROR(IF(T18="",0,T18*N18/100),0)</f>
        <v>0</v>
      </c>
      <c r="V18" s="11"/>
    </row>
    <row r="19" customFormat="false" ht="37.5" hidden="false" customHeight="true" outlineLevel="0" collapsed="false">
      <c r="B19" s="38" t="s">
        <v>354</v>
      </c>
      <c r="C19" s="7" t="s">
        <v>355</v>
      </c>
      <c r="D19" s="28" t="s">
        <v>356</v>
      </c>
      <c r="E19" s="7" t="s">
        <v>156</v>
      </c>
      <c r="F19" s="7" t="s">
        <v>357</v>
      </c>
      <c r="G19" s="28" t="n">
        <v>3</v>
      </c>
      <c r="H19" s="56" t="n">
        <v>46327</v>
      </c>
      <c r="I19" s="56" t="n">
        <v>46477</v>
      </c>
      <c r="J19" s="56"/>
      <c r="K19" s="56"/>
      <c r="L19" s="7" t="s">
        <v>358</v>
      </c>
      <c r="M19" s="48" t="n">
        <f aca="true">IF(OR(H19="",I19=""),0,IF(TODAY()&lt;H19,0,IF(TODAY()&gt;=I19,100,(TODAY()-H19)/(I19-H19)*100)))</f>
        <v>0</v>
      </c>
      <c r="N19" s="57" t="n">
        <v>0</v>
      </c>
      <c r="O19" s="58" t="n">
        <v>4500000</v>
      </c>
      <c r="P19" s="58"/>
      <c r="Q19" s="51" t="str">
        <f aca="true">IF(B19="","",IF(K19&lt;&gt;"",IF(K19&lt;=I19,"Terminé à temps","Terminé hors délai"),IF(N19=0,IF(TODAY()&lt;H19,"En attente",IF(TODAY()&gt;I19+30,"Critique","En retard")),IF(N19&gt;=M19,"À temps",IF(N19&gt;=M19*0.8,"À surveiller",IF(N19&gt;=M19*0.5,"En retard","Critique"))))))</f>
        <v>En attente</v>
      </c>
      <c r="R19" s="52" t="n">
        <f aca="false">IFERROR(IF(Q19="Terminé à temps",100,IF(Q19="Terminé hors délai",75,IF(Q19="À temps",50,IF(Q19="À surveiller",40,IF(Q19="En retard",25,IF(Q19="Critique",10,IF(Q19="En attente",50,0))))))),0)</f>
        <v>50</v>
      </c>
      <c r="S19" s="59" t="s">
        <v>280</v>
      </c>
      <c r="T19" s="60" t="n">
        <v>6</v>
      </c>
      <c r="U19" s="55" t="n">
        <f aca="false">IFERROR(IF(T19="",0,T19*N19/100),0)</f>
        <v>0</v>
      </c>
      <c r="V19" s="7"/>
    </row>
    <row r="20" customFormat="false" ht="37.5" hidden="false" customHeight="true" outlineLevel="0" collapsed="false">
      <c r="B20" s="27" t="s">
        <v>359</v>
      </c>
      <c r="C20" s="11" t="s">
        <v>360</v>
      </c>
      <c r="D20" s="30" t="s">
        <v>356</v>
      </c>
      <c r="E20" s="11" t="s">
        <v>138</v>
      </c>
      <c r="F20" s="11" t="s">
        <v>156</v>
      </c>
      <c r="G20" s="30" t="n">
        <v>3</v>
      </c>
      <c r="H20" s="47" t="n">
        <v>46419</v>
      </c>
      <c r="I20" s="47" t="n">
        <v>46507</v>
      </c>
      <c r="J20" s="47"/>
      <c r="K20" s="47"/>
      <c r="L20" s="11" t="s">
        <v>361</v>
      </c>
      <c r="M20" s="48" t="n">
        <f aca="true">IF(OR(H20="",I20=""),0,IF(TODAY()&lt;H20,0,IF(TODAY()&gt;=I20,100,(TODAY()-H20)/(I20-H20)*100)))</f>
        <v>0</v>
      </c>
      <c r="N20" s="49" t="n">
        <v>0</v>
      </c>
      <c r="O20" s="50" t="n">
        <v>598133</v>
      </c>
      <c r="P20" s="50"/>
      <c r="Q20" s="51" t="str">
        <f aca="true">IF(B20="","",IF(K20&lt;&gt;"",IF(K20&lt;=I20,"Terminé à temps","Terminé hors délai"),IF(N20=0,IF(TODAY()&lt;H20,"En attente",IF(TODAY()&gt;I20+30,"Critique","En retard")),IF(N20&gt;=M20,"À temps",IF(N20&gt;=M20*0.8,"À surveiller",IF(N20&gt;=M20*0.5,"En retard","Critique"))))))</f>
        <v>En attente</v>
      </c>
      <c r="R20" s="52" t="n">
        <f aca="false">IFERROR(IF(Q20="Terminé à temps",100,IF(Q20="Terminé hors délai",75,IF(Q20="À temps",50,IF(Q20="À surveiller",40,IF(Q20="En retard",25,IF(Q20="Critique",10,IF(Q20="En attente",50,0))))))),0)</f>
        <v>50</v>
      </c>
      <c r="S20" s="53" t="s">
        <v>285</v>
      </c>
      <c r="T20" s="54" t="n">
        <v>3</v>
      </c>
      <c r="U20" s="55" t="n">
        <f aca="false">IFERROR(IF(T20="",0,T20*N20/100),0)</f>
        <v>0</v>
      </c>
      <c r="V20" s="11"/>
    </row>
    <row r="21" customFormat="false" ht="37.5" hidden="false" customHeight="true" outlineLevel="0" collapsed="false">
      <c r="B21" s="38" t="s">
        <v>362</v>
      </c>
      <c r="C21" s="7" t="s">
        <v>363</v>
      </c>
      <c r="D21" s="28" t="s">
        <v>143</v>
      </c>
      <c r="E21" s="7" t="s">
        <v>156</v>
      </c>
      <c r="F21" s="7" t="s">
        <v>364</v>
      </c>
      <c r="G21" s="28" t="n">
        <v>3</v>
      </c>
      <c r="H21" s="56" t="n">
        <v>46113</v>
      </c>
      <c r="I21" s="56" t="n">
        <v>46538</v>
      </c>
      <c r="J21" s="56"/>
      <c r="K21" s="56"/>
      <c r="L21" s="7" t="s">
        <v>365</v>
      </c>
      <c r="M21" s="48" t="n">
        <f aca="true">IF(OR(H21="",I21=""),0,IF(TODAY()&lt;H21,0,IF(TODAY()&gt;=I21,100,(TODAY()-H21)/(I21-H21)*100)))</f>
        <v>12.7058823529412</v>
      </c>
      <c r="N21" s="57" t="n">
        <v>0</v>
      </c>
      <c r="O21" s="58" t="n">
        <v>0</v>
      </c>
      <c r="P21" s="58"/>
      <c r="Q21" s="51" t="str">
        <f aca="true">IF(B21="","",IF(K21&lt;&gt;"",IF(K21&lt;=I21,"Terminé à temps","Terminé hors délai"),IF(N21=0,IF(TODAY()&lt;H21,"En attente",IF(TODAY()&gt;I21+30,"Critique","En retard")),IF(N21&gt;=M21,"À temps",IF(N21&gt;=M21*0.8,"À surveiller",IF(N21&gt;=M21*0.5,"En retard","Critique"))))))</f>
        <v>En retard</v>
      </c>
      <c r="R21" s="52" t="n">
        <f aca="false">IFERROR(IF(Q21="Terminé à temps",100,IF(Q21="Terminé hors délai",75,IF(Q21="À temps",50,IF(Q21="À surveiller",40,IF(Q21="En retard",25,IF(Q21="Critique",10,IF(Q21="En attente",50,0))))))),0)</f>
        <v>25</v>
      </c>
      <c r="S21" s="59" t="s">
        <v>213</v>
      </c>
      <c r="T21" s="60" t="n">
        <v>1</v>
      </c>
      <c r="U21" s="55" t="n">
        <f aca="false">IFERROR(IF(T21="",0,T21*N21/100),0)</f>
        <v>0</v>
      </c>
      <c r="V21" s="7"/>
    </row>
    <row r="22" customFormat="false" ht="37.5" hidden="false" customHeight="true" outlineLevel="0" collapsed="false">
      <c r="B22" s="27" t="s">
        <v>366</v>
      </c>
      <c r="C22" s="11" t="s">
        <v>367</v>
      </c>
      <c r="D22" s="30" t="s">
        <v>143</v>
      </c>
      <c r="E22" s="11" t="s">
        <v>161</v>
      </c>
      <c r="F22" s="11" t="s">
        <v>368</v>
      </c>
      <c r="G22" s="30" t="n">
        <v>2</v>
      </c>
      <c r="H22" s="47" t="n">
        <v>46113</v>
      </c>
      <c r="I22" s="47" t="n">
        <v>46538</v>
      </c>
      <c r="J22" s="47"/>
      <c r="K22" s="47"/>
      <c r="L22" s="11" t="s">
        <v>369</v>
      </c>
      <c r="M22" s="48" t="n">
        <f aca="true">IF(OR(H22="",I22=""),0,IF(TODAY()&lt;H22,0,IF(TODAY()&gt;=I22,100,(TODAY()-H22)/(I22-H22)*100)))</f>
        <v>12.7058823529412</v>
      </c>
      <c r="N22" s="49" t="n">
        <v>0</v>
      </c>
      <c r="O22" s="50" t="n">
        <v>1500000</v>
      </c>
      <c r="P22" s="50"/>
      <c r="Q22" s="51" t="str">
        <f aca="true">IF(B22="","",IF(K22&lt;&gt;"",IF(K22&lt;=I22,"Terminé à temps","Terminé hors délai"),IF(N22=0,IF(TODAY()&lt;H22,"En attente",IF(TODAY()&gt;I22+30,"Critique","En retard")),IF(N22&gt;=M22,"À temps",IF(N22&gt;=M22*0.8,"À surveiller",IF(N22&gt;=M22*0.5,"En retard","Critique"))))))</f>
        <v>En retard</v>
      </c>
      <c r="R22" s="52" t="n">
        <f aca="false">IFERROR(IF(Q22="Terminé à temps",100,IF(Q22="Terminé hors délai",75,IF(Q22="À temps",50,IF(Q22="À surveiller",40,IF(Q22="En retard",25,IF(Q22="Critique",10,IF(Q22="En attente",50,0))))))),0)</f>
        <v>25</v>
      </c>
      <c r="S22" s="53"/>
      <c r="T22" s="54"/>
      <c r="U22" s="55" t="n">
        <f aca="false">IFERROR(IF(T22="",0,T22*N22/100),0)</f>
        <v>0</v>
      </c>
      <c r="V22" s="11"/>
    </row>
    <row r="23" customFormat="false" ht="37.5" hidden="false" customHeight="true" outlineLevel="0" collapsed="false">
      <c r="B23" s="38" t="s">
        <v>370</v>
      </c>
      <c r="C23" s="7" t="s">
        <v>371</v>
      </c>
      <c r="D23" s="28" t="s">
        <v>143</v>
      </c>
      <c r="E23" s="7" t="s">
        <v>138</v>
      </c>
      <c r="F23" s="7" t="s">
        <v>372</v>
      </c>
      <c r="G23" s="28" t="n">
        <v>2</v>
      </c>
      <c r="H23" s="56" t="n">
        <v>46113</v>
      </c>
      <c r="I23" s="56" t="n">
        <v>46538</v>
      </c>
      <c r="J23" s="56"/>
      <c r="K23" s="56"/>
      <c r="L23" s="7" t="s">
        <v>373</v>
      </c>
      <c r="M23" s="48" t="n">
        <f aca="true">IF(OR(H23="",I23=""),0,IF(TODAY()&lt;H23,0,IF(TODAY()&gt;=I23,100,(TODAY()-H23)/(I23-H23)*100)))</f>
        <v>12.7058823529412</v>
      </c>
      <c r="N23" s="57" t="n">
        <v>0</v>
      </c>
      <c r="O23" s="58" t="n">
        <v>550000</v>
      </c>
      <c r="P23" s="58"/>
      <c r="Q23" s="51" t="str">
        <f aca="true">IF(B23="","",IF(K23&lt;&gt;"",IF(K23&lt;=I23,"Terminé à temps","Terminé hors délai"),IF(N23=0,IF(TODAY()&lt;H23,"En attente",IF(TODAY()&gt;I23+30,"Critique","En retard")),IF(N23&gt;=M23,"À temps",IF(N23&gt;=M23*0.8,"À surveiller",IF(N23&gt;=M23*0.5,"En retard","Critique"))))))</f>
        <v>En retard</v>
      </c>
      <c r="R23" s="52" t="n">
        <f aca="false">IFERROR(IF(Q23="Terminé à temps",100,IF(Q23="Terminé hors délai",75,IF(Q23="À temps",50,IF(Q23="À surveiller",40,IF(Q23="En retard",25,IF(Q23="Critique",10,IF(Q23="En attente",50,0))))))),0)</f>
        <v>25</v>
      </c>
      <c r="S23" s="59"/>
      <c r="T23" s="60"/>
      <c r="U23" s="55" t="n">
        <f aca="false">IFERROR(IF(T23="",0,T23*N23/100),0)</f>
        <v>0</v>
      </c>
      <c r="V23" s="7"/>
    </row>
    <row r="24" customFormat="false" ht="37.5" hidden="false" customHeight="true" outlineLevel="0" collapsed="false">
      <c r="B24" s="27" t="s">
        <v>374</v>
      </c>
      <c r="C24" s="11" t="s">
        <v>375</v>
      </c>
      <c r="D24" s="30" t="s">
        <v>143</v>
      </c>
      <c r="E24" s="11" t="s">
        <v>156</v>
      </c>
      <c r="F24" s="11" t="s">
        <v>376</v>
      </c>
      <c r="G24" s="30" t="n">
        <v>1</v>
      </c>
      <c r="H24" s="47" t="n">
        <v>46082</v>
      </c>
      <c r="I24" s="47" t="n">
        <v>46538</v>
      </c>
      <c r="J24" s="47"/>
      <c r="K24" s="47"/>
      <c r="L24" s="11" t="s">
        <v>377</v>
      </c>
      <c r="M24" s="48" t="n">
        <f aca="true">IF(OR(H24="",I24=""),0,IF(TODAY()&lt;H24,0,IF(TODAY()&gt;=I24,100,(TODAY()-H24)/(I24-H24)*100)))</f>
        <v>18.640350877193</v>
      </c>
      <c r="N24" s="49" t="n">
        <v>0</v>
      </c>
      <c r="O24" s="50" t="n">
        <v>1000000</v>
      </c>
      <c r="P24" s="50"/>
      <c r="Q24" s="51" t="str">
        <f aca="true">IF(B24="","",IF(K24&lt;&gt;"",IF(K24&lt;=I24,"Terminé à temps","Terminé hors délai"),IF(N24=0,IF(TODAY()&lt;H24,"En attente",IF(TODAY()&gt;I24+30,"Critique","En retard")),IF(N24&gt;=M24,"À temps",IF(N24&gt;=M24*0.8,"À surveiller",IF(N24&gt;=M24*0.5,"En retard","Critique"))))))</f>
        <v>En retard</v>
      </c>
      <c r="R24" s="52" t="n">
        <f aca="false">IFERROR(IF(Q24="Terminé à temps",100,IF(Q24="Terminé hors délai",75,IF(Q24="À temps",50,IF(Q24="À surveiller",40,IF(Q24="En retard",25,IF(Q24="Critique",10,IF(Q24="En attente",50,0))))))),0)</f>
        <v>25</v>
      </c>
      <c r="S24" s="53"/>
      <c r="T24" s="54"/>
      <c r="U24" s="55" t="n">
        <f aca="false">IFERROR(IF(T24="",0,T24*N24/100),0)</f>
        <v>0</v>
      </c>
      <c r="V24" s="11"/>
    </row>
    <row r="25" customFormat="false" ht="37.5" hidden="false" customHeight="true" outlineLevel="0" collapsed="false">
      <c r="B25" s="38" t="s">
        <v>378</v>
      </c>
      <c r="C25" s="7" t="s">
        <v>379</v>
      </c>
      <c r="D25" s="28" t="s">
        <v>143</v>
      </c>
      <c r="E25" s="7" t="s">
        <v>156</v>
      </c>
      <c r="F25" s="7" t="s">
        <v>380</v>
      </c>
      <c r="G25" s="28" t="n">
        <v>3</v>
      </c>
      <c r="H25" s="56" t="n">
        <v>46508</v>
      </c>
      <c r="I25" s="56" t="n">
        <v>46538</v>
      </c>
      <c r="J25" s="56"/>
      <c r="K25" s="56"/>
      <c r="L25" s="7" t="s">
        <v>381</v>
      </c>
      <c r="M25" s="48" t="n">
        <f aca="true">IF(OR(H25="",I25=""),0,IF(TODAY()&lt;H25,0,IF(TODAY()&gt;=I25,100,(TODAY()-H25)/(I25-H25)*100)))</f>
        <v>0</v>
      </c>
      <c r="N25" s="57" t="n">
        <v>0</v>
      </c>
      <c r="O25" s="58" t="n">
        <v>525000</v>
      </c>
      <c r="P25" s="58"/>
      <c r="Q25" s="51" t="str">
        <f aca="true">IF(B25="","",IF(K25&lt;&gt;"",IF(K25&lt;=I25,"Terminé à temps","Terminé hors délai"),IF(N25=0,IF(TODAY()&lt;H25,"En attente",IF(TODAY()&gt;I25+30,"Critique","En retard")),IF(N25&gt;=M25,"À temps",IF(N25&gt;=M25*0.8,"À surveiller",IF(N25&gt;=M25*0.5,"En retard","Critique"))))))</f>
        <v>En attente</v>
      </c>
      <c r="R25" s="52" t="n">
        <f aca="false">IFERROR(IF(Q25="Terminé à temps",100,IF(Q25="Terminé hors délai",75,IF(Q25="À temps",50,IF(Q25="À surveiller",40,IF(Q25="En retard",25,IF(Q25="Critique",10,IF(Q25="En attente",50,0))))))),0)</f>
        <v>50</v>
      </c>
      <c r="S25" s="59"/>
      <c r="T25" s="60"/>
      <c r="U25" s="55" t="n">
        <f aca="false">IFERROR(IF(T25="",0,T25*N25/100),0)</f>
        <v>0</v>
      </c>
      <c r="V25" s="7"/>
    </row>
    <row r="26" customFormat="false" ht="27.75" hidden="false" customHeight="true" outlineLevel="0" collapsed="false">
      <c r="B26" s="61" t="s">
        <v>382</v>
      </c>
      <c r="C26" s="61"/>
      <c r="D26" s="61"/>
      <c r="E26" s="61"/>
      <c r="F26" s="61"/>
      <c r="G26" s="61"/>
      <c r="H26" s="61"/>
      <c r="I26" s="61"/>
      <c r="J26" s="61"/>
      <c r="K26" s="61"/>
      <c r="L26" s="61"/>
      <c r="M26" s="61"/>
      <c r="N26" s="61"/>
      <c r="O26" s="62" t="n">
        <f aca="false">SUM(O6:O25)</f>
        <v>12732633</v>
      </c>
      <c r="P26" s="62" t="n">
        <f aca="false">SUM(P6:P25)</f>
        <v>0</v>
      </c>
      <c r="Q26" s="43"/>
      <c r="R26" s="43"/>
      <c r="S26" s="43"/>
      <c r="T26" s="43"/>
      <c r="U26" s="43"/>
      <c r="V26" s="43"/>
    </row>
    <row r="27" customFormat="false" ht="24" hidden="false" customHeight="true" outlineLevel="0" collapsed="false">
      <c r="B27" s="11"/>
      <c r="C27" s="11"/>
      <c r="D27" s="11"/>
      <c r="E27" s="11"/>
      <c r="F27" s="11"/>
      <c r="G27" s="11"/>
      <c r="H27" s="63"/>
      <c r="I27" s="63"/>
      <c r="J27" s="63"/>
      <c r="K27" s="63"/>
      <c r="L27" s="11"/>
      <c r="M27" s="64" t="n">
        <f aca="true">IF(OR(B27="",H27="",I27=""),0,IF(TODAY()&lt;H27,0,IF(TODAY()&gt;=I27,100,(TODAY()-H27)/(I27-H27)*100)))</f>
        <v>0</v>
      </c>
      <c r="N27" s="65" t="n">
        <v>0</v>
      </c>
      <c r="O27" s="66"/>
      <c r="P27" s="66"/>
      <c r="Q27" s="67" t="str">
        <f aca="true">IF(B27="","",IF(K27&lt;&gt;"",IF(K27&lt;=I27,"Terminé à temps","Terminé hors délai"),IF(N27=0,IF(TODAY()&lt;H27,"En attente",IF(TODAY()&gt;I27+30,"Critique","En retard")),IF(N27&gt;=M27,"À temps",IF(N27&gt;=M27*0.8,"À surveiller",IF(N27&gt;=M27*0.5,"En retard","Critique"))))))</f>
        <v/>
      </c>
      <c r="R27" s="68" t="n">
        <f aca="false">IFERROR(IF(Q27="Terminé à temps",100,IF(Q27="Terminé hors délai",75,IF(Q27="À temps",50,IF(Q27="À surveiller",40,IF(Q27="En retard",25,IF(Q27="Critique",10,IF(Q27="En attente",50,0))))))),0)</f>
        <v>0</v>
      </c>
      <c r="S27" s="11"/>
      <c r="T27" s="69"/>
      <c r="U27" s="70" t="n">
        <f aca="false">IFERROR(IF(T27="",0,T27*N27/100),0)</f>
        <v>0</v>
      </c>
      <c r="V27" s="11"/>
    </row>
    <row r="28" customFormat="false" ht="24" hidden="false" customHeight="true" outlineLevel="0" collapsed="false">
      <c r="B28" s="7"/>
      <c r="C28" s="7"/>
      <c r="D28" s="7"/>
      <c r="E28" s="7"/>
      <c r="F28" s="7"/>
      <c r="G28" s="7"/>
      <c r="H28" s="71"/>
      <c r="I28" s="71"/>
      <c r="J28" s="71"/>
      <c r="K28" s="71"/>
      <c r="L28" s="7"/>
      <c r="M28" s="64" t="n">
        <f aca="true">IF(OR(B28="",H28="",I28=""),0,IF(TODAY()&lt;H28,0,IF(TODAY()&gt;=I28,100,(TODAY()-H28)/(I28-H28)*100)))</f>
        <v>0</v>
      </c>
      <c r="N28" s="72" t="n">
        <v>0</v>
      </c>
      <c r="O28" s="73"/>
      <c r="P28" s="73"/>
      <c r="Q28" s="67" t="str">
        <f aca="true">IF(B28="","",IF(K28&lt;&gt;"",IF(K28&lt;=I28,"Terminé à temps","Terminé hors délai"),IF(N28=0,IF(TODAY()&lt;H28,"En attente",IF(TODAY()&gt;I28+30,"Critique","En retard")),IF(N28&gt;=M28,"À temps",IF(N28&gt;=M28*0.8,"À surveiller",IF(N28&gt;=M28*0.5,"En retard","Critique"))))))</f>
        <v/>
      </c>
      <c r="R28" s="68" t="n">
        <f aca="false">IFERROR(IF(Q28="Terminé à temps",100,IF(Q28="Terminé hors délai",75,IF(Q28="À temps",50,IF(Q28="À surveiller",40,IF(Q28="En retard",25,IF(Q28="Critique",10,IF(Q28="En attente",50,0))))))),0)</f>
        <v>0</v>
      </c>
      <c r="S28" s="7"/>
      <c r="T28" s="74"/>
      <c r="U28" s="70" t="n">
        <f aca="false">IFERROR(IF(T28="",0,T28*N28/100),0)</f>
        <v>0</v>
      </c>
      <c r="V28" s="7"/>
    </row>
    <row r="29" customFormat="false" ht="24" hidden="false" customHeight="true" outlineLevel="0" collapsed="false">
      <c r="B29" s="11"/>
      <c r="C29" s="11"/>
      <c r="D29" s="11"/>
      <c r="E29" s="11"/>
      <c r="F29" s="11"/>
      <c r="G29" s="11"/>
      <c r="H29" s="63"/>
      <c r="I29" s="63"/>
      <c r="J29" s="63"/>
      <c r="K29" s="63"/>
      <c r="L29" s="11"/>
      <c r="M29" s="64" t="n">
        <f aca="true">IF(OR(B29="",H29="",I29=""),0,IF(TODAY()&lt;H29,0,IF(TODAY()&gt;=I29,100,(TODAY()-H29)/(I29-H29)*100)))</f>
        <v>0</v>
      </c>
      <c r="N29" s="65" t="n">
        <v>0</v>
      </c>
      <c r="O29" s="66"/>
      <c r="P29" s="66"/>
      <c r="Q29" s="67" t="str">
        <f aca="true">IF(B29="","",IF(K29&lt;&gt;"",IF(K29&lt;=I29,"Terminé à temps","Terminé hors délai"),IF(N29=0,IF(TODAY()&lt;H29,"En attente",IF(TODAY()&gt;I29+30,"Critique","En retard")),IF(N29&gt;=M29,"À temps",IF(N29&gt;=M29*0.8,"À surveiller",IF(N29&gt;=M29*0.5,"En retard","Critique"))))))</f>
        <v/>
      </c>
      <c r="R29" s="68" t="n">
        <f aca="false">IFERROR(IF(Q29="Terminé à temps",100,IF(Q29="Terminé hors délai",75,IF(Q29="À temps",50,IF(Q29="À surveiller",40,IF(Q29="En retard",25,IF(Q29="Critique",10,IF(Q29="En attente",50,0))))))),0)</f>
        <v>0</v>
      </c>
      <c r="S29" s="11"/>
      <c r="T29" s="69"/>
      <c r="U29" s="70" t="n">
        <f aca="false">IFERROR(IF(T29="",0,T29*N29/100),0)</f>
        <v>0</v>
      </c>
      <c r="V29" s="11"/>
    </row>
    <row r="30" customFormat="false" ht="24" hidden="false" customHeight="true" outlineLevel="0" collapsed="false">
      <c r="B30" s="7"/>
      <c r="C30" s="7"/>
      <c r="D30" s="7"/>
      <c r="E30" s="7"/>
      <c r="F30" s="7"/>
      <c r="G30" s="7"/>
      <c r="H30" s="71"/>
      <c r="I30" s="71"/>
      <c r="J30" s="71"/>
      <c r="K30" s="71"/>
      <c r="L30" s="7"/>
      <c r="M30" s="64" t="n">
        <f aca="true">IF(OR(B30="",H30="",I30=""),0,IF(TODAY()&lt;H30,0,IF(TODAY()&gt;=I30,100,(TODAY()-H30)/(I30-H30)*100)))</f>
        <v>0</v>
      </c>
      <c r="N30" s="72" t="n">
        <v>0</v>
      </c>
      <c r="O30" s="73"/>
      <c r="P30" s="73"/>
      <c r="Q30" s="67" t="str">
        <f aca="true">IF(B30="","",IF(K30&lt;&gt;"",IF(K30&lt;=I30,"Terminé à temps","Terminé hors délai"),IF(N30=0,IF(TODAY()&lt;H30,"En attente",IF(TODAY()&gt;I30+30,"Critique","En retard")),IF(N30&gt;=M30,"À temps",IF(N30&gt;=M30*0.8,"À surveiller",IF(N30&gt;=M30*0.5,"En retard","Critique"))))))</f>
        <v/>
      </c>
      <c r="R30" s="68" t="n">
        <f aca="false">IFERROR(IF(Q30="Terminé à temps",100,IF(Q30="Terminé hors délai",75,IF(Q30="À temps",50,IF(Q30="À surveiller",40,IF(Q30="En retard",25,IF(Q30="Critique",10,IF(Q30="En attente",50,0))))))),0)</f>
        <v>0</v>
      </c>
      <c r="S30" s="7"/>
      <c r="T30" s="74"/>
      <c r="U30" s="70" t="n">
        <f aca="false">IFERROR(IF(T30="",0,T30*N30/100),0)</f>
        <v>0</v>
      </c>
      <c r="V30" s="7"/>
    </row>
    <row r="31" customFormat="false" ht="24" hidden="false" customHeight="true" outlineLevel="0" collapsed="false">
      <c r="B31" s="11"/>
      <c r="C31" s="11"/>
      <c r="D31" s="11"/>
      <c r="E31" s="11"/>
      <c r="F31" s="11"/>
      <c r="G31" s="11"/>
      <c r="H31" s="63"/>
      <c r="I31" s="63"/>
      <c r="J31" s="63"/>
      <c r="K31" s="63"/>
      <c r="L31" s="11"/>
      <c r="M31" s="64" t="n">
        <f aca="true">IF(OR(B31="",H31="",I31=""),0,IF(TODAY()&lt;H31,0,IF(TODAY()&gt;=I31,100,(TODAY()-H31)/(I31-H31)*100)))</f>
        <v>0</v>
      </c>
      <c r="N31" s="65" t="n">
        <v>0</v>
      </c>
      <c r="O31" s="66"/>
      <c r="P31" s="66"/>
      <c r="Q31" s="67" t="str">
        <f aca="true">IF(B31="","",IF(K31&lt;&gt;"",IF(K31&lt;=I31,"Terminé à temps","Terminé hors délai"),IF(N31=0,IF(TODAY()&lt;H31,"En attente",IF(TODAY()&gt;I31+30,"Critique","En retard")),IF(N31&gt;=M31,"À temps",IF(N31&gt;=M31*0.8,"À surveiller",IF(N31&gt;=M31*0.5,"En retard","Critique"))))))</f>
        <v/>
      </c>
      <c r="R31" s="68" t="n">
        <f aca="false">IFERROR(IF(Q31="Terminé à temps",100,IF(Q31="Terminé hors délai",75,IF(Q31="À temps",50,IF(Q31="À surveiller",40,IF(Q31="En retard",25,IF(Q31="Critique",10,IF(Q31="En attente",50,0))))))),0)</f>
        <v>0</v>
      </c>
      <c r="S31" s="11"/>
      <c r="T31" s="69"/>
      <c r="U31" s="70" t="n">
        <f aca="false">IFERROR(IF(T31="",0,T31*N31/100),0)</f>
        <v>0</v>
      </c>
      <c r="V31" s="11"/>
    </row>
    <row r="32" customFormat="false" ht="24" hidden="false" customHeight="true" outlineLevel="0" collapsed="false">
      <c r="B32" s="7"/>
      <c r="C32" s="7"/>
      <c r="D32" s="7"/>
      <c r="E32" s="7"/>
      <c r="F32" s="7"/>
      <c r="G32" s="7"/>
      <c r="H32" s="71"/>
      <c r="I32" s="71"/>
      <c r="J32" s="71"/>
      <c r="K32" s="71"/>
      <c r="L32" s="7"/>
      <c r="M32" s="64" t="n">
        <f aca="true">IF(OR(B32="",H32="",I32=""),0,IF(TODAY()&lt;H32,0,IF(TODAY()&gt;=I32,100,(TODAY()-H32)/(I32-H32)*100)))</f>
        <v>0</v>
      </c>
      <c r="N32" s="72" t="n">
        <v>0</v>
      </c>
      <c r="O32" s="73"/>
      <c r="P32" s="73"/>
      <c r="Q32" s="67" t="str">
        <f aca="true">IF(B32="","",IF(K32&lt;&gt;"",IF(K32&lt;=I32,"Terminé à temps","Terminé hors délai"),IF(N32=0,IF(TODAY()&lt;H32,"En attente",IF(TODAY()&gt;I32+30,"Critique","En retard")),IF(N32&gt;=M32,"À temps",IF(N32&gt;=M32*0.8,"À surveiller",IF(N32&gt;=M32*0.5,"En retard","Critique"))))))</f>
        <v/>
      </c>
      <c r="R32" s="68" t="n">
        <f aca="false">IFERROR(IF(Q32="Terminé à temps",100,IF(Q32="Terminé hors délai",75,IF(Q32="À temps",50,IF(Q32="À surveiller",40,IF(Q32="En retard",25,IF(Q32="Critique",10,IF(Q32="En attente",50,0))))))),0)</f>
        <v>0</v>
      </c>
      <c r="S32" s="7"/>
      <c r="T32" s="74"/>
      <c r="U32" s="70" t="n">
        <f aca="false">IFERROR(IF(T32="",0,T32*N32/100),0)</f>
        <v>0</v>
      </c>
      <c r="V32" s="7"/>
    </row>
    <row r="33" customFormat="false" ht="24" hidden="false" customHeight="true" outlineLevel="0" collapsed="false">
      <c r="B33" s="11"/>
      <c r="C33" s="11"/>
      <c r="D33" s="11"/>
      <c r="E33" s="11"/>
      <c r="F33" s="11"/>
      <c r="G33" s="11"/>
      <c r="H33" s="63"/>
      <c r="I33" s="63"/>
      <c r="J33" s="63"/>
      <c r="K33" s="63"/>
      <c r="L33" s="11"/>
      <c r="M33" s="64" t="n">
        <f aca="true">IF(OR(B33="",H33="",I33=""),0,IF(TODAY()&lt;H33,0,IF(TODAY()&gt;=I33,100,(TODAY()-H33)/(I33-H33)*100)))</f>
        <v>0</v>
      </c>
      <c r="N33" s="65" t="n">
        <v>0</v>
      </c>
      <c r="O33" s="66"/>
      <c r="P33" s="66"/>
      <c r="Q33" s="67" t="str">
        <f aca="true">IF(B33="","",IF(K33&lt;&gt;"",IF(K33&lt;=I33,"Terminé à temps","Terminé hors délai"),IF(N33=0,IF(TODAY()&lt;H33,"En attente",IF(TODAY()&gt;I33+30,"Critique","En retard")),IF(N33&gt;=M33,"À temps",IF(N33&gt;=M33*0.8,"À surveiller",IF(N33&gt;=M33*0.5,"En retard","Critique"))))))</f>
        <v/>
      </c>
      <c r="R33" s="68" t="n">
        <f aca="false">IFERROR(IF(Q33="Terminé à temps",100,IF(Q33="Terminé hors délai",75,IF(Q33="À temps",50,IF(Q33="À surveiller",40,IF(Q33="En retard",25,IF(Q33="Critique",10,IF(Q33="En attente",50,0))))))),0)</f>
        <v>0</v>
      </c>
      <c r="S33" s="11"/>
      <c r="T33" s="69"/>
      <c r="U33" s="70" t="n">
        <f aca="false">IFERROR(IF(T33="",0,T33*N33/100),0)</f>
        <v>0</v>
      </c>
      <c r="V33" s="11"/>
    </row>
    <row r="34" customFormat="false" ht="24" hidden="false" customHeight="true" outlineLevel="0" collapsed="false">
      <c r="B34" s="7"/>
      <c r="C34" s="7"/>
      <c r="D34" s="7"/>
      <c r="E34" s="7"/>
      <c r="F34" s="7"/>
      <c r="G34" s="7"/>
      <c r="H34" s="71"/>
      <c r="I34" s="71"/>
      <c r="J34" s="71"/>
      <c r="K34" s="71"/>
      <c r="L34" s="7"/>
      <c r="M34" s="64" t="n">
        <f aca="true">IF(OR(B34="",H34="",I34=""),0,IF(TODAY()&lt;H34,0,IF(TODAY()&gt;=I34,100,(TODAY()-H34)/(I34-H34)*100)))</f>
        <v>0</v>
      </c>
      <c r="N34" s="72" t="n">
        <v>0</v>
      </c>
      <c r="O34" s="73"/>
      <c r="P34" s="73"/>
      <c r="Q34" s="67" t="str">
        <f aca="true">IF(B34="","",IF(K34&lt;&gt;"",IF(K34&lt;=I34,"Terminé à temps","Terminé hors délai"),IF(N34=0,IF(TODAY()&lt;H34,"En attente",IF(TODAY()&gt;I34+30,"Critique","En retard")),IF(N34&gt;=M34,"À temps",IF(N34&gt;=M34*0.8,"À surveiller",IF(N34&gt;=M34*0.5,"En retard","Critique"))))))</f>
        <v/>
      </c>
      <c r="R34" s="68" t="n">
        <f aca="false">IFERROR(IF(Q34="Terminé à temps",100,IF(Q34="Terminé hors délai",75,IF(Q34="À temps",50,IF(Q34="À surveiller",40,IF(Q34="En retard",25,IF(Q34="Critique",10,IF(Q34="En attente",50,0))))))),0)</f>
        <v>0</v>
      </c>
      <c r="S34" s="7"/>
      <c r="T34" s="74"/>
      <c r="U34" s="70" t="n">
        <f aca="false">IFERROR(IF(T34="",0,T34*N34/100),0)</f>
        <v>0</v>
      </c>
      <c r="V34" s="7"/>
    </row>
    <row r="35" customFormat="false" ht="24" hidden="false" customHeight="true" outlineLevel="0" collapsed="false">
      <c r="B35" s="11"/>
      <c r="C35" s="11"/>
      <c r="D35" s="11"/>
      <c r="E35" s="11"/>
      <c r="F35" s="11"/>
      <c r="G35" s="11"/>
      <c r="H35" s="63"/>
      <c r="I35" s="63"/>
      <c r="J35" s="63"/>
      <c r="K35" s="63"/>
      <c r="L35" s="11"/>
      <c r="M35" s="64" t="n">
        <f aca="true">IF(OR(B35="",H35="",I35=""),0,IF(TODAY()&lt;H35,0,IF(TODAY()&gt;=I35,100,(TODAY()-H35)/(I35-H35)*100)))</f>
        <v>0</v>
      </c>
      <c r="N35" s="65" t="n">
        <v>0</v>
      </c>
      <c r="O35" s="66"/>
      <c r="P35" s="66"/>
      <c r="Q35" s="67" t="str">
        <f aca="true">IF(B35="","",IF(K35&lt;&gt;"",IF(K35&lt;=I35,"Terminé à temps","Terminé hors délai"),IF(N35=0,IF(TODAY()&lt;H35,"En attente",IF(TODAY()&gt;I35+30,"Critique","En retard")),IF(N35&gt;=M35,"À temps",IF(N35&gt;=M35*0.8,"À surveiller",IF(N35&gt;=M35*0.5,"En retard","Critique"))))))</f>
        <v/>
      </c>
      <c r="R35" s="68" t="n">
        <f aca="false">IFERROR(IF(Q35="Terminé à temps",100,IF(Q35="Terminé hors délai",75,IF(Q35="À temps",50,IF(Q35="À surveiller",40,IF(Q35="En retard",25,IF(Q35="Critique",10,IF(Q35="En attente",50,0))))))),0)</f>
        <v>0</v>
      </c>
      <c r="S35" s="11"/>
      <c r="T35" s="69"/>
      <c r="U35" s="70" t="n">
        <f aca="false">IFERROR(IF(T35="",0,T35*N35/100),0)</f>
        <v>0</v>
      </c>
      <c r="V35" s="11"/>
    </row>
    <row r="36" customFormat="false" ht="24" hidden="false" customHeight="true" outlineLevel="0" collapsed="false">
      <c r="B36" s="7"/>
      <c r="C36" s="7"/>
      <c r="D36" s="7"/>
      <c r="E36" s="7"/>
      <c r="F36" s="7"/>
      <c r="G36" s="7"/>
      <c r="H36" s="71"/>
      <c r="I36" s="71"/>
      <c r="J36" s="71"/>
      <c r="K36" s="71"/>
      <c r="L36" s="7"/>
      <c r="M36" s="64" t="n">
        <f aca="true">IF(OR(B36="",H36="",I36=""),0,IF(TODAY()&lt;H36,0,IF(TODAY()&gt;=I36,100,(TODAY()-H36)/(I36-H36)*100)))</f>
        <v>0</v>
      </c>
      <c r="N36" s="72" t="n">
        <v>0</v>
      </c>
      <c r="O36" s="73"/>
      <c r="P36" s="73"/>
      <c r="Q36" s="67" t="str">
        <f aca="true">IF(B36="","",IF(K36&lt;&gt;"",IF(K36&lt;=I36,"Terminé à temps","Terminé hors délai"),IF(N36=0,IF(TODAY()&lt;H36,"En attente",IF(TODAY()&gt;I36+30,"Critique","En retard")),IF(N36&gt;=M36,"À temps",IF(N36&gt;=M36*0.8,"À surveiller",IF(N36&gt;=M36*0.5,"En retard","Critique"))))))</f>
        <v/>
      </c>
      <c r="R36" s="68" t="n">
        <f aca="false">IFERROR(IF(Q36="Terminé à temps",100,IF(Q36="Terminé hors délai",75,IF(Q36="À temps",50,IF(Q36="À surveiller",40,IF(Q36="En retard",25,IF(Q36="Critique",10,IF(Q36="En attente",50,0))))))),0)</f>
        <v>0</v>
      </c>
      <c r="S36" s="7"/>
      <c r="T36" s="74"/>
      <c r="U36" s="70" t="n">
        <f aca="false">IFERROR(IF(T36="",0,T36*N36/100),0)</f>
        <v>0</v>
      </c>
      <c r="V36" s="7"/>
    </row>
    <row r="37" customFormat="false" ht="24" hidden="false" customHeight="true" outlineLevel="0" collapsed="false">
      <c r="B37" s="11"/>
      <c r="C37" s="11"/>
      <c r="D37" s="11"/>
      <c r="E37" s="11"/>
      <c r="F37" s="11"/>
      <c r="G37" s="11"/>
      <c r="H37" s="63"/>
      <c r="I37" s="63"/>
      <c r="J37" s="63"/>
      <c r="K37" s="63"/>
      <c r="L37" s="11"/>
      <c r="M37" s="64" t="n">
        <f aca="true">IF(OR(B37="",H37="",I37=""),0,IF(TODAY()&lt;H37,0,IF(TODAY()&gt;=I37,100,(TODAY()-H37)/(I37-H37)*100)))</f>
        <v>0</v>
      </c>
      <c r="N37" s="65" t="n">
        <v>0</v>
      </c>
      <c r="O37" s="66"/>
      <c r="P37" s="66"/>
      <c r="Q37" s="67" t="str">
        <f aca="true">IF(B37="","",IF(K37&lt;&gt;"",IF(K37&lt;=I37,"Terminé à temps","Terminé hors délai"),IF(N37=0,IF(TODAY()&lt;H37,"En attente",IF(TODAY()&gt;I37+30,"Critique","En retard")),IF(N37&gt;=M37,"À temps",IF(N37&gt;=M37*0.8,"À surveiller",IF(N37&gt;=M37*0.5,"En retard","Critique"))))))</f>
        <v/>
      </c>
      <c r="R37" s="68" t="n">
        <f aca="false">IFERROR(IF(Q37="Terminé à temps",100,IF(Q37="Terminé hors délai",75,IF(Q37="À temps",50,IF(Q37="À surveiller",40,IF(Q37="En retard",25,IF(Q37="Critique",10,IF(Q37="En attente",50,0))))))),0)</f>
        <v>0</v>
      </c>
      <c r="S37" s="11"/>
      <c r="T37" s="69"/>
      <c r="U37" s="70" t="n">
        <f aca="false">IFERROR(IF(T37="",0,T37*N37/100),0)</f>
        <v>0</v>
      </c>
      <c r="V37" s="11"/>
    </row>
    <row r="38" customFormat="false" ht="24" hidden="false" customHeight="true" outlineLevel="0" collapsed="false">
      <c r="B38" s="7"/>
      <c r="C38" s="7"/>
      <c r="D38" s="7"/>
      <c r="E38" s="7"/>
      <c r="F38" s="7"/>
      <c r="G38" s="7"/>
      <c r="H38" s="71"/>
      <c r="I38" s="71"/>
      <c r="J38" s="71"/>
      <c r="K38" s="71"/>
      <c r="L38" s="7"/>
      <c r="M38" s="64" t="n">
        <f aca="true">IF(OR(B38="",H38="",I38=""),0,IF(TODAY()&lt;H38,0,IF(TODAY()&gt;=I38,100,(TODAY()-H38)/(I38-H38)*100)))</f>
        <v>0</v>
      </c>
      <c r="N38" s="72" t="n">
        <v>0</v>
      </c>
      <c r="O38" s="73"/>
      <c r="P38" s="73"/>
      <c r="Q38" s="67" t="str">
        <f aca="true">IF(B38="","",IF(K38&lt;&gt;"",IF(K38&lt;=I38,"Terminé à temps","Terminé hors délai"),IF(N38=0,IF(TODAY()&lt;H38,"En attente",IF(TODAY()&gt;I38+30,"Critique","En retard")),IF(N38&gt;=M38,"À temps",IF(N38&gt;=M38*0.8,"À surveiller",IF(N38&gt;=M38*0.5,"En retard","Critique"))))))</f>
        <v/>
      </c>
      <c r="R38" s="68" t="n">
        <f aca="false">IFERROR(IF(Q38="Terminé à temps",100,IF(Q38="Terminé hors délai",75,IF(Q38="À temps",50,IF(Q38="À surveiller",40,IF(Q38="En retard",25,IF(Q38="Critique",10,IF(Q38="En attente",50,0))))))),0)</f>
        <v>0</v>
      </c>
      <c r="S38" s="7"/>
      <c r="T38" s="74"/>
      <c r="U38" s="70" t="n">
        <f aca="false">IFERROR(IF(T38="",0,T38*N38/100),0)</f>
        <v>0</v>
      </c>
      <c r="V38" s="7"/>
    </row>
    <row r="39" customFormat="false" ht="24" hidden="false" customHeight="true" outlineLevel="0" collapsed="false">
      <c r="B39" s="11"/>
      <c r="C39" s="11"/>
      <c r="D39" s="11"/>
      <c r="E39" s="11"/>
      <c r="F39" s="11"/>
      <c r="G39" s="11"/>
      <c r="H39" s="63"/>
      <c r="I39" s="63"/>
      <c r="J39" s="63"/>
      <c r="K39" s="63"/>
      <c r="L39" s="11"/>
      <c r="M39" s="64" t="n">
        <f aca="true">IF(OR(B39="",H39="",I39=""),0,IF(TODAY()&lt;H39,0,IF(TODAY()&gt;=I39,100,(TODAY()-H39)/(I39-H39)*100)))</f>
        <v>0</v>
      </c>
      <c r="N39" s="65" t="n">
        <v>0</v>
      </c>
      <c r="O39" s="66"/>
      <c r="P39" s="66"/>
      <c r="Q39" s="67" t="str">
        <f aca="true">IF(B39="","",IF(K39&lt;&gt;"",IF(K39&lt;=I39,"Terminé à temps","Terminé hors délai"),IF(N39=0,IF(TODAY()&lt;H39,"En attente",IF(TODAY()&gt;I39+30,"Critique","En retard")),IF(N39&gt;=M39,"À temps",IF(N39&gt;=M39*0.8,"À surveiller",IF(N39&gt;=M39*0.5,"En retard","Critique"))))))</f>
        <v/>
      </c>
      <c r="R39" s="68" t="n">
        <f aca="false">IFERROR(IF(Q39="Terminé à temps",100,IF(Q39="Terminé hors délai",75,IF(Q39="À temps",50,IF(Q39="À surveiller",40,IF(Q39="En retard",25,IF(Q39="Critique",10,IF(Q39="En attente",50,0))))))),0)</f>
        <v>0</v>
      </c>
      <c r="S39" s="11"/>
      <c r="T39" s="69"/>
      <c r="U39" s="70" t="n">
        <f aca="false">IFERROR(IF(T39="",0,T39*N39/100),0)</f>
        <v>0</v>
      </c>
      <c r="V39" s="11"/>
    </row>
    <row r="40" customFormat="false" ht="24" hidden="false" customHeight="true" outlineLevel="0" collapsed="false">
      <c r="B40" s="7"/>
      <c r="C40" s="7"/>
      <c r="D40" s="7"/>
      <c r="E40" s="7"/>
      <c r="F40" s="7"/>
      <c r="G40" s="7"/>
      <c r="H40" s="71"/>
      <c r="I40" s="71"/>
      <c r="J40" s="71"/>
      <c r="K40" s="71"/>
      <c r="L40" s="7"/>
      <c r="M40" s="64" t="n">
        <f aca="true">IF(OR(B40="",H40="",I40=""),0,IF(TODAY()&lt;H40,0,IF(TODAY()&gt;=I40,100,(TODAY()-H40)/(I40-H40)*100)))</f>
        <v>0</v>
      </c>
      <c r="N40" s="72" t="n">
        <v>0</v>
      </c>
      <c r="O40" s="73"/>
      <c r="P40" s="73"/>
      <c r="Q40" s="67" t="str">
        <f aca="true">IF(B40="","",IF(K40&lt;&gt;"",IF(K40&lt;=I40,"Terminé à temps","Terminé hors délai"),IF(N40=0,IF(TODAY()&lt;H40,"En attente",IF(TODAY()&gt;I40+30,"Critique","En retard")),IF(N40&gt;=M40,"À temps",IF(N40&gt;=M40*0.8,"À surveiller",IF(N40&gt;=M40*0.5,"En retard","Critique"))))))</f>
        <v/>
      </c>
      <c r="R40" s="68" t="n">
        <f aca="false">IFERROR(IF(Q40="Terminé à temps",100,IF(Q40="Terminé hors délai",75,IF(Q40="À temps",50,IF(Q40="À surveiller",40,IF(Q40="En retard",25,IF(Q40="Critique",10,IF(Q40="En attente",50,0))))))),0)</f>
        <v>0</v>
      </c>
      <c r="S40" s="7"/>
      <c r="T40" s="74"/>
      <c r="U40" s="70" t="n">
        <f aca="false">IFERROR(IF(T40="",0,T40*N40/100),0)</f>
        <v>0</v>
      </c>
      <c r="V40" s="7"/>
    </row>
    <row r="41" customFormat="false" ht="24" hidden="false" customHeight="true" outlineLevel="0" collapsed="false">
      <c r="B41" s="11"/>
      <c r="C41" s="11"/>
      <c r="D41" s="11"/>
      <c r="E41" s="11"/>
      <c r="F41" s="11"/>
      <c r="G41" s="11"/>
      <c r="H41" s="63"/>
      <c r="I41" s="63"/>
      <c r="J41" s="63"/>
      <c r="K41" s="63"/>
      <c r="L41" s="11"/>
      <c r="M41" s="64" t="n">
        <f aca="true">IF(OR(B41="",H41="",I41=""),0,IF(TODAY()&lt;H41,0,IF(TODAY()&gt;=I41,100,(TODAY()-H41)/(I41-H41)*100)))</f>
        <v>0</v>
      </c>
      <c r="N41" s="65" t="n">
        <v>0</v>
      </c>
      <c r="O41" s="66"/>
      <c r="P41" s="66"/>
      <c r="Q41" s="67" t="str">
        <f aca="true">IF(B41="","",IF(K41&lt;&gt;"",IF(K41&lt;=I41,"Terminé à temps","Terminé hors délai"),IF(N41=0,IF(TODAY()&lt;H41,"En attente",IF(TODAY()&gt;I41+30,"Critique","En retard")),IF(N41&gt;=M41,"À temps",IF(N41&gt;=M41*0.8,"À surveiller",IF(N41&gt;=M41*0.5,"En retard","Critique"))))))</f>
        <v/>
      </c>
      <c r="R41" s="68" t="n">
        <f aca="false">IFERROR(IF(Q41="Terminé à temps",100,IF(Q41="Terminé hors délai",75,IF(Q41="À temps",50,IF(Q41="À surveiller",40,IF(Q41="En retard",25,IF(Q41="Critique",10,IF(Q41="En attente",50,0))))))),0)</f>
        <v>0</v>
      </c>
      <c r="S41" s="11"/>
      <c r="T41" s="69"/>
      <c r="U41" s="70" t="n">
        <f aca="false">IFERROR(IF(T41="",0,T41*N41/100),0)</f>
        <v>0</v>
      </c>
      <c r="V41" s="11"/>
    </row>
    <row r="42" customFormat="false" ht="24" hidden="false" customHeight="true" outlineLevel="0" collapsed="false">
      <c r="B42" s="7"/>
      <c r="C42" s="7"/>
      <c r="D42" s="7"/>
      <c r="E42" s="7"/>
      <c r="F42" s="7"/>
      <c r="G42" s="7"/>
      <c r="H42" s="71"/>
      <c r="I42" s="71"/>
      <c r="J42" s="71"/>
      <c r="K42" s="71"/>
      <c r="L42" s="7"/>
      <c r="M42" s="64" t="n">
        <f aca="true">IF(OR(B42="",H42="",I42=""),0,IF(TODAY()&lt;H42,0,IF(TODAY()&gt;=I42,100,(TODAY()-H42)/(I42-H42)*100)))</f>
        <v>0</v>
      </c>
      <c r="N42" s="72" t="n">
        <v>0</v>
      </c>
      <c r="O42" s="73"/>
      <c r="P42" s="73"/>
      <c r="Q42" s="67" t="str">
        <f aca="true">IF(B42="","",IF(K42&lt;&gt;"",IF(K42&lt;=I42,"Terminé à temps","Terminé hors délai"),IF(N42=0,IF(TODAY()&lt;H42,"En attente",IF(TODAY()&gt;I42+30,"Critique","En retard")),IF(N42&gt;=M42,"À temps",IF(N42&gt;=M42*0.8,"À surveiller",IF(N42&gt;=M42*0.5,"En retard","Critique"))))))</f>
        <v/>
      </c>
      <c r="R42" s="68" t="n">
        <f aca="false">IFERROR(IF(Q42="Terminé à temps",100,IF(Q42="Terminé hors délai",75,IF(Q42="À temps",50,IF(Q42="À surveiller",40,IF(Q42="En retard",25,IF(Q42="Critique",10,IF(Q42="En attente",50,0))))))),0)</f>
        <v>0</v>
      </c>
      <c r="S42" s="7"/>
      <c r="T42" s="74"/>
      <c r="U42" s="70" t="n">
        <f aca="false">IFERROR(IF(T42="",0,T42*N42/100),0)</f>
        <v>0</v>
      </c>
      <c r="V42" s="7"/>
    </row>
    <row r="43" customFormat="false" ht="24" hidden="false" customHeight="true" outlineLevel="0" collapsed="false">
      <c r="B43" s="11"/>
      <c r="C43" s="11"/>
      <c r="D43" s="11"/>
      <c r="E43" s="11"/>
      <c r="F43" s="11"/>
      <c r="G43" s="11"/>
      <c r="H43" s="63"/>
      <c r="I43" s="63"/>
      <c r="J43" s="63"/>
      <c r="K43" s="63"/>
      <c r="L43" s="11"/>
      <c r="M43" s="64" t="n">
        <f aca="true">IF(OR(B43="",H43="",I43=""),0,IF(TODAY()&lt;H43,0,IF(TODAY()&gt;=I43,100,(TODAY()-H43)/(I43-H43)*100)))</f>
        <v>0</v>
      </c>
      <c r="N43" s="65" t="n">
        <v>0</v>
      </c>
      <c r="O43" s="66"/>
      <c r="P43" s="66"/>
      <c r="Q43" s="67" t="str">
        <f aca="true">IF(B43="","",IF(K43&lt;&gt;"",IF(K43&lt;=I43,"Terminé à temps","Terminé hors délai"),IF(N43=0,IF(TODAY()&lt;H43,"En attente",IF(TODAY()&gt;I43+30,"Critique","En retard")),IF(N43&gt;=M43,"À temps",IF(N43&gt;=M43*0.8,"À surveiller",IF(N43&gt;=M43*0.5,"En retard","Critique"))))))</f>
        <v/>
      </c>
      <c r="R43" s="68" t="n">
        <f aca="false">IFERROR(IF(Q43="Terminé à temps",100,IF(Q43="Terminé hors délai",75,IF(Q43="À temps",50,IF(Q43="À surveiller",40,IF(Q43="En retard",25,IF(Q43="Critique",10,IF(Q43="En attente",50,0))))))),0)</f>
        <v>0</v>
      </c>
      <c r="S43" s="11"/>
      <c r="T43" s="69"/>
      <c r="U43" s="70" t="n">
        <f aca="false">IFERROR(IF(T43="",0,T43*N43/100),0)</f>
        <v>0</v>
      </c>
      <c r="V43" s="11"/>
    </row>
    <row r="44" customFormat="false" ht="24" hidden="false" customHeight="true" outlineLevel="0" collapsed="false">
      <c r="B44" s="7"/>
      <c r="C44" s="7"/>
      <c r="D44" s="7"/>
      <c r="E44" s="7"/>
      <c r="F44" s="7"/>
      <c r="G44" s="7"/>
      <c r="H44" s="71"/>
      <c r="I44" s="71"/>
      <c r="J44" s="71"/>
      <c r="K44" s="71"/>
      <c r="L44" s="7"/>
      <c r="M44" s="64" t="n">
        <f aca="true">IF(OR(B44="",H44="",I44=""),0,IF(TODAY()&lt;H44,0,IF(TODAY()&gt;=I44,100,(TODAY()-H44)/(I44-H44)*100)))</f>
        <v>0</v>
      </c>
      <c r="N44" s="72" t="n">
        <v>0</v>
      </c>
      <c r="O44" s="73"/>
      <c r="P44" s="73"/>
      <c r="Q44" s="67" t="str">
        <f aca="true">IF(B44="","",IF(K44&lt;&gt;"",IF(K44&lt;=I44,"Terminé à temps","Terminé hors délai"),IF(N44=0,IF(TODAY()&lt;H44,"En attente",IF(TODAY()&gt;I44+30,"Critique","En retard")),IF(N44&gt;=M44,"À temps",IF(N44&gt;=M44*0.8,"À surveiller",IF(N44&gt;=M44*0.5,"En retard","Critique"))))))</f>
        <v/>
      </c>
      <c r="R44" s="68" t="n">
        <f aca="false">IFERROR(IF(Q44="Terminé à temps",100,IF(Q44="Terminé hors délai",75,IF(Q44="À temps",50,IF(Q44="À surveiller",40,IF(Q44="En retard",25,IF(Q44="Critique",10,IF(Q44="En attente",50,0))))))),0)</f>
        <v>0</v>
      </c>
      <c r="S44" s="7"/>
      <c r="T44" s="74"/>
      <c r="U44" s="70" t="n">
        <f aca="false">IFERROR(IF(T44="",0,T44*N44/100),0)</f>
        <v>0</v>
      </c>
      <c r="V44" s="7"/>
    </row>
    <row r="45" customFormat="false" ht="24" hidden="false" customHeight="true" outlineLevel="0" collapsed="false">
      <c r="B45" s="11"/>
      <c r="C45" s="11"/>
      <c r="D45" s="11"/>
      <c r="E45" s="11"/>
      <c r="F45" s="11"/>
      <c r="G45" s="11"/>
      <c r="H45" s="63"/>
      <c r="I45" s="63"/>
      <c r="J45" s="63"/>
      <c r="K45" s="63"/>
      <c r="L45" s="11"/>
      <c r="M45" s="64" t="n">
        <f aca="true">IF(OR(B45="",H45="",I45=""),0,IF(TODAY()&lt;H45,0,IF(TODAY()&gt;=I45,100,(TODAY()-H45)/(I45-H45)*100)))</f>
        <v>0</v>
      </c>
      <c r="N45" s="65" t="n">
        <v>0</v>
      </c>
      <c r="O45" s="66"/>
      <c r="P45" s="66"/>
      <c r="Q45" s="67" t="str">
        <f aca="true">IF(B45="","",IF(K45&lt;&gt;"",IF(K45&lt;=I45,"Terminé à temps","Terminé hors délai"),IF(N45=0,IF(TODAY()&lt;H45,"En attente",IF(TODAY()&gt;I45+30,"Critique","En retard")),IF(N45&gt;=M45,"À temps",IF(N45&gt;=M45*0.8,"À surveiller",IF(N45&gt;=M45*0.5,"En retard","Critique"))))))</f>
        <v/>
      </c>
      <c r="R45" s="68" t="n">
        <f aca="false">IFERROR(IF(Q45="Terminé à temps",100,IF(Q45="Terminé hors délai",75,IF(Q45="À temps",50,IF(Q45="À surveiller",40,IF(Q45="En retard",25,IF(Q45="Critique",10,IF(Q45="En attente",50,0))))))),0)</f>
        <v>0</v>
      </c>
      <c r="S45" s="11"/>
      <c r="T45" s="69"/>
      <c r="U45" s="70" t="n">
        <f aca="false">IFERROR(IF(T45="",0,T45*N45/100),0)</f>
        <v>0</v>
      </c>
      <c r="V45" s="11"/>
    </row>
    <row r="46" customFormat="false" ht="24" hidden="false" customHeight="true" outlineLevel="0" collapsed="false">
      <c r="B46" s="7"/>
      <c r="C46" s="7"/>
      <c r="D46" s="7"/>
      <c r="E46" s="7"/>
      <c r="F46" s="7"/>
      <c r="G46" s="7"/>
      <c r="H46" s="71"/>
      <c r="I46" s="71"/>
      <c r="J46" s="71"/>
      <c r="K46" s="71"/>
      <c r="L46" s="7"/>
      <c r="M46" s="64" t="n">
        <f aca="true">IF(OR(B46="",H46="",I46=""),0,IF(TODAY()&lt;H46,0,IF(TODAY()&gt;=I46,100,(TODAY()-H46)/(I46-H46)*100)))</f>
        <v>0</v>
      </c>
      <c r="N46" s="72" t="n">
        <v>0</v>
      </c>
      <c r="O46" s="73"/>
      <c r="P46" s="73"/>
      <c r="Q46" s="67" t="str">
        <f aca="true">IF(B46="","",IF(K46&lt;&gt;"",IF(K46&lt;=I46,"Terminé à temps","Terminé hors délai"),IF(N46=0,IF(TODAY()&lt;H46,"En attente",IF(TODAY()&gt;I46+30,"Critique","En retard")),IF(N46&gt;=M46,"À temps",IF(N46&gt;=M46*0.8,"À surveiller",IF(N46&gt;=M46*0.5,"En retard","Critique"))))))</f>
        <v/>
      </c>
      <c r="R46" s="68" t="n">
        <f aca="false">IFERROR(IF(Q46="Terminé à temps",100,IF(Q46="Terminé hors délai",75,IF(Q46="À temps",50,IF(Q46="À surveiller",40,IF(Q46="En retard",25,IF(Q46="Critique",10,IF(Q46="En attente",50,0))))))),0)</f>
        <v>0</v>
      </c>
      <c r="S46" s="7"/>
      <c r="T46" s="74"/>
      <c r="U46" s="70" t="n">
        <f aca="false">IFERROR(IF(T46="",0,T46*N46/100),0)</f>
        <v>0</v>
      </c>
      <c r="V46" s="7"/>
    </row>
    <row r="47" customFormat="false" ht="24" hidden="false" customHeight="true" outlineLevel="0" collapsed="false">
      <c r="B47" s="11"/>
      <c r="C47" s="11"/>
      <c r="D47" s="11"/>
      <c r="E47" s="11"/>
      <c r="F47" s="11"/>
      <c r="G47" s="11"/>
      <c r="H47" s="63"/>
      <c r="I47" s="63"/>
      <c r="J47" s="63"/>
      <c r="K47" s="63"/>
      <c r="L47" s="11"/>
      <c r="M47" s="64" t="n">
        <f aca="true">IF(OR(B47="",H47="",I47=""),0,IF(TODAY()&lt;H47,0,IF(TODAY()&gt;=I47,100,(TODAY()-H47)/(I47-H47)*100)))</f>
        <v>0</v>
      </c>
      <c r="N47" s="65" t="n">
        <v>0</v>
      </c>
      <c r="O47" s="66"/>
      <c r="P47" s="66"/>
      <c r="Q47" s="67" t="str">
        <f aca="true">IF(B47="","",IF(K47&lt;&gt;"",IF(K47&lt;=I47,"Terminé à temps","Terminé hors délai"),IF(N47=0,IF(TODAY()&lt;H47,"En attente",IF(TODAY()&gt;I47+30,"Critique","En retard")),IF(N47&gt;=M47,"À temps",IF(N47&gt;=M47*0.8,"À surveiller",IF(N47&gt;=M47*0.5,"En retard","Critique"))))))</f>
        <v/>
      </c>
      <c r="R47" s="68" t="n">
        <f aca="false">IFERROR(IF(Q47="Terminé à temps",100,IF(Q47="Terminé hors délai",75,IF(Q47="À temps",50,IF(Q47="À surveiller",40,IF(Q47="En retard",25,IF(Q47="Critique",10,IF(Q47="En attente",50,0))))))),0)</f>
        <v>0</v>
      </c>
      <c r="S47" s="11"/>
      <c r="T47" s="69"/>
      <c r="U47" s="70" t="n">
        <f aca="false">IFERROR(IF(T47="",0,T47*N47/100),0)</f>
        <v>0</v>
      </c>
      <c r="V47" s="11"/>
    </row>
    <row r="48" customFormat="false" ht="24" hidden="false" customHeight="true" outlineLevel="0" collapsed="false">
      <c r="B48" s="7"/>
      <c r="C48" s="7"/>
      <c r="D48" s="7"/>
      <c r="E48" s="7"/>
      <c r="F48" s="7"/>
      <c r="G48" s="7"/>
      <c r="H48" s="71"/>
      <c r="I48" s="71"/>
      <c r="J48" s="71"/>
      <c r="K48" s="71"/>
      <c r="L48" s="7"/>
      <c r="M48" s="64" t="n">
        <f aca="true">IF(OR(B48="",H48="",I48=""),0,IF(TODAY()&lt;H48,0,IF(TODAY()&gt;=I48,100,(TODAY()-H48)/(I48-H48)*100)))</f>
        <v>0</v>
      </c>
      <c r="N48" s="72" t="n">
        <v>0</v>
      </c>
      <c r="O48" s="73"/>
      <c r="P48" s="73"/>
      <c r="Q48" s="67" t="str">
        <f aca="true">IF(B48="","",IF(K48&lt;&gt;"",IF(K48&lt;=I48,"Terminé à temps","Terminé hors délai"),IF(N48=0,IF(TODAY()&lt;H48,"En attente",IF(TODAY()&gt;I48+30,"Critique","En retard")),IF(N48&gt;=M48,"À temps",IF(N48&gt;=M48*0.8,"À surveiller",IF(N48&gt;=M48*0.5,"En retard","Critique"))))))</f>
        <v/>
      </c>
      <c r="R48" s="68" t="n">
        <f aca="false">IFERROR(IF(Q48="Terminé à temps",100,IF(Q48="Terminé hors délai",75,IF(Q48="À temps",50,IF(Q48="À surveiller",40,IF(Q48="En retard",25,IF(Q48="Critique",10,IF(Q48="En attente",50,0))))))),0)</f>
        <v>0</v>
      </c>
      <c r="S48" s="7"/>
      <c r="T48" s="74"/>
      <c r="U48" s="70" t="n">
        <f aca="false">IFERROR(IF(T48="",0,T48*N48/100),0)</f>
        <v>0</v>
      </c>
      <c r="V48" s="7"/>
    </row>
    <row r="49" customFormat="false" ht="24" hidden="false" customHeight="true" outlineLevel="0" collapsed="false">
      <c r="B49" s="11"/>
      <c r="C49" s="11"/>
      <c r="D49" s="11"/>
      <c r="E49" s="11"/>
      <c r="F49" s="11"/>
      <c r="G49" s="11"/>
      <c r="H49" s="63"/>
      <c r="I49" s="63"/>
      <c r="J49" s="63"/>
      <c r="K49" s="63"/>
      <c r="L49" s="11"/>
      <c r="M49" s="64" t="n">
        <f aca="true">IF(OR(B49="",H49="",I49=""),0,IF(TODAY()&lt;H49,0,IF(TODAY()&gt;=I49,100,(TODAY()-H49)/(I49-H49)*100)))</f>
        <v>0</v>
      </c>
      <c r="N49" s="65" t="n">
        <v>0</v>
      </c>
      <c r="O49" s="66"/>
      <c r="P49" s="66"/>
      <c r="Q49" s="67" t="str">
        <f aca="true">IF(B49="","",IF(K49&lt;&gt;"",IF(K49&lt;=I49,"Terminé à temps","Terminé hors délai"),IF(N49=0,IF(TODAY()&lt;H49,"En attente",IF(TODAY()&gt;I49+30,"Critique","En retard")),IF(N49&gt;=M49,"À temps",IF(N49&gt;=M49*0.8,"À surveiller",IF(N49&gt;=M49*0.5,"En retard","Critique"))))))</f>
        <v/>
      </c>
      <c r="R49" s="68" t="n">
        <f aca="false">IFERROR(IF(Q49="Terminé à temps",100,IF(Q49="Terminé hors délai",75,IF(Q49="À temps",50,IF(Q49="À surveiller",40,IF(Q49="En retard",25,IF(Q49="Critique",10,IF(Q49="En attente",50,0))))))),0)</f>
        <v>0</v>
      </c>
      <c r="S49" s="11"/>
      <c r="T49" s="69"/>
      <c r="U49" s="70" t="n">
        <f aca="false">IFERROR(IF(T49="",0,T49*N49/100),0)</f>
        <v>0</v>
      </c>
      <c r="V49" s="11"/>
    </row>
    <row r="50" customFormat="false" ht="24" hidden="false" customHeight="true" outlineLevel="0" collapsed="false">
      <c r="B50" s="7"/>
      <c r="C50" s="7"/>
      <c r="D50" s="7"/>
      <c r="E50" s="7"/>
      <c r="F50" s="7"/>
      <c r="G50" s="7"/>
      <c r="H50" s="71"/>
      <c r="I50" s="71"/>
      <c r="J50" s="71"/>
      <c r="K50" s="71"/>
      <c r="L50" s="7"/>
      <c r="M50" s="64" t="n">
        <f aca="true">IF(OR(B50="",H50="",I50=""),0,IF(TODAY()&lt;H50,0,IF(TODAY()&gt;=I50,100,(TODAY()-H50)/(I50-H50)*100)))</f>
        <v>0</v>
      </c>
      <c r="N50" s="72" t="n">
        <v>0</v>
      </c>
      <c r="O50" s="73"/>
      <c r="P50" s="73"/>
      <c r="Q50" s="67" t="str">
        <f aca="true">IF(B50="","",IF(K50&lt;&gt;"",IF(K50&lt;=I50,"Terminé à temps","Terminé hors délai"),IF(N50=0,IF(TODAY()&lt;H50,"En attente",IF(TODAY()&gt;I50+30,"Critique","En retard")),IF(N50&gt;=M50,"À temps",IF(N50&gt;=M50*0.8,"À surveiller",IF(N50&gt;=M50*0.5,"En retard","Critique"))))))</f>
        <v/>
      </c>
      <c r="R50" s="68" t="n">
        <f aca="false">IFERROR(IF(Q50="Terminé à temps",100,IF(Q50="Terminé hors délai",75,IF(Q50="À temps",50,IF(Q50="À surveiller",40,IF(Q50="En retard",25,IF(Q50="Critique",10,IF(Q50="En attente",50,0))))))),0)</f>
        <v>0</v>
      </c>
      <c r="S50" s="7"/>
      <c r="T50" s="74"/>
      <c r="U50" s="70" t="n">
        <f aca="false">IFERROR(IF(T50="",0,T50*N50/100),0)</f>
        <v>0</v>
      </c>
      <c r="V50" s="7"/>
    </row>
    <row r="51" customFormat="false" ht="24" hidden="false" customHeight="true" outlineLevel="0" collapsed="false">
      <c r="B51" s="11"/>
      <c r="C51" s="11"/>
      <c r="D51" s="11"/>
      <c r="E51" s="11"/>
      <c r="F51" s="11"/>
      <c r="G51" s="11"/>
      <c r="H51" s="63"/>
      <c r="I51" s="63"/>
      <c r="J51" s="63"/>
      <c r="K51" s="63"/>
      <c r="L51" s="11"/>
      <c r="M51" s="64" t="n">
        <f aca="true">IF(OR(B51="",H51="",I51=""),0,IF(TODAY()&lt;H51,0,IF(TODAY()&gt;=I51,100,(TODAY()-H51)/(I51-H51)*100)))</f>
        <v>0</v>
      </c>
      <c r="N51" s="65" t="n">
        <v>0</v>
      </c>
      <c r="O51" s="66"/>
      <c r="P51" s="66"/>
      <c r="Q51" s="67" t="str">
        <f aca="true">IF(B51="","",IF(K51&lt;&gt;"",IF(K51&lt;=I51,"Terminé à temps","Terminé hors délai"),IF(N51=0,IF(TODAY()&lt;H51,"En attente",IF(TODAY()&gt;I51+30,"Critique","En retard")),IF(N51&gt;=M51,"À temps",IF(N51&gt;=M51*0.8,"À surveiller",IF(N51&gt;=M51*0.5,"En retard","Critique"))))))</f>
        <v/>
      </c>
      <c r="R51" s="68" t="n">
        <f aca="false">IFERROR(IF(Q51="Terminé à temps",100,IF(Q51="Terminé hors délai",75,IF(Q51="À temps",50,IF(Q51="À surveiller",40,IF(Q51="En retard",25,IF(Q51="Critique",10,IF(Q51="En attente",50,0))))))),0)</f>
        <v>0</v>
      </c>
      <c r="S51" s="11"/>
      <c r="T51" s="69"/>
      <c r="U51" s="70" t="n">
        <f aca="false">IFERROR(IF(T51="",0,T51*N51/100),0)</f>
        <v>0</v>
      </c>
      <c r="V51" s="11"/>
    </row>
    <row r="52" customFormat="false" ht="24" hidden="false" customHeight="true" outlineLevel="0" collapsed="false">
      <c r="B52" s="7"/>
      <c r="C52" s="7"/>
      <c r="D52" s="7"/>
      <c r="E52" s="7"/>
      <c r="F52" s="7"/>
      <c r="G52" s="7"/>
      <c r="H52" s="71"/>
      <c r="I52" s="71"/>
      <c r="J52" s="71"/>
      <c r="K52" s="71"/>
      <c r="L52" s="7"/>
      <c r="M52" s="64" t="n">
        <f aca="true">IF(OR(B52="",H52="",I52=""),0,IF(TODAY()&lt;H52,0,IF(TODAY()&gt;=I52,100,(TODAY()-H52)/(I52-H52)*100)))</f>
        <v>0</v>
      </c>
      <c r="N52" s="72" t="n">
        <v>0</v>
      </c>
      <c r="O52" s="73"/>
      <c r="P52" s="73"/>
      <c r="Q52" s="67" t="str">
        <f aca="true">IF(B52="","",IF(K52&lt;&gt;"",IF(K52&lt;=I52,"Terminé à temps","Terminé hors délai"),IF(N52=0,IF(TODAY()&lt;H52,"En attente",IF(TODAY()&gt;I52+30,"Critique","En retard")),IF(N52&gt;=M52,"À temps",IF(N52&gt;=M52*0.8,"À surveiller",IF(N52&gt;=M52*0.5,"En retard","Critique"))))))</f>
        <v/>
      </c>
      <c r="R52" s="68" t="n">
        <f aca="false">IFERROR(IF(Q52="Terminé à temps",100,IF(Q52="Terminé hors délai",75,IF(Q52="À temps",50,IF(Q52="À surveiller",40,IF(Q52="En retard",25,IF(Q52="Critique",10,IF(Q52="En attente",50,0))))))),0)</f>
        <v>0</v>
      </c>
      <c r="S52" s="7"/>
      <c r="T52" s="74"/>
      <c r="U52" s="70" t="n">
        <f aca="false">IFERROR(IF(T52="",0,T52*N52/100),0)</f>
        <v>0</v>
      </c>
      <c r="V52" s="7"/>
    </row>
    <row r="53" customFormat="false" ht="24" hidden="false" customHeight="true" outlineLevel="0" collapsed="false">
      <c r="B53" s="11"/>
      <c r="C53" s="11"/>
      <c r="D53" s="11"/>
      <c r="E53" s="11"/>
      <c r="F53" s="11"/>
      <c r="G53" s="11"/>
      <c r="H53" s="63"/>
      <c r="I53" s="63"/>
      <c r="J53" s="63"/>
      <c r="K53" s="63"/>
      <c r="L53" s="11"/>
      <c r="M53" s="64" t="n">
        <f aca="true">IF(OR(B53="",H53="",I53=""),0,IF(TODAY()&lt;H53,0,IF(TODAY()&gt;=I53,100,(TODAY()-H53)/(I53-H53)*100)))</f>
        <v>0</v>
      </c>
      <c r="N53" s="65" t="n">
        <v>0</v>
      </c>
      <c r="O53" s="66"/>
      <c r="P53" s="66"/>
      <c r="Q53" s="67" t="str">
        <f aca="true">IF(B53="","",IF(K53&lt;&gt;"",IF(K53&lt;=I53,"Terminé à temps","Terminé hors délai"),IF(N53=0,IF(TODAY()&lt;H53,"En attente",IF(TODAY()&gt;I53+30,"Critique","En retard")),IF(N53&gt;=M53,"À temps",IF(N53&gt;=M53*0.8,"À surveiller",IF(N53&gt;=M53*0.5,"En retard","Critique"))))))</f>
        <v/>
      </c>
      <c r="R53" s="68" t="n">
        <f aca="false">IFERROR(IF(Q53="Terminé à temps",100,IF(Q53="Terminé hors délai",75,IF(Q53="À temps",50,IF(Q53="À surveiller",40,IF(Q53="En retard",25,IF(Q53="Critique",10,IF(Q53="En attente",50,0))))))),0)</f>
        <v>0</v>
      </c>
      <c r="S53" s="11"/>
      <c r="T53" s="69"/>
      <c r="U53" s="70" t="n">
        <f aca="false">IFERROR(IF(T53="",0,T53*N53/100),0)</f>
        <v>0</v>
      </c>
      <c r="V53" s="11"/>
    </row>
    <row r="54" customFormat="false" ht="24" hidden="false" customHeight="true" outlineLevel="0" collapsed="false">
      <c r="B54" s="7"/>
      <c r="C54" s="7"/>
      <c r="D54" s="7"/>
      <c r="E54" s="7"/>
      <c r="F54" s="7"/>
      <c r="G54" s="7"/>
      <c r="H54" s="71"/>
      <c r="I54" s="71"/>
      <c r="J54" s="71"/>
      <c r="K54" s="71"/>
      <c r="L54" s="7"/>
      <c r="M54" s="64" t="n">
        <f aca="true">IF(OR(B54="",H54="",I54=""),0,IF(TODAY()&lt;H54,0,IF(TODAY()&gt;=I54,100,(TODAY()-H54)/(I54-H54)*100)))</f>
        <v>0</v>
      </c>
      <c r="N54" s="72" t="n">
        <v>0</v>
      </c>
      <c r="O54" s="73"/>
      <c r="P54" s="73"/>
      <c r="Q54" s="67" t="str">
        <f aca="true">IF(B54="","",IF(K54&lt;&gt;"",IF(K54&lt;=I54,"Terminé à temps","Terminé hors délai"),IF(N54=0,IF(TODAY()&lt;H54,"En attente",IF(TODAY()&gt;I54+30,"Critique","En retard")),IF(N54&gt;=M54,"À temps",IF(N54&gt;=M54*0.8,"À surveiller",IF(N54&gt;=M54*0.5,"En retard","Critique"))))))</f>
        <v/>
      </c>
      <c r="R54" s="68" t="n">
        <f aca="false">IFERROR(IF(Q54="Terminé à temps",100,IF(Q54="Terminé hors délai",75,IF(Q54="À temps",50,IF(Q54="À surveiller",40,IF(Q54="En retard",25,IF(Q54="Critique",10,IF(Q54="En attente",50,0))))))),0)</f>
        <v>0</v>
      </c>
      <c r="S54" s="7"/>
      <c r="T54" s="74"/>
      <c r="U54" s="70" t="n">
        <f aca="false">IFERROR(IF(T54="",0,T54*N54/100),0)</f>
        <v>0</v>
      </c>
      <c r="V54" s="7"/>
    </row>
    <row r="55" customFormat="false" ht="24" hidden="false" customHeight="true" outlineLevel="0" collapsed="false">
      <c r="B55" s="11"/>
      <c r="C55" s="11"/>
      <c r="D55" s="11"/>
      <c r="E55" s="11"/>
      <c r="F55" s="11"/>
      <c r="G55" s="11"/>
      <c r="H55" s="63"/>
      <c r="I55" s="63"/>
      <c r="J55" s="63"/>
      <c r="K55" s="63"/>
      <c r="L55" s="11"/>
      <c r="M55" s="64" t="n">
        <f aca="true">IF(OR(B55="",H55="",I55=""),0,IF(TODAY()&lt;H55,0,IF(TODAY()&gt;=I55,100,(TODAY()-H55)/(I55-H55)*100)))</f>
        <v>0</v>
      </c>
      <c r="N55" s="65" t="n">
        <v>0</v>
      </c>
      <c r="O55" s="66"/>
      <c r="P55" s="66"/>
      <c r="Q55" s="67" t="str">
        <f aca="true">IF(B55="","",IF(K55&lt;&gt;"",IF(K55&lt;=I55,"Terminé à temps","Terminé hors délai"),IF(N55=0,IF(TODAY()&lt;H55,"En attente",IF(TODAY()&gt;I55+30,"Critique","En retard")),IF(N55&gt;=M55,"À temps",IF(N55&gt;=M55*0.8,"À surveiller",IF(N55&gt;=M55*0.5,"En retard","Critique"))))))</f>
        <v/>
      </c>
      <c r="R55" s="68" t="n">
        <f aca="false">IFERROR(IF(Q55="Terminé à temps",100,IF(Q55="Terminé hors délai",75,IF(Q55="À temps",50,IF(Q55="À surveiller",40,IF(Q55="En retard",25,IF(Q55="Critique",10,IF(Q55="En attente",50,0))))))),0)</f>
        <v>0</v>
      </c>
      <c r="S55" s="11"/>
      <c r="T55" s="69"/>
      <c r="U55" s="70" t="n">
        <f aca="false">IFERROR(IF(T55="",0,T55*N55/100),0)</f>
        <v>0</v>
      </c>
      <c r="V55" s="11"/>
    </row>
    <row r="56" customFormat="false" ht="24" hidden="false" customHeight="true" outlineLevel="0" collapsed="false">
      <c r="B56" s="7"/>
      <c r="C56" s="7"/>
      <c r="D56" s="7"/>
      <c r="E56" s="7"/>
      <c r="F56" s="7"/>
      <c r="G56" s="7"/>
      <c r="H56" s="71"/>
      <c r="I56" s="71"/>
      <c r="J56" s="71"/>
      <c r="K56" s="71"/>
      <c r="L56" s="7"/>
      <c r="M56" s="64" t="n">
        <f aca="true">IF(OR(B56="",H56="",I56=""),0,IF(TODAY()&lt;H56,0,IF(TODAY()&gt;=I56,100,(TODAY()-H56)/(I56-H56)*100)))</f>
        <v>0</v>
      </c>
      <c r="N56" s="72" t="n">
        <v>0</v>
      </c>
      <c r="O56" s="73"/>
      <c r="P56" s="73"/>
      <c r="Q56" s="67" t="str">
        <f aca="true">IF(B56="","",IF(K56&lt;&gt;"",IF(K56&lt;=I56,"Terminé à temps","Terminé hors délai"),IF(N56=0,IF(TODAY()&lt;H56,"En attente",IF(TODAY()&gt;I56+30,"Critique","En retard")),IF(N56&gt;=M56,"À temps",IF(N56&gt;=M56*0.8,"À surveiller",IF(N56&gt;=M56*0.5,"En retard","Critique"))))))</f>
        <v/>
      </c>
      <c r="R56" s="68" t="n">
        <f aca="false">IFERROR(IF(Q56="Terminé à temps",100,IF(Q56="Terminé hors délai",75,IF(Q56="À temps",50,IF(Q56="À surveiller",40,IF(Q56="En retard",25,IF(Q56="Critique",10,IF(Q56="En attente",50,0))))))),0)</f>
        <v>0</v>
      </c>
      <c r="S56" s="7"/>
      <c r="T56" s="74"/>
      <c r="U56" s="70" t="n">
        <f aca="false">IFERROR(IF(T56="",0,T56*N56/100),0)</f>
        <v>0</v>
      </c>
      <c r="V56" s="7"/>
    </row>
    <row r="57" customFormat="false" ht="24" hidden="false" customHeight="true" outlineLevel="0" collapsed="false">
      <c r="B57" s="11"/>
      <c r="C57" s="11"/>
      <c r="D57" s="11"/>
      <c r="E57" s="11"/>
      <c r="F57" s="11"/>
      <c r="G57" s="11"/>
      <c r="H57" s="63"/>
      <c r="I57" s="63"/>
      <c r="J57" s="63"/>
      <c r="K57" s="63"/>
      <c r="L57" s="11"/>
      <c r="M57" s="64" t="n">
        <f aca="true">IF(OR(B57="",H57="",I57=""),0,IF(TODAY()&lt;H57,0,IF(TODAY()&gt;=I57,100,(TODAY()-H57)/(I57-H57)*100)))</f>
        <v>0</v>
      </c>
      <c r="N57" s="65" t="n">
        <v>0</v>
      </c>
      <c r="O57" s="66"/>
      <c r="P57" s="66"/>
      <c r="Q57" s="67" t="str">
        <f aca="true">IF(B57="","",IF(K57&lt;&gt;"",IF(K57&lt;=I57,"Terminé à temps","Terminé hors délai"),IF(N57=0,IF(TODAY()&lt;H57,"En attente",IF(TODAY()&gt;I57+30,"Critique","En retard")),IF(N57&gt;=M57,"À temps",IF(N57&gt;=M57*0.8,"À surveiller",IF(N57&gt;=M57*0.5,"En retard","Critique"))))))</f>
        <v/>
      </c>
      <c r="R57" s="68" t="n">
        <f aca="false">IFERROR(IF(Q57="Terminé à temps",100,IF(Q57="Terminé hors délai",75,IF(Q57="À temps",50,IF(Q57="À surveiller",40,IF(Q57="En retard",25,IF(Q57="Critique",10,IF(Q57="En attente",50,0))))))),0)</f>
        <v>0</v>
      </c>
      <c r="S57" s="11"/>
      <c r="T57" s="69"/>
      <c r="U57" s="70" t="n">
        <f aca="false">IFERROR(IF(T57="",0,T57*N57/100),0)</f>
        <v>0</v>
      </c>
      <c r="V57" s="11"/>
    </row>
    <row r="58" customFormat="false" ht="24" hidden="false" customHeight="true" outlineLevel="0" collapsed="false">
      <c r="B58" s="7"/>
      <c r="C58" s="7"/>
      <c r="D58" s="7"/>
      <c r="E58" s="7"/>
      <c r="F58" s="7"/>
      <c r="G58" s="7"/>
      <c r="H58" s="71"/>
      <c r="I58" s="71"/>
      <c r="J58" s="71"/>
      <c r="K58" s="71"/>
      <c r="L58" s="7"/>
      <c r="M58" s="64" t="n">
        <f aca="true">IF(OR(B58="",H58="",I58=""),0,IF(TODAY()&lt;H58,0,IF(TODAY()&gt;=I58,100,(TODAY()-H58)/(I58-H58)*100)))</f>
        <v>0</v>
      </c>
      <c r="N58" s="72" t="n">
        <v>0</v>
      </c>
      <c r="O58" s="73"/>
      <c r="P58" s="73"/>
      <c r="Q58" s="67" t="str">
        <f aca="true">IF(B58="","",IF(K58&lt;&gt;"",IF(K58&lt;=I58,"Terminé à temps","Terminé hors délai"),IF(N58=0,IF(TODAY()&lt;H58,"En attente",IF(TODAY()&gt;I58+30,"Critique","En retard")),IF(N58&gt;=M58,"À temps",IF(N58&gt;=M58*0.8,"À surveiller",IF(N58&gt;=M58*0.5,"En retard","Critique"))))))</f>
        <v/>
      </c>
      <c r="R58" s="68" t="n">
        <f aca="false">IFERROR(IF(Q58="Terminé à temps",100,IF(Q58="Terminé hors délai",75,IF(Q58="À temps",50,IF(Q58="À surveiller",40,IF(Q58="En retard",25,IF(Q58="Critique",10,IF(Q58="En attente",50,0))))))),0)</f>
        <v>0</v>
      </c>
      <c r="S58" s="7"/>
      <c r="T58" s="74"/>
      <c r="U58" s="70" t="n">
        <f aca="false">IFERROR(IF(T58="",0,T58*N58/100),0)</f>
        <v>0</v>
      </c>
      <c r="V58" s="7"/>
    </row>
    <row r="59" customFormat="false" ht="24" hidden="false" customHeight="true" outlineLevel="0" collapsed="false">
      <c r="B59" s="11"/>
      <c r="C59" s="11"/>
      <c r="D59" s="11"/>
      <c r="E59" s="11"/>
      <c r="F59" s="11"/>
      <c r="G59" s="11"/>
      <c r="H59" s="63"/>
      <c r="I59" s="63"/>
      <c r="J59" s="63"/>
      <c r="K59" s="63"/>
      <c r="L59" s="11"/>
      <c r="M59" s="64" t="n">
        <f aca="true">IF(OR(B59="",H59="",I59=""),0,IF(TODAY()&lt;H59,0,IF(TODAY()&gt;=I59,100,(TODAY()-H59)/(I59-H59)*100)))</f>
        <v>0</v>
      </c>
      <c r="N59" s="65" t="n">
        <v>0</v>
      </c>
      <c r="O59" s="66"/>
      <c r="P59" s="66"/>
      <c r="Q59" s="67" t="str">
        <f aca="true">IF(B59="","",IF(K59&lt;&gt;"",IF(K59&lt;=I59,"Terminé à temps","Terminé hors délai"),IF(N59=0,IF(TODAY()&lt;H59,"En attente",IF(TODAY()&gt;I59+30,"Critique","En retard")),IF(N59&gt;=M59,"À temps",IF(N59&gt;=M59*0.8,"À surveiller",IF(N59&gt;=M59*0.5,"En retard","Critique"))))))</f>
        <v/>
      </c>
      <c r="R59" s="68" t="n">
        <f aca="false">IFERROR(IF(Q59="Terminé à temps",100,IF(Q59="Terminé hors délai",75,IF(Q59="À temps",50,IF(Q59="À surveiller",40,IF(Q59="En retard",25,IF(Q59="Critique",10,IF(Q59="En attente",50,0))))))),0)</f>
        <v>0</v>
      </c>
      <c r="S59" s="11"/>
      <c r="T59" s="69"/>
      <c r="U59" s="70" t="n">
        <f aca="false">IFERROR(IF(T59="",0,T59*N59/100),0)</f>
        <v>0</v>
      </c>
      <c r="V59" s="11"/>
    </row>
    <row r="60" customFormat="false" ht="24" hidden="false" customHeight="true" outlineLevel="0" collapsed="false">
      <c r="B60" s="7"/>
      <c r="C60" s="7"/>
      <c r="D60" s="7"/>
      <c r="E60" s="7"/>
      <c r="F60" s="7"/>
      <c r="G60" s="7"/>
      <c r="H60" s="71"/>
      <c r="I60" s="71"/>
      <c r="J60" s="71"/>
      <c r="K60" s="71"/>
      <c r="L60" s="7"/>
      <c r="M60" s="64" t="n">
        <f aca="true">IF(OR(B60="",H60="",I60=""),0,IF(TODAY()&lt;H60,0,IF(TODAY()&gt;=I60,100,(TODAY()-H60)/(I60-H60)*100)))</f>
        <v>0</v>
      </c>
      <c r="N60" s="72" t="n">
        <v>0</v>
      </c>
      <c r="O60" s="73"/>
      <c r="P60" s="73"/>
      <c r="Q60" s="67" t="str">
        <f aca="true">IF(B60="","",IF(K60&lt;&gt;"",IF(K60&lt;=I60,"Terminé à temps","Terminé hors délai"),IF(N60=0,IF(TODAY()&lt;H60,"En attente",IF(TODAY()&gt;I60+30,"Critique","En retard")),IF(N60&gt;=M60,"À temps",IF(N60&gt;=M60*0.8,"À surveiller",IF(N60&gt;=M60*0.5,"En retard","Critique"))))))</f>
        <v/>
      </c>
      <c r="R60" s="68" t="n">
        <f aca="false">IFERROR(IF(Q60="Terminé à temps",100,IF(Q60="Terminé hors délai",75,IF(Q60="À temps",50,IF(Q60="À surveiller",40,IF(Q60="En retard",25,IF(Q60="Critique",10,IF(Q60="En attente",50,0))))))),0)</f>
        <v>0</v>
      </c>
      <c r="S60" s="7"/>
      <c r="T60" s="74"/>
      <c r="U60" s="70" t="n">
        <f aca="false">IFERROR(IF(T60="",0,T60*N60/100),0)</f>
        <v>0</v>
      </c>
      <c r="V60" s="7"/>
    </row>
    <row r="61" customFormat="false" ht="24" hidden="false" customHeight="true" outlineLevel="0" collapsed="false">
      <c r="B61" s="11"/>
      <c r="C61" s="11"/>
      <c r="D61" s="11"/>
      <c r="E61" s="11"/>
      <c r="F61" s="11"/>
      <c r="G61" s="11"/>
      <c r="H61" s="63"/>
      <c r="I61" s="63"/>
      <c r="J61" s="63"/>
      <c r="K61" s="63"/>
      <c r="L61" s="11"/>
      <c r="M61" s="64" t="n">
        <f aca="true">IF(OR(B61="",H61="",I61=""),0,IF(TODAY()&lt;H61,0,IF(TODAY()&gt;=I61,100,(TODAY()-H61)/(I61-H61)*100)))</f>
        <v>0</v>
      </c>
      <c r="N61" s="65" t="n">
        <v>0</v>
      </c>
      <c r="O61" s="66"/>
      <c r="P61" s="66"/>
      <c r="Q61" s="67" t="str">
        <f aca="true">IF(B61="","",IF(K61&lt;&gt;"",IF(K61&lt;=I61,"Terminé à temps","Terminé hors délai"),IF(N61=0,IF(TODAY()&lt;H61,"En attente",IF(TODAY()&gt;I61+30,"Critique","En retard")),IF(N61&gt;=M61,"À temps",IF(N61&gt;=M61*0.8,"À surveiller",IF(N61&gt;=M61*0.5,"En retard","Critique"))))))</f>
        <v/>
      </c>
      <c r="R61" s="68" t="n">
        <f aca="false">IFERROR(IF(Q61="Terminé à temps",100,IF(Q61="Terminé hors délai",75,IF(Q61="À temps",50,IF(Q61="À surveiller",40,IF(Q61="En retard",25,IF(Q61="Critique",10,IF(Q61="En attente",50,0))))))),0)</f>
        <v>0</v>
      </c>
      <c r="S61" s="11"/>
      <c r="T61" s="69"/>
      <c r="U61" s="70" t="n">
        <f aca="false">IFERROR(IF(T61="",0,T61*N61/100),0)</f>
        <v>0</v>
      </c>
      <c r="V61" s="11"/>
    </row>
    <row r="62" customFormat="false" ht="24" hidden="false" customHeight="true" outlineLevel="0" collapsed="false">
      <c r="B62" s="7"/>
      <c r="C62" s="7"/>
      <c r="D62" s="7"/>
      <c r="E62" s="7"/>
      <c r="F62" s="7"/>
      <c r="G62" s="7"/>
      <c r="H62" s="71"/>
      <c r="I62" s="71"/>
      <c r="J62" s="71"/>
      <c r="K62" s="71"/>
      <c r="L62" s="7"/>
      <c r="M62" s="64" t="n">
        <f aca="true">IF(OR(B62="",H62="",I62=""),0,IF(TODAY()&lt;H62,0,IF(TODAY()&gt;=I62,100,(TODAY()-H62)/(I62-H62)*100)))</f>
        <v>0</v>
      </c>
      <c r="N62" s="72" t="n">
        <v>0</v>
      </c>
      <c r="O62" s="73"/>
      <c r="P62" s="73"/>
      <c r="Q62" s="67" t="str">
        <f aca="true">IF(B62="","",IF(K62&lt;&gt;"",IF(K62&lt;=I62,"Terminé à temps","Terminé hors délai"),IF(N62=0,IF(TODAY()&lt;H62,"En attente",IF(TODAY()&gt;I62+30,"Critique","En retard")),IF(N62&gt;=M62,"À temps",IF(N62&gt;=M62*0.8,"À surveiller",IF(N62&gt;=M62*0.5,"En retard","Critique"))))))</f>
        <v/>
      </c>
      <c r="R62" s="68" t="n">
        <f aca="false">IFERROR(IF(Q62="Terminé à temps",100,IF(Q62="Terminé hors délai",75,IF(Q62="À temps",50,IF(Q62="À surveiller",40,IF(Q62="En retard",25,IF(Q62="Critique",10,IF(Q62="En attente",50,0))))))),0)</f>
        <v>0</v>
      </c>
      <c r="S62" s="7"/>
      <c r="T62" s="74"/>
      <c r="U62" s="70" t="n">
        <f aca="false">IFERROR(IF(T62="",0,T62*N62/100),0)</f>
        <v>0</v>
      </c>
      <c r="V62" s="7"/>
    </row>
    <row r="63" customFormat="false" ht="24" hidden="false" customHeight="true" outlineLevel="0" collapsed="false">
      <c r="B63" s="11"/>
      <c r="C63" s="11"/>
      <c r="D63" s="11"/>
      <c r="E63" s="11"/>
      <c r="F63" s="11"/>
      <c r="G63" s="11"/>
      <c r="H63" s="63"/>
      <c r="I63" s="63"/>
      <c r="J63" s="63"/>
      <c r="K63" s="63"/>
      <c r="L63" s="11"/>
      <c r="M63" s="64" t="n">
        <f aca="true">IF(OR(B63="",H63="",I63=""),0,IF(TODAY()&lt;H63,0,IF(TODAY()&gt;=I63,100,(TODAY()-H63)/(I63-H63)*100)))</f>
        <v>0</v>
      </c>
      <c r="N63" s="65" t="n">
        <v>0</v>
      </c>
      <c r="O63" s="66"/>
      <c r="P63" s="66"/>
      <c r="Q63" s="67" t="str">
        <f aca="true">IF(B63="","",IF(K63&lt;&gt;"",IF(K63&lt;=I63,"Terminé à temps","Terminé hors délai"),IF(N63=0,IF(TODAY()&lt;H63,"En attente",IF(TODAY()&gt;I63+30,"Critique","En retard")),IF(N63&gt;=M63,"À temps",IF(N63&gt;=M63*0.8,"À surveiller",IF(N63&gt;=M63*0.5,"En retard","Critique"))))))</f>
        <v/>
      </c>
      <c r="R63" s="68" t="n">
        <f aca="false">IFERROR(IF(Q63="Terminé à temps",100,IF(Q63="Terminé hors délai",75,IF(Q63="À temps",50,IF(Q63="À surveiller",40,IF(Q63="En retard",25,IF(Q63="Critique",10,IF(Q63="En attente",50,0))))))),0)</f>
        <v>0</v>
      </c>
      <c r="S63" s="11"/>
      <c r="T63" s="69"/>
      <c r="U63" s="70" t="n">
        <f aca="false">IFERROR(IF(T63="",0,T63*N63/100),0)</f>
        <v>0</v>
      </c>
      <c r="V63" s="11"/>
    </row>
    <row r="64" customFormat="false" ht="24" hidden="false" customHeight="true" outlineLevel="0" collapsed="false">
      <c r="B64" s="7"/>
      <c r="C64" s="7"/>
      <c r="D64" s="7"/>
      <c r="E64" s="7"/>
      <c r="F64" s="7"/>
      <c r="G64" s="7"/>
      <c r="H64" s="71"/>
      <c r="I64" s="71"/>
      <c r="J64" s="71"/>
      <c r="K64" s="71"/>
      <c r="L64" s="7"/>
      <c r="M64" s="64" t="n">
        <f aca="true">IF(OR(B64="",H64="",I64=""),0,IF(TODAY()&lt;H64,0,IF(TODAY()&gt;=I64,100,(TODAY()-H64)/(I64-H64)*100)))</f>
        <v>0</v>
      </c>
      <c r="N64" s="72" t="n">
        <v>0</v>
      </c>
      <c r="O64" s="73"/>
      <c r="P64" s="73"/>
      <c r="Q64" s="67" t="str">
        <f aca="true">IF(B64="","",IF(K64&lt;&gt;"",IF(K64&lt;=I64,"Terminé à temps","Terminé hors délai"),IF(N64=0,IF(TODAY()&lt;H64,"En attente",IF(TODAY()&gt;I64+30,"Critique","En retard")),IF(N64&gt;=M64,"À temps",IF(N64&gt;=M64*0.8,"À surveiller",IF(N64&gt;=M64*0.5,"En retard","Critique"))))))</f>
        <v/>
      </c>
      <c r="R64" s="68" t="n">
        <f aca="false">IFERROR(IF(Q64="Terminé à temps",100,IF(Q64="Terminé hors délai",75,IF(Q64="À temps",50,IF(Q64="À surveiller",40,IF(Q64="En retard",25,IF(Q64="Critique",10,IF(Q64="En attente",50,0))))))),0)</f>
        <v>0</v>
      </c>
      <c r="S64" s="7"/>
      <c r="T64" s="74"/>
      <c r="U64" s="70" t="n">
        <f aca="false">IFERROR(IF(T64="",0,T64*N64/100),0)</f>
        <v>0</v>
      </c>
      <c r="V64" s="7"/>
    </row>
    <row r="65" customFormat="false" ht="24" hidden="false" customHeight="true" outlineLevel="0" collapsed="false">
      <c r="B65" s="11"/>
      <c r="C65" s="11"/>
      <c r="D65" s="11"/>
      <c r="E65" s="11"/>
      <c r="F65" s="11"/>
      <c r="G65" s="11"/>
      <c r="H65" s="63"/>
      <c r="I65" s="63"/>
      <c r="J65" s="63"/>
      <c r="K65" s="63"/>
      <c r="L65" s="11"/>
      <c r="M65" s="64" t="n">
        <f aca="true">IF(OR(B65="",H65="",I65=""),0,IF(TODAY()&lt;H65,0,IF(TODAY()&gt;=I65,100,(TODAY()-H65)/(I65-H65)*100)))</f>
        <v>0</v>
      </c>
      <c r="N65" s="65" t="n">
        <v>0</v>
      </c>
      <c r="O65" s="66"/>
      <c r="P65" s="66"/>
      <c r="Q65" s="67" t="str">
        <f aca="true">IF(B65="","",IF(K65&lt;&gt;"",IF(K65&lt;=I65,"Terminé à temps","Terminé hors délai"),IF(N65=0,IF(TODAY()&lt;H65,"En attente",IF(TODAY()&gt;I65+30,"Critique","En retard")),IF(N65&gt;=M65,"À temps",IF(N65&gt;=M65*0.8,"À surveiller",IF(N65&gt;=M65*0.5,"En retard","Critique"))))))</f>
        <v/>
      </c>
      <c r="R65" s="68" t="n">
        <f aca="false">IFERROR(IF(Q65="Terminé à temps",100,IF(Q65="Terminé hors délai",75,IF(Q65="À temps",50,IF(Q65="À surveiller",40,IF(Q65="En retard",25,IF(Q65="Critique",10,IF(Q65="En attente",50,0))))))),0)</f>
        <v>0</v>
      </c>
      <c r="S65" s="11"/>
      <c r="T65" s="69"/>
      <c r="U65" s="70" t="n">
        <f aca="false">IFERROR(IF(T65="",0,T65*N65/100),0)</f>
        <v>0</v>
      </c>
      <c r="V65" s="11"/>
    </row>
    <row r="66" customFormat="false" ht="24" hidden="false" customHeight="true" outlineLevel="0" collapsed="false">
      <c r="B66" s="7"/>
      <c r="C66" s="7"/>
      <c r="D66" s="7"/>
      <c r="E66" s="7"/>
      <c r="F66" s="7"/>
      <c r="G66" s="7"/>
      <c r="H66" s="71"/>
      <c r="I66" s="71"/>
      <c r="J66" s="71"/>
      <c r="K66" s="71"/>
      <c r="L66" s="7"/>
      <c r="M66" s="64" t="n">
        <f aca="true">IF(OR(B66="",H66="",I66=""),0,IF(TODAY()&lt;H66,0,IF(TODAY()&gt;=I66,100,(TODAY()-H66)/(I66-H66)*100)))</f>
        <v>0</v>
      </c>
      <c r="N66" s="72" t="n">
        <v>0</v>
      </c>
      <c r="O66" s="73"/>
      <c r="P66" s="73"/>
      <c r="Q66" s="67" t="str">
        <f aca="true">IF(B66="","",IF(K66&lt;&gt;"",IF(K66&lt;=I66,"Terminé à temps","Terminé hors délai"),IF(N66=0,IF(TODAY()&lt;H66,"En attente",IF(TODAY()&gt;I66+30,"Critique","En retard")),IF(N66&gt;=M66,"À temps",IF(N66&gt;=M66*0.8,"À surveiller",IF(N66&gt;=M66*0.5,"En retard","Critique"))))))</f>
        <v/>
      </c>
      <c r="R66" s="68" t="n">
        <f aca="false">IFERROR(IF(Q66="Terminé à temps",100,IF(Q66="Terminé hors délai",75,IF(Q66="À temps",50,IF(Q66="À surveiller",40,IF(Q66="En retard",25,IF(Q66="Critique",10,IF(Q66="En attente",50,0))))))),0)</f>
        <v>0</v>
      </c>
      <c r="S66" s="7"/>
      <c r="T66" s="74"/>
      <c r="U66" s="70" t="n">
        <f aca="false">IFERROR(IF(T66="",0,T66*N66/100),0)</f>
        <v>0</v>
      </c>
      <c r="V66" s="7"/>
    </row>
    <row r="67" customFormat="false" ht="24" hidden="false" customHeight="true" outlineLevel="0" collapsed="false">
      <c r="B67" s="11"/>
      <c r="C67" s="11"/>
      <c r="D67" s="11"/>
      <c r="E67" s="11"/>
      <c r="F67" s="11"/>
      <c r="G67" s="11"/>
      <c r="H67" s="63"/>
      <c r="I67" s="63"/>
      <c r="J67" s="63"/>
      <c r="K67" s="63"/>
      <c r="L67" s="11"/>
      <c r="M67" s="64" t="n">
        <f aca="true">IF(OR(B67="",H67="",I67=""),0,IF(TODAY()&lt;H67,0,IF(TODAY()&gt;=I67,100,(TODAY()-H67)/(I67-H67)*100)))</f>
        <v>0</v>
      </c>
      <c r="N67" s="65" t="n">
        <v>0</v>
      </c>
      <c r="O67" s="66"/>
      <c r="P67" s="66"/>
      <c r="Q67" s="67" t="str">
        <f aca="true">IF(B67="","",IF(K67&lt;&gt;"",IF(K67&lt;=I67,"Terminé à temps","Terminé hors délai"),IF(N67=0,IF(TODAY()&lt;H67,"En attente",IF(TODAY()&gt;I67+30,"Critique","En retard")),IF(N67&gt;=M67,"À temps",IF(N67&gt;=M67*0.8,"À surveiller",IF(N67&gt;=M67*0.5,"En retard","Critique"))))))</f>
        <v/>
      </c>
      <c r="R67" s="68" t="n">
        <f aca="false">IFERROR(IF(Q67="Terminé à temps",100,IF(Q67="Terminé hors délai",75,IF(Q67="À temps",50,IF(Q67="À surveiller",40,IF(Q67="En retard",25,IF(Q67="Critique",10,IF(Q67="En attente",50,0))))))),0)</f>
        <v>0</v>
      </c>
      <c r="S67" s="11"/>
      <c r="T67" s="69"/>
      <c r="U67" s="70" t="n">
        <f aca="false">IFERROR(IF(T67="",0,T67*N67/100),0)</f>
        <v>0</v>
      </c>
      <c r="V67" s="11"/>
    </row>
    <row r="68" customFormat="false" ht="24" hidden="false" customHeight="true" outlineLevel="0" collapsed="false">
      <c r="B68" s="7"/>
      <c r="C68" s="7"/>
      <c r="D68" s="7"/>
      <c r="E68" s="7"/>
      <c r="F68" s="7"/>
      <c r="G68" s="7"/>
      <c r="H68" s="71"/>
      <c r="I68" s="71"/>
      <c r="J68" s="71"/>
      <c r="K68" s="71"/>
      <c r="L68" s="7"/>
      <c r="M68" s="64" t="n">
        <f aca="true">IF(OR(B68="",H68="",I68=""),0,IF(TODAY()&lt;H68,0,IF(TODAY()&gt;=I68,100,(TODAY()-H68)/(I68-H68)*100)))</f>
        <v>0</v>
      </c>
      <c r="N68" s="72" t="n">
        <v>0</v>
      </c>
      <c r="O68" s="73"/>
      <c r="P68" s="73"/>
      <c r="Q68" s="67" t="str">
        <f aca="true">IF(B68="","",IF(K68&lt;&gt;"",IF(K68&lt;=I68,"Terminé à temps","Terminé hors délai"),IF(N68=0,IF(TODAY()&lt;H68,"En attente",IF(TODAY()&gt;I68+30,"Critique","En retard")),IF(N68&gt;=M68,"À temps",IF(N68&gt;=M68*0.8,"À surveiller",IF(N68&gt;=M68*0.5,"En retard","Critique"))))))</f>
        <v/>
      </c>
      <c r="R68" s="68" t="n">
        <f aca="false">IFERROR(IF(Q68="Terminé à temps",100,IF(Q68="Terminé hors délai",75,IF(Q68="À temps",50,IF(Q68="À surveiller",40,IF(Q68="En retard",25,IF(Q68="Critique",10,IF(Q68="En attente",50,0))))))),0)</f>
        <v>0</v>
      </c>
      <c r="S68" s="7"/>
      <c r="T68" s="74"/>
      <c r="U68" s="70" t="n">
        <f aca="false">IFERROR(IF(T68="",0,T68*N68/100),0)</f>
        <v>0</v>
      </c>
      <c r="V68" s="7"/>
    </row>
    <row r="69" customFormat="false" ht="24" hidden="false" customHeight="true" outlineLevel="0" collapsed="false">
      <c r="B69" s="11"/>
      <c r="C69" s="11"/>
      <c r="D69" s="11"/>
      <c r="E69" s="11"/>
      <c r="F69" s="11"/>
      <c r="G69" s="11"/>
      <c r="H69" s="63"/>
      <c r="I69" s="63"/>
      <c r="J69" s="63"/>
      <c r="K69" s="63"/>
      <c r="L69" s="11"/>
      <c r="M69" s="64" t="n">
        <f aca="true">IF(OR(B69="",H69="",I69=""),0,IF(TODAY()&lt;H69,0,IF(TODAY()&gt;=I69,100,(TODAY()-H69)/(I69-H69)*100)))</f>
        <v>0</v>
      </c>
      <c r="N69" s="65" t="n">
        <v>0</v>
      </c>
      <c r="O69" s="66"/>
      <c r="P69" s="66"/>
      <c r="Q69" s="67" t="str">
        <f aca="true">IF(B69="","",IF(K69&lt;&gt;"",IF(K69&lt;=I69,"Terminé à temps","Terminé hors délai"),IF(N69=0,IF(TODAY()&lt;H69,"En attente",IF(TODAY()&gt;I69+30,"Critique","En retard")),IF(N69&gt;=M69,"À temps",IF(N69&gt;=M69*0.8,"À surveiller",IF(N69&gt;=M69*0.5,"En retard","Critique"))))))</f>
        <v/>
      </c>
      <c r="R69" s="68" t="n">
        <f aca="false">IFERROR(IF(Q69="Terminé à temps",100,IF(Q69="Terminé hors délai",75,IF(Q69="À temps",50,IF(Q69="À surveiller",40,IF(Q69="En retard",25,IF(Q69="Critique",10,IF(Q69="En attente",50,0))))))),0)</f>
        <v>0</v>
      </c>
      <c r="S69" s="11"/>
      <c r="T69" s="69"/>
      <c r="U69" s="70" t="n">
        <f aca="false">IFERROR(IF(T69="",0,T69*N69/100),0)</f>
        <v>0</v>
      </c>
      <c r="V69" s="11"/>
    </row>
    <row r="70" customFormat="false" ht="24" hidden="false" customHeight="true" outlineLevel="0" collapsed="false">
      <c r="B70" s="7"/>
      <c r="C70" s="7"/>
      <c r="D70" s="7"/>
      <c r="E70" s="7"/>
      <c r="F70" s="7"/>
      <c r="G70" s="7"/>
      <c r="H70" s="71"/>
      <c r="I70" s="71"/>
      <c r="J70" s="71"/>
      <c r="K70" s="71"/>
      <c r="L70" s="7"/>
      <c r="M70" s="64" t="n">
        <f aca="true">IF(OR(B70="",H70="",I70=""),0,IF(TODAY()&lt;H70,0,IF(TODAY()&gt;=I70,100,(TODAY()-H70)/(I70-H70)*100)))</f>
        <v>0</v>
      </c>
      <c r="N70" s="72" t="n">
        <v>0</v>
      </c>
      <c r="O70" s="73"/>
      <c r="P70" s="73"/>
      <c r="Q70" s="67" t="str">
        <f aca="true">IF(B70="","",IF(K70&lt;&gt;"",IF(K70&lt;=I70,"Terminé à temps","Terminé hors délai"),IF(N70=0,IF(TODAY()&lt;H70,"En attente",IF(TODAY()&gt;I70+30,"Critique","En retard")),IF(N70&gt;=M70,"À temps",IF(N70&gt;=M70*0.8,"À surveiller",IF(N70&gt;=M70*0.5,"En retard","Critique"))))))</f>
        <v/>
      </c>
      <c r="R70" s="68" t="n">
        <f aca="false">IFERROR(IF(Q70="Terminé à temps",100,IF(Q70="Terminé hors délai",75,IF(Q70="À temps",50,IF(Q70="À surveiller",40,IF(Q70="En retard",25,IF(Q70="Critique",10,IF(Q70="En attente",50,0))))))),0)</f>
        <v>0</v>
      </c>
      <c r="S70" s="7"/>
      <c r="T70" s="74"/>
      <c r="U70" s="70" t="n">
        <f aca="false">IFERROR(IF(T70="",0,T70*N70/100),0)</f>
        <v>0</v>
      </c>
      <c r="V70" s="7"/>
    </row>
    <row r="71" customFormat="false" ht="24" hidden="false" customHeight="true" outlineLevel="0" collapsed="false">
      <c r="B71" s="11"/>
      <c r="C71" s="11"/>
      <c r="D71" s="11"/>
      <c r="E71" s="11"/>
      <c r="F71" s="11"/>
      <c r="G71" s="11"/>
      <c r="H71" s="63"/>
      <c r="I71" s="63"/>
      <c r="J71" s="63"/>
      <c r="K71" s="63"/>
      <c r="L71" s="11"/>
      <c r="M71" s="64" t="n">
        <f aca="true">IF(OR(B71="",H71="",I71=""),0,IF(TODAY()&lt;H71,0,IF(TODAY()&gt;=I71,100,(TODAY()-H71)/(I71-H71)*100)))</f>
        <v>0</v>
      </c>
      <c r="N71" s="65" t="n">
        <v>0</v>
      </c>
      <c r="O71" s="66"/>
      <c r="P71" s="66"/>
      <c r="Q71" s="67" t="str">
        <f aca="true">IF(B71="","",IF(K71&lt;&gt;"",IF(K71&lt;=I71,"Terminé à temps","Terminé hors délai"),IF(N71=0,IF(TODAY()&lt;H71,"En attente",IF(TODAY()&gt;I71+30,"Critique","En retard")),IF(N71&gt;=M71,"À temps",IF(N71&gt;=M71*0.8,"À surveiller",IF(N71&gt;=M71*0.5,"En retard","Critique"))))))</f>
        <v/>
      </c>
      <c r="R71" s="68" t="n">
        <f aca="false">IFERROR(IF(Q71="Terminé à temps",100,IF(Q71="Terminé hors délai",75,IF(Q71="À temps",50,IF(Q71="À surveiller",40,IF(Q71="En retard",25,IF(Q71="Critique",10,IF(Q71="En attente",50,0))))))),0)</f>
        <v>0</v>
      </c>
      <c r="S71" s="11"/>
      <c r="T71" s="69"/>
      <c r="U71" s="70" t="n">
        <f aca="false">IFERROR(IF(T71="",0,T71*N71/100),0)</f>
        <v>0</v>
      </c>
      <c r="V71" s="11"/>
    </row>
    <row r="72" customFormat="false" ht="24" hidden="false" customHeight="true" outlineLevel="0" collapsed="false">
      <c r="B72" s="7"/>
      <c r="C72" s="7"/>
      <c r="D72" s="7"/>
      <c r="E72" s="7"/>
      <c r="F72" s="7"/>
      <c r="G72" s="7"/>
      <c r="H72" s="71"/>
      <c r="I72" s="71"/>
      <c r="J72" s="71"/>
      <c r="K72" s="71"/>
      <c r="L72" s="7"/>
      <c r="M72" s="64" t="n">
        <f aca="true">IF(OR(B72="",H72="",I72=""),0,IF(TODAY()&lt;H72,0,IF(TODAY()&gt;=I72,100,(TODAY()-H72)/(I72-H72)*100)))</f>
        <v>0</v>
      </c>
      <c r="N72" s="72" t="n">
        <v>0</v>
      </c>
      <c r="O72" s="73"/>
      <c r="P72" s="73"/>
      <c r="Q72" s="67" t="str">
        <f aca="true">IF(B72="","",IF(K72&lt;&gt;"",IF(K72&lt;=I72,"Terminé à temps","Terminé hors délai"),IF(N72=0,IF(TODAY()&lt;H72,"En attente",IF(TODAY()&gt;I72+30,"Critique","En retard")),IF(N72&gt;=M72,"À temps",IF(N72&gt;=M72*0.8,"À surveiller",IF(N72&gt;=M72*0.5,"En retard","Critique"))))))</f>
        <v/>
      </c>
      <c r="R72" s="68" t="n">
        <f aca="false">IFERROR(IF(Q72="Terminé à temps",100,IF(Q72="Terminé hors délai",75,IF(Q72="À temps",50,IF(Q72="À surveiller",40,IF(Q72="En retard",25,IF(Q72="Critique",10,IF(Q72="En attente",50,0))))))),0)</f>
        <v>0</v>
      </c>
      <c r="S72" s="7"/>
      <c r="T72" s="74"/>
      <c r="U72" s="70" t="n">
        <f aca="false">IFERROR(IF(T72="",0,T72*N72/100),0)</f>
        <v>0</v>
      </c>
      <c r="V72" s="7"/>
    </row>
    <row r="73" customFormat="false" ht="24" hidden="false" customHeight="true" outlineLevel="0" collapsed="false">
      <c r="B73" s="11"/>
      <c r="C73" s="11"/>
      <c r="D73" s="11"/>
      <c r="E73" s="11"/>
      <c r="F73" s="11"/>
      <c r="G73" s="11"/>
      <c r="H73" s="63"/>
      <c r="I73" s="63"/>
      <c r="J73" s="63"/>
      <c r="K73" s="63"/>
      <c r="L73" s="11"/>
      <c r="M73" s="64" t="n">
        <f aca="true">IF(OR(B73="",H73="",I73=""),0,IF(TODAY()&lt;H73,0,IF(TODAY()&gt;=I73,100,(TODAY()-H73)/(I73-H73)*100)))</f>
        <v>0</v>
      </c>
      <c r="N73" s="65" t="n">
        <v>0</v>
      </c>
      <c r="O73" s="66"/>
      <c r="P73" s="66"/>
      <c r="Q73" s="67" t="str">
        <f aca="true">IF(B73="","",IF(K73&lt;&gt;"",IF(K73&lt;=I73,"Terminé à temps","Terminé hors délai"),IF(N73=0,IF(TODAY()&lt;H73,"En attente",IF(TODAY()&gt;I73+30,"Critique","En retard")),IF(N73&gt;=M73,"À temps",IF(N73&gt;=M73*0.8,"À surveiller",IF(N73&gt;=M73*0.5,"En retard","Critique"))))))</f>
        <v/>
      </c>
      <c r="R73" s="68" t="n">
        <f aca="false">IFERROR(IF(Q73="Terminé à temps",100,IF(Q73="Terminé hors délai",75,IF(Q73="À temps",50,IF(Q73="À surveiller",40,IF(Q73="En retard",25,IF(Q73="Critique",10,IF(Q73="En attente",50,0))))))),0)</f>
        <v>0</v>
      </c>
      <c r="S73" s="11"/>
      <c r="T73" s="69"/>
      <c r="U73" s="70" t="n">
        <f aca="false">IFERROR(IF(T73="",0,T73*N73/100),0)</f>
        <v>0</v>
      </c>
      <c r="V73" s="11"/>
    </row>
    <row r="74" customFormat="false" ht="24" hidden="false" customHeight="true" outlineLevel="0" collapsed="false">
      <c r="B74" s="7"/>
      <c r="C74" s="7"/>
      <c r="D74" s="7"/>
      <c r="E74" s="7"/>
      <c r="F74" s="7"/>
      <c r="G74" s="7"/>
      <c r="H74" s="71"/>
      <c r="I74" s="71"/>
      <c r="J74" s="71"/>
      <c r="K74" s="71"/>
      <c r="L74" s="7"/>
      <c r="M74" s="64" t="n">
        <f aca="true">IF(OR(B74="",H74="",I74=""),0,IF(TODAY()&lt;H74,0,IF(TODAY()&gt;=I74,100,(TODAY()-H74)/(I74-H74)*100)))</f>
        <v>0</v>
      </c>
      <c r="N74" s="72" t="n">
        <v>0</v>
      </c>
      <c r="O74" s="73"/>
      <c r="P74" s="73"/>
      <c r="Q74" s="67" t="str">
        <f aca="true">IF(B74="","",IF(K74&lt;&gt;"",IF(K74&lt;=I74,"Terminé à temps","Terminé hors délai"),IF(N74=0,IF(TODAY()&lt;H74,"En attente",IF(TODAY()&gt;I74+30,"Critique","En retard")),IF(N74&gt;=M74,"À temps",IF(N74&gt;=M74*0.8,"À surveiller",IF(N74&gt;=M74*0.5,"En retard","Critique"))))))</f>
        <v/>
      </c>
      <c r="R74" s="68" t="n">
        <f aca="false">IFERROR(IF(Q74="Terminé à temps",100,IF(Q74="Terminé hors délai",75,IF(Q74="À temps",50,IF(Q74="À surveiller",40,IF(Q74="En retard",25,IF(Q74="Critique",10,IF(Q74="En attente",50,0))))))),0)</f>
        <v>0</v>
      </c>
      <c r="S74" s="7"/>
      <c r="T74" s="74"/>
      <c r="U74" s="70" t="n">
        <f aca="false">IFERROR(IF(T74="",0,T74*N74/100),0)</f>
        <v>0</v>
      </c>
      <c r="V74" s="7"/>
    </row>
    <row r="75" customFormat="false" ht="24" hidden="false" customHeight="true" outlineLevel="0" collapsed="false">
      <c r="B75" s="11"/>
      <c r="C75" s="11"/>
      <c r="D75" s="11"/>
      <c r="E75" s="11"/>
      <c r="F75" s="11"/>
      <c r="G75" s="11"/>
      <c r="H75" s="63"/>
      <c r="I75" s="63"/>
      <c r="J75" s="63"/>
      <c r="K75" s="63"/>
      <c r="L75" s="11"/>
      <c r="M75" s="64" t="n">
        <f aca="true">IF(OR(B75="",H75="",I75=""),0,IF(TODAY()&lt;H75,0,IF(TODAY()&gt;=I75,100,(TODAY()-H75)/(I75-H75)*100)))</f>
        <v>0</v>
      </c>
      <c r="N75" s="65" t="n">
        <v>0</v>
      </c>
      <c r="O75" s="66"/>
      <c r="P75" s="66"/>
      <c r="Q75" s="67" t="str">
        <f aca="true">IF(B75="","",IF(K75&lt;&gt;"",IF(K75&lt;=I75,"Terminé à temps","Terminé hors délai"),IF(N75=0,IF(TODAY()&lt;H75,"En attente",IF(TODAY()&gt;I75+30,"Critique","En retard")),IF(N75&gt;=M75,"À temps",IF(N75&gt;=M75*0.8,"À surveiller",IF(N75&gt;=M75*0.5,"En retard","Critique"))))))</f>
        <v/>
      </c>
      <c r="R75" s="68" t="n">
        <f aca="false">IFERROR(IF(Q75="Terminé à temps",100,IF(Q75="Terminé hors délai",75,IF(Q75="À temps",50,IF(Q75="À surveiller",40,IF(Q75="En retard",25,IF(Q75="Critique",10,IF(Q75="En attente",50,0))))))),0)</f>
        <v>0</v>
      </c>
      <c r="S75" s="11"/>
      <c r="T75" s="69"/>
      <c r="U75" s="70" t="n">
        <f aca="false">IFERROR(IF(T75="",0,T75*N75/100),0)</f>
        <v>0</v>
      </c>
      <c r="V75" s="11"/>
    </row>
    <row r="76" customFormat="false" ht="24" hidden="false" customHeight="true" outlineLevel="0" collapsed="false">
      <c r="B76" s="7"/>
      <c r="C76" s="7"/>
      <c r="D76" s="7"/>
      <c r="E76" s="7"/>
      <c r="F76" s="7"/>
      <c r="G76" s="7"/>
      <c r="H76" s="71"/>
      <c r="I76" s="71"/>
      <c r="J76" s="71"/>
      <c r="K76" s="71"/>
      <c r="L76" s="7"/>
      <c r="M76" s="64" t="n">
        <f aca="true">IF(OR(B76="",H76="",I76=""),0,IF(TODAY()&lt;H76,0,IF(TODAY()&gt;=I76,100,(TODAY()-H76)/(I76-H76)*100)))</f>
        <v>0</v>
      </c>
      <c r="N76" s="72" t="n">
        <v>0</v>
      </c>
      <c r="O76" s="73"/>
      <c r="P76" s="73"/>
      <c r="Q76" s="67" t="str">
        <f aca="true">IF(B76="","",IF(K76&lt;&gt;"",IF(K76&lt;=I76,"Terminé à temps","Terminé hors délai"),IF(N76=0,IF(TODAY()&lt;H76,"En attente",IF(TODAY()&gt;I76+30,"Critique","En retard")),IF(N76&gt;=M76,"À temps",IF(N76&gt;=M76*0.8,"À surveiller",IF(N76&gt;=M76*0.5,"En retard","Critique"))))))</f>
        <v/>
      </c>
      <c r="R76" s="68" t="n">
        <f aca="false">IFERROR(IF(Q76="Terminé à temps",100,IF(Q76="Terminé hors délai",75,IF(Q76="À temps",50,IF(Q76="À surveiller",40,IF(Q76="En retard",25,IF(Q76="Critique",10,IF(Q76="En attente",50,0))))))),0)</f>
        <v>0</v>
      </c>
      <c r="S76" s="7"/>
      <c r="T76" s="74"/>
      <c r="U76" s="70" t="n">
        <f aca="false">IFERROR(IF(T76="",0,T76*N76/100),0)</f>
        <v>0</v>
      </c>
      <c r="V76" s="7"/>
    </row>
    <row r="77" customFormat="false" ht="24" hidden="false" customHeight="true" outlineLevel="0" collapsed="false">
      <c r="B77" s="11"/>
      <c r="C77" s="11"/>
      <c r="D77" s="11"/>
      <c r="E77" s="11"/>
      <c r="F77" s="11"/>
      <c r="G77" s="11"/>
      <c r="H77" s="63"/>
      <c r="I77" s="63"/>
      <c r="J77" s="63"/>
      <c r="K77" s="63"/>
      <c r="L77" s="11"/>
      <c r="M77" s="64" t="n">
        <f aca="true">IF(OR(B77="",H77="",I77=""),0,IF(TODAY()&lt;H77,0,IF(TODAY()&gt;=I77,100,(TODAY()-H77)/(I77-H77)*100)))</f>
        <v>0</v>
      </c>
      <c r="N77" s="65" t="n">
        <v>0</v>
      </c>
      <c r="O77" s="66"/>
      <c r="P77" s="66"/>
      <c r="Q77" s="67" t="str">
        <f aca="true">IF(B77="","",IF(K77&lt;&gt;"",IF(K77&lt;=I77,"Terminé à temps","Terminé hors délai"),IF(N77=0,IF(TODAY()&lt;H77,"En attente",IF(TODAY()&gt;I77+30,"Critique","En retard")),IF(N77&gt;=M77,"À temps",IF(N77&gt;=M77*0.8,"À surveiller",IF(N77&gt;=M77*0.5,"En retard","Critique"))))))</f>
        <v/>
      </c>
      <c r="R77" s="68" t="n">
        <f aca="false">IFERROR(IF(Q77="Terminé à temps",100,IF(Q77="Terminé hors délai",75,IF(Q77="À temps",50,IF(Q77="À surveiller",40,IF(Q77="En retard",25,IF(Q77="Critique",10,IF(Q77="En attente",50,0))))))),0)</f>
        <v>0</v>
      </c>
      <c r="S77" s="11"/>
      <c r="T77" s="69"/>
      <c r="U77" s="70" t="n">
        <f aca="false">IFERROR(IF(T77="",0,T77*N77/100),0)</f>
        <v>0</v>
      </c>
      <c r="V77" s="11"/>
    </row>
    <row r="78" customFormat="false" ht="24" hidden="false" customHeight="true" outlineLevel="0" collapsed="false">
      <c r="B78" s="7"/>
      <c r="C78" s="7"/>
      <c r="D78" s="7"/>
      <c r="E78" s="7"/>
      <c r="F78" s="7"/>
      <c r="G78" s="7"/>
      <c r="H78" s="71"/>
      <c r="I78" s="71"/>
      <c r="J78" s="71"/>
      <c r="K78" s="71"/>
      <c r="L78" s="7"/>
      <c r="M78" s="64" t="n">
        <f aca="true">IF(OR(B78="",H78="",I78=""),0,IF(TODAY()&lt;H78,0,IF(TODAY()&gt;=I78,100,(TODAY()-H78)/(I78-H78)*100)))</f>
        <v>0</v>
      </c>
      <c r="N78" s="72" t="n">
        <v>0</v>
      </c>
      <c r="O78" s="73"/>
      <c r="P78" s="73"/>
      <c r="Q78" s="67" t="str">
        <f aca="true">IF(B78="","",IF(K78&lt;&gt;"",IF(K78&lt;=I78,"Terminé à temps","Terminé hors délai"),IF(N78=0,IF(TODAY()&lt;H78,"En attente",IF(TODAY()&gt;I78+30,"Critique","En retard")),IF(N78&gt;=M78,"À temps",IF(N78&gt;=M78*0.8,"À surveiller",IF(N78&gt;=M78*0.5,"En retard","Critique"))))))</f>
        <v/>
      </c>
      <c r="R78" s="68" t="n">
        <f aca="false">IFERROR(IF(Q78="Terminé à temps",100,IF(Q78="Terminé hors délai",75,IF(Q78="À temps",50,IF(Q78="À surveiller",40,IF(Q78="En retard",25,IF(Q78="Critique",10,IF(Q78="En attente",50,0))))))),0)</f>
        <v>0</v>
      </c>
      <c r="S78" s="7"/>
      <c r="T78" s="74"/>
      <c r="U78" s="70" t="n">
        <f aca="false">IFERROR(IF(T78="",0,T78*N78/100),0)</f>
        <v>0</v>
      </c>
      <c r="V78" s="7"/>
    </row>
    <row r="79" customFormat="false" ht="24" hidden="false" customHeight="true" outlineLevel="0" collapsed="false">
      <c r="B79" s="11"/>
      <c r="C79" s="11"/>
      <c r="D79" s="11"/>
      <c r="E79" s="11"/>
      <c r="F79" s="11"/>
      <c r="G79" s="11"/>
      <c r="H79" s="63"/>
      <c r="I79" s="63"/>
      <c r="J79" s="63"/>
      <c r="K79" s="63"/>
      <c r="L79" s="11"/>
      <c r="M79" s="64" t="n">
        <f aca="true">IF(OR(B79="",H79="",I79=""),0,IF(TODAY()&lt;H79,0,IF(TODAY()&gt;=I79,100,(TODAY()-H79)/(I79-H79)*100)))</f>
        <v>0</v>
      </c>
      <c r="N79" s="65" t="n">
        <v>0</v>
      </c>
      <c r="O79" s="66"/>
      <c r="P79" s="66"/>
      <c r="Q79" s="67" t="str">
        <f aca="true">IF(B79="","",IF(K79&lt;&gt;"",IF(K79&lt;=I79,"Terminé à temps","Terminé hors délai"),IF(N79=0,IF(TODAY()&lt;H79,"En attente",IF(TODAY()&gt;I79+30,"Critique","En retard")),IF(N79&gt;=M79,"À temps",IF(N79&gt;=M79*0.8,"À surveiller",IF(N79&gt;=M79*0.5,"En retard","Critique"))))))</f>
        <v/>
      </c>
      <c r="R79" s="68" t="n">
        <f aca="false">IFERROR(IF(Q79="Terminé à temps",100,IF(Q79="Terminé hors délai",75,IF(Q79="À temps",50,IF(Q79="À surveiller",40,IF(Q79="En retard",25,IF(Q79="Critique",10,IF(Q79="En attente",50,0))))))),0)</f>
        <v>0</v>
      </c>
      <c r="S79" s="11"/>
      <c r="T79" s="69"/>
      <c r="U79" s="70" t="n">
        <f aca="false">IFERROR(IF(T79="",0,T79*N79/100),0)</f>
        <v>0</v>
      </c>
      <c r="V79" s="11"/>
    </row>
    <row r="80" customFormat="false" ht="24" hidden="false" customHeight="true" outlineLevel="0" collapsed="false">
      <c r="B80" s="7"/>
      <c r="C80" s="7"/>
      <c r="D80" s="7"/>
      <c r="E80" s="7"/>
      <c r="F80" s="7"/>
      <c r="G80" s="7"/>
      <c r="H80" s="71"/>
      <c r="I80" s="71"/>
      <c r="J80" s="71"/>
      <c r="K80" s="71"/>
      <c r="L80" s="7"/>
      <c r="M80" s="64" t="n">
        <f aca="true">IF(OR(B80="",H80="",I80=""),0,IF(TODAY()&lt;H80,0,IF(TODAY()&gt;=I80,100,(TODAY()-H80)/(I80-H80)*100)))</f>
        <v>0</v>
      </c>
      <c r="N80" s="72" t="n">
        <v>0</v>
      </c>
      <c r="O80" s="73"/>
      <c r="P80" s="73"/>
      <c r="Q80" s="67" t="str">
        <f aca="true">IF(B80="","",IF(K80&lt;&gt;"",IF(K80&lt;=I80,"Terminé à temps","Terminé hors délai"),IF(N80=0,IF(TODAY()&lt;H80,"En attente",IF(TODAY()&gt;I80+30,"Critique","En retard")),IF(N80&gt;=M80,"À temps",IF(N80&gt;=M80*0.8,"À surveiller",IF(N80&gt;=M80*0.5,"En retard","Critique"))))))</f>
        <v/>
      </c>
      <c r="R80" s="68" t="n">
        <f aca="false">IFERROR(IF(Q80="Terminé à temps",100,IF(Q80="Terminé hors délai",75,IF(Q80="À temps",50,IF(Q80="À surveiller",40,IF(Q80="En retard",25,IF(Q80="Critique",10,IF(Q80="En attente",50,0))))))),0)</f>
        <v>0</v>
      </c>
      <c r="S80" s="7"/>
      <c r="T80" s="74"/>
      <c r="U80" s="70" t="n">
        <f aca="false">IFERROR(IF(T80="",0,T80*N80/100),0)</f>
        <v>0</v>
      </c>
      <c r="V80" s="7"/>
    </row>
    <row r="81" customFormat="false" ht="24" hidden="false" customHeight="true" outlineLevel="0" collapsed="false">
      <c r="B81" s="11"/>
      <c r="C81" s="11"/>
      <c r="D81" s="11"/>
      <c r="E81" s="11"/>
      <c r="F81" s="11"/>
      <c r="G81" s="11"/>
      <c r="H81" s="63"/>
      <c r="I81" s="63"/>
      <c r="J81" s="63"/>
      <c r="K81" s="63"/>
      <c r="L81" s="11"/>
      <c r="M81" s="64" t="n">
        <f aca="true">IF(OR(B81="",H81="",I81=""),0,IF(TODAY()&lt;H81,0,IF(TODAY()&gt;=I81,100,(TODAY()-H81)/(I81-H81)*100)))</f>
        <v>0</v>
      </c>
      <c r="N81" s="65" t="n">
        <v>0</v>
      </c>
      <c r="O81" s="66"/>
      <c r="P81" s="66"/>
      <c r="Q81" s="67" t="str">
        <f aca="true">IF(B81="","",IF(K81&lt;&gt;"",IF(K81&lt;=I81,"Terminé à temps","Terminé hors délai"),IF(N81=0,IF(TODAY()&lt;H81,"En attente",IF(TODAY()&gt;I81+30,"Critique","En retard")),IF(N81&gt;=M81,"À temps",IF(N81&gt;=M81*0.8,"À surveiller",IF(N81&gt;=M81*0.5,"En retard","Critique"))))))</f>
        <v/>
      </c>
      <c r="R81" s="68" t="n">
        <f aca="false">IFERROR(IF(Q81="Terminé à temps",100,IF(Q81="Terminé hors délai",75,IF(Q81="À temps",50,IF(Q81="À surveiller",40,IF(Q81="En retard",25,IF(Q81="Critique",10,IF(Q81="En attente",50,0))))))),0)</f>
        <v>0</v>
      </c>
      <c r="S81" s="11"/>
      <c r="T81" s="69"/>
      <c r="U81" s="70" t="n">
        <f aca="false">IFERROR(IF(T81="",0,T81*N81/100),0)</f>
        <v>0</v>
      </c>
      <c r="V81" s="11"/>
    </row>
    <row r="82" customFormat="false" ht="24" hidden="false" customHeight="true" outlineLevel="0" collapsed="false">
      <c r="B82" s="7"/>
      <c r="C82" s="7"/>
      <c r="D82" s="7"/>
      <c r="E82" s="7"/>
      <c r="F82" s="7"/>
      <c r="G82" s="7"/>
      <c r="H82" s="71"/>
      <c r="I82" s="71"/>
      <c r="J82" s="71"/>
      <c r="K82" s="71"/>
      <c r="L82" s="7"/>
      <c r="M82" s="64" t="n">
        <f aca="true">IF(OR(B82="",H82="",I82=""),0,IF(TODAY()&lt;H82,0,IF(TODAY()&gt;=I82,100,(TODAY()-H82)/(I82-H82)*100)))</f>
        <v>0</v>
      </c>
      <c r="N82" s="72" t="n">
        <v>0</v>
      </c>
      <c r="O82" s="73"/>
      <c r="P82" s="73"/>
      <c r="Q82" s="67" t="str">
        <f aca="true">IF(B82="","",IF(K82&lt;&gt;"",IF(K82&lt;=I82,"Terminé à temps","Terminé hors délai"),IF(N82=0,IF(TODAY()&lt;H82,"En attente",IF(TODAY()&gt;I82+30,"Critique","En retard")),IF(N82&gt;=M82,"À temps",IF(N82&gt;=M82*0.8,"À surveiller",IF(N82&gt;=M82*0.5,"En retard","Critique"))))))</f>
        <v/>
      </c>
      <c r="R82" s="68" t="n">
        <f aca="false">IFERROR(IF(Q82="Terminé à temps",100,IF(Q82="Terminé hors délai",75,IF(Q82="À temps",50,IF(Q82="À surveiller",40,IF(Q82="En retard",25,IF(Q82="Critique",10,IF(Q82="En attente",50,0))))))),0)</f>
        <v>0</v>
      </c>
      <c r="S82" s="7"/>
      <c r="T82" s="74"/>
      <c r="U82" s="70" t="n">
        <f aca="false">IFERROR(IF(T82="",0,T82*N82/100),0)</f>
        <v>0</v>
      </c>
      <c r="V82" s="7"/>
    </row>
    <row r="83" customFormat="false" ht="24" hidden="false" customHeight="true" outlineLevel="0" collapsed="false">
      <c r="B83" s="11"/>
      <c r="C83" s="11"/>
      <c r="D83" s="11"/>
      <c r="E83" s="11"/>
      <c r="F83" s="11"/>
      <c r="G83" s="11"/>
      <c r="H83" s="63"/>
      <c r="I83" s="63"/>
      <c r="J83" s="63"/>
      <c r="K83" s="63"/>
      <c r="L83" s="11"/>
      <c r="M83" s="64" t="n">
        <f aca="true">IF(OR(B83="",H83="",I83=""),0,IF(TODAY()&lt;H83,0,IF(TODAY()&gt;=I83,100,(TODAY()-H83)/(I83-H83)*100)))</f>
        <v>0</v>
      </c>
      <c r="N83" s="65" t="n">
        <v>0</v>
      </c>
      <c r="O83" s="66"/>
      <c r="P83" s="66"/>
      <c r="Q83" s="67" t="str">
        <f aca="true">IF(B83="","",IF(K83&lt;&gt;"",IF(K83&lt;=I83,"Terminé à temps","Terminé hors délai"),IF(N83=0,IF(TODAY()&lt;H83,"En attente",IF(TODAY()&gt;I83+30,"Critique","En retard")),IF(N83&gt;=M83,"À temps",IF(N83&gt;=M83*0.8,"À surveiller",IF(N83&gt;=M83*0.5,"En retard","Critique"))))))</f>
        <v/>
      </c>
      <c r="R83" s="68" t="n">
        <f aca="false">IFERROR(IF(Q83="Terminé à temps",100,IF(Q83="Terminé hors délai",75,IF(Q83="À temps",50,IF(Q83="À surveiller",40,IF(Q83="En retard",25,IF(Q83="Critique",10,IF(Q83="En attente",50,0))))))),0)</f>
        <v>0</v>
      </c>
      <c r="S83" s="11"/>
      <c r="T83" s="69"/>
      <c r="U83" s="70" t="n">
        <f aca="false">IFERROR(IF(T83="",0,T83*N83/100),0)</f>
        <v>0</v>
      </c>
      <c r="V83" s="11"/>
    </row>
    <row r="84" customFormat="false" ht="24" hidden="false" customHeight="true" outlineLevel="0" collapsed="false">
      <c r="B84" s="7"/>
      <c r="C84" s="7"/>
      <c r="D84" s="7"/>
      <c r="E84" s="7"/>
      <c r="F84" s="7"/>
      <c r="G84" s="7"/>
      <c r="H84" s="71"/>
      <c r="I84" s="71"/>
      <c r="J84" s="71"/>
      <c r="K84" s="71"/>
      <c r="L84" s="7"/>
      <c r="M84" s="64" t="n">
        <f aca="true">IF(OR(B84="",H84="",I84=""),0,IF(TODAY()&lt;H84,0,IF(TODAY()&gt;=I84,100,(TODAY()-H84)/(I84-H84)*100)))</f>
        <v>0</v>
      </c>
      <c r="N84" s="72" t="n">
        <v>0</v>
      </c>
      <c r="O84" s="73"/>
      <c r="P84" s="73"/>
      <c r="Q84" s="67" t="str">
        <f aca="true">IF(B84="","",IF(K84&lt;&gt;"",IF(K84&lt;=I84,"Terminé à temps","Terminé hors délai"),IF(N84=0,IF(TODAY()&lt;H84,"En attente",IF(TODAY()&gt;I84+30,"Critique","En retard")),IF(N84&gt;=M84,"À temps",IF(N84&gt;=M84*0.8,"À surveiller",IF(N84&gt;=M84*0.5,"En retard","Critique"))))))</f>
        <v/>
      </c>
      <c r="R84" s="68" t="n">
        <f aca="false">IFERROR(IF(Q84="Terminé à temps",100,IF(Q84="Terminé hors délai",75,IF(Q84="À temps",50,IF(Q84="À surveiller",40,IF(Q84="En retard",25,IF(Q84="Critique",10,IF(Q84="En attente",50,0))))))),0)</f>
        <v>0</v>
      </c>
      <c r="S84" s="7"/>
      <c r="T84" s="74"/>
      <c r="U84" s="70" t="n">
        <f aca="false">IFERROR(IF(T84="",0,T84*N84/100),0)</f>
        <v>0</v>
      </c>
      <c r="V84" s="7"/>
    </row>
    <row r="85" customFormat="false" ht="24" hidden="false" customHeight="true" outlineLevel="0" collapsed="false">
      <c r="B85" s="11"/>
      <c r="C85" s="11"/>
      <c r="D85" s="11"/>
      <c r="E85" s="11"/>
      <c r="F85" s="11"/>
      <c r="G85" s="11"/>
      <c r="H85" s="63"/>
      <c r="I85" s="63"/>
      <c r="J85" s="63"/>
      <c r="K85" s="63"/>
      <c r="L85" s="11"/>
      <c r="M85" s="64" t="n">
        <f aca="true">IF(OR(B85="",H85="",I85=""),0,IF(TODAY()&lt;H85,0,IF(TODAY()&gt;=I85,100,(TODAY()-H85)/(I85-H85)*100)))</f>
        <v>0</v>
      </c>
      <c r="N85" s="65" t="n">
        <v>0</v>
      </c>
      <c r="O85" s="66"/>
      <c r="P85" s="66"/>
      <c r="Q85" s="67" t="str">
        <f aca="true">IF(B85="","",IF(K85&lt;&gt;"",IF(K85&lt;=I85,"Terminé à temps","Terminé hors délai"),IF(N85=0,IF(TODAY()&lt;H85,"En attente",IF(TODAY()&gt;I85+30,"Critique","En retard")),IF(N85&gt;=M85,"À temps",IF(N85&gt;=M85*0.8,"À surveiller",IF(N85&gt;=M85*0.5,"En retard","Critique"))))))</f>
        <v/>
      </c>
      <c r="R85" s="68" t="n">
        <f aca="false">IFERROR(IF(Q85="Terminé à temps",100,IF(Q85="Terminé hors délai",75,IF(Q85="À temps",50,IF(Q85="À surveiller",40,IF(Q85="En retard",25,IF(Q85="Critique",10,IF(Q85="En attente",50,0))))))),0)</f>
        <v>0</v>
      </c>
      <c r="S85" s="11"/>
      <c r="T85" s="69"/>
      <c r="U85" s="70" t="n">
        <f aca="false">IFERROR(IF(T85="",0,T85*N85/100),0)</f>
        <v>0</v>
      </c>
      <c r="V85" s="11"/>
    </row>
    <row r="86" customFormat="false" ht="24" hidden="false" customHeight="true" outlineLevel="0" collapsed="false">
      <c r="B86" s="7"/>
      <c r="C86" s="7"/>
      <c r="D86" s="7"/>
      <c r="E86" s="7"/>
      <c r="F86" s="7"/>
      <c r="G86" s="7"/>
      <c r="H86" s="71"/>
      <c r="I86" s="71"/>
      <c r="J86" s="71"/>
      <c r="K86" s="71"/>
      <c r="L86" s="7"/>
      <c r="M86" s="64" t="n">
        <f aca="true">IF(OR(B86="",H86="",I86=""),0,IF(TODAY()&lt;H86,0,IF(TODAY()&gt;=I86,100,(TODAY()-H86)/(I86-H86)*100)))</f>
        <v>0</v>
      </c>
      <c r="N86" s="72" t="n">
        <v>0</v>
      </c>
      <c r="O86" s="73"/>
      <c r="P86" s="73"/>
      <c r="Q86" s="67" t="str">
        <f aca="true">IF(B86="","",IF(K86&lt;&gt;"",IF(K86&lt;=I86,"Terminé à temps","Terminé hors délai"),IF(N86=0,IF(TODAY()&lt;H86,"En attente",IF(TODAY()&gt;I86+30,"Critique","En retard")),IF(N86&gt;=M86,"À temps",IF(N86&gt;=M86*0.8,"À surveiller",IF(N86&gt;=M86*0.5,"En retard","Critique"))))))</f>
        <v/>
      </c>
      <c r="R86" s="68" t="n">
        <f aca="false">IFERROR(IF(Q86="Terminé à temps",100,IF(Q86="Terminé hors délai",75,IF(Q86="À temps",50,IF(Q86="À surveiller",40,IF(Q86="En retard",25,IF(Q86="Critique",10,IF(Q86="En attente",50,0))))))),0)</f>
        <v>0</v>
      </c>
      <c r="S86" s="7"/>
      <c r="T86" s="74"/>
      <c r="U86" s="70" t="n">
        <f aca="false">IFERROR(IF(T86="",0,T86*N86/100),0)</f>
        <v>0</v>
      </c>
      <c r="V86" s="7"/>
    </row>
    <row r="87" customFormat="false" ht="24" hidden="false" customHeight="true" outlineLevel="0" collapsed="false">
      <c r="B87" s="11"/>
      <c r="C87" s="11"/>
      <c r="D87" s="11"/>
      <c r="E87" s="11"/>
      <c r="F87" s="11"/>
      <c r="G87" s="11"/>
      <c r="H87" s="63"/>
      <c r="I87" s="63"/>
      <c r="J87" s="63"/>
      <c r="K87" s="63"/>
      <c r="L87" s="11"/>
      <c r="M87" s="64" t="n">
        <f aca="true">IF(OR(B87="",H87="",I87=""),0,IF(TODAY()&lt;H87,0,IF(TODAY()&gt;=I87,100,(TODAY()-H87)/(I87-H87)*100)))</f>
        <v>0</v>
      </c>
      <c r="N87" s="65" t="n">
        <v>0</v>
      </c>
      <c r="O87" s="66"/>
      <c r="P87" s="66"/>
      <c r="Q87" s="67" t="str">
        <f aca="true">IF(B87="","",IF(K87&lt;&gt;"",IF(K87&lt;=I87,"Terminé à temps","Terminé hors délai"),IF(N87=0,IF(TODAY()&lt;H87,"En attente",IF(TODAY()&gt;I87+30,"Critique","En retard")),IF(N87&gt;=M87,"À temps",IF(N87&gt;=M87*0.8,"À surveiller",IF(N87&gt;=M87*0.5,"En retard","Critique"))))))</f>
        <v/>
      </c>
      <c r="R87" s="68" t="n">
        <f aca="false">IFERROR(IF(Q87="Terminé à temps",100,IF(Q87="Terminé hors délai",75,IF(Q87="À temps",50,IF(Q87="À surveiller",40,IF(Q87="En retard",25,IF(Q87="Critique",10,IF(Q87="En attente",50,0))))))),0)</f>
        <v>0</v>
      </c>
      <c r="S87" s="11"/>
      <c r="T87" s="69"/>
      <c r="U87" s="70" t="n">
        <f aca="false">IFERROR(IF(T87="",0,T87*N87/100),0)</f>
        <v>0</v>
      </c>
      <c r="V87" s="11"/>
    </row>
    <row r="88" customFormat="false" ht="24" hidden="false" customHeight="true" outlineLevel="0" collapsed="false">
      <c r="B88" s="7"/>
      <c r="C88" s="7"/>
      <c r="D88" s="7"/>
      <c r="E88" s="7"/>
      <c r="F88" s="7"/>
      <c r="G88" s="7"/>
      <c r="H88" s="71"/>
      <c r="I88" s="71"/>
      <c r="J88" s="71"/>
      <c r="K88" s="71"/>
      <c r="L88" s="7"/>
      <c r="M88" s="64" t="n">
        <f aca="true">IF(OR(B88="",H88="",I88=""),0,IF(TODAY()&lt;H88,0,IF(TODAY()&gt;=I88,100,(TODAY()-H88)/(I88-H88)*100)))</f>
        <v>0</v>
      </c>
      <c r="N88" s="72" t="n">
        <v>0</v>
      </c>
      <c r="O88" s="73"/>
      <c r="P88" s="73"/>
      <c r="Q88" s="67" t="str">
        <f aca="true">IF(B88="","",IF(K88&lt;&gt;"",IF(K88&lt;=I88,"Terminé à temps","Terminé hors délai"),IF(N88=0,IF(TODAY()&lt;H88,"En attente",IF(TODAY()&gt;I88+30,"Critique","En retard")),IF(N88&gt;=M88,"À temps",IF(N88&gt;=M88*0.8,"À surveiller",IF(N88&gt;=M88*0.5,"En retard","Critique"))))))</f>
        <v/>
      </c>
      <c r="R88" s="68" t="n">
        <f aca="false">IFERROR(IF(Q88="Terminé à temps",100,IF(Q88="Terminé hors délai",75,IF(Q88="À temps",50,IF(Q88="À surveiller",40,IF(Q88="En retard",25,IF(Q88="Critique",10,IF(Q88="En attente",50,0))))))),0)</f>
        <v>0</v>
      </c>
      <c r="S88" s="7"/>
      <c r="T88" s="74"/>
      <c r="U88" s="70" t="n">
        <f aca="false">IFERROR(IF(T88="",0,T88*N88/100),0)</f>
        <v>0</v>
      </c>
      <c r="V88" s="7"/>
    </row>
    <row r="89" customFormat="false" ht="24" hidden="false" customHeight="true" outlineLevel="0" collapsed="false">
      <c r="B89" s="11"/>
      <c r="C89" s="11"/>
      <c r="D89" s="11"/>
      <c r="E89" s="11"/>
      <c r="F89" s="11"/>
      <c r="G89" s="11"/>
      <c r="H89" s="63"/>
      <c r="I89" s="63"/>
      <c r="J89" s="63"/>
      <c r="K89" s="63"/>
      <c r="L89" s="11"/>
      <c r="M89" s="64" t="n">
        <f aca="true">IF(OR(B89="",H89="",I89=""),0,IF(TODAY()&lt;H89,0,IF(TODAY()&gt;=I89,100,(TODAY()-H89)/(I89-H89)*100)))</f>
        <v>0</v>
      </c>
      <c r="N89" s="65" t="n">
        <v>0</v>
      </c>
      <c r="O89" s="66"/>
      <c r="P89" s="66"/>
      <c r="Q89" s="67" t="str">
        <f aca="true">IF(B89="","",IF(K89&lt;&gt;"",IF(K89&lt;=I89,"Terminé à temps","Terminé hors délai"),IF(N89=0,IF(TODAY()&lt;H89,"En attente",IF(TODAY()&gt;I89+30,"Critique","En retard")),IF(N89&gt;=M89,"À temps",IF(N89&gt;=M89*0.8,"À surveiller",IF(N89&gt;=M89*0.5,"En retard","Critique"))))))</f>
        <v/>
      </c>
      <c r="R89" s="68" t="n">
        <f aca="false">IFERROR(IF(Q89="Terminé à temps",100,IF(Q89="Terminé hors délai",75,IF(Q89="À temps",50,IF(Q89="À surveiller",40,IF(Q89="En retard",25,IF(Q89="Critique",10,IF(Q89="En attente",50,0))))))),0)</f>
        <v>0</v>
      </c>
      <c r="S89" s="11"/>
      <c r="T89" s="69"/>
      <c r="U89" s="70" t="n">
        <f aca="false">IFERROR(IF(T89="",0,T89*N89/100),0)</f>
        <v>0</v>
      </c>
      <c r="V89" s="11"/>
    </row>
    <row r="90" customFormat="false" ht="24" hidden="false" customHeight="true" outlineLevel="0" collapsed="false">
      <c r="B90" s="7"/>
      <c r="C90" s="7"/>
      <c r="D90" s="7"/>
      <c r="E90" s="7"/>
      <c r="F90" s="7"/>
      <c r="G90" s="7"/>
      <c r="H90" s="71"/>
      <c r="I90" s="71"/>
      <c r="J90" s="71"/>
      <c r="K90" s="71"/>
      <c r="L90" s="7"/>
      <c r="M90" s="64" t="n">
        <f aca="true">IF(OR(B90="",H90="",I90=""),0,IF(TODAY()&lt;H90,0,IF(TODAY()&gt;=I90,100,(TODAY()-H90)/(I90-H90)*100)))</f>
        <v>0</v>
      </c>
      <c r="N90" s="72" t="n">
        <v>0</v>
      </c>
      <c r="O90" s="73"/>
      <c r="P90" s="73"/>
      <c r="Q90" s="67" t="str">
        <f aca="true">IF(B90="","",IF(K90&lt;&gt;"",IF(K90&lt;=I90,"Terminé à temps","Terminé hors délai"),IF(N90=0,IF(TODAY()&lt;H90,"En attente",IF(TODAY()&gt;I90+30,"Critique","En retard")),IF(N90&gt;=M90,"À temps",IF(N90&gt;=M90*0.8,"À surveiller",IF(N90&gt;=M90*0.5,"En retard","Critique"))))))</f>
        <v/>
      </c>
      <c r="R90" s="68" t="n">
        <f aca="false">IFERROR(IF(Q90="Terminé à temps",100,IF(Q90="Terminé hors délai",75,IF(Q90="À temps",50,IF(Q90="À surveiller",40,IF(Q90="En retard",25,IF(Q90="Critique",10,IF(Q90="En attente",50,0))))))),0)</f>
        <v>0</v>
      </c>
      <c r="S90" s="7"/>
      <c r="T90" s="74"/>
      <c r="U90" s="70" t="n">
        <f aca="false">IFERROR(IF(T90="",0,T90*N90/100),0)</f>
        <v>0</v>
      </c>
      <c r="V90" s="7"/>
    </row>
    <row r="91" customFormat="false" ht="24" hidden="false" customHeight="true" outlineLevel="0" collapsed="false">
      <c r="B91" s="11"/>
      <c r="C91" s="11"/>
      <c r="D91" s="11"/>
      <c r="E91" s="11"/>
      <c r="F91" s="11"/>
      <c r="G91" s="11"/>
      <c r="H91" s="63"/>
      <c r="I91" s="63"/>
      <c r="J91" s="63"/>
      <c r="K91" s="63"/>
      <c r="L91" s="11"/>
      <c r="M91" s="64" t="n">
        <f aca="true">IF(OR(B91="",H91="",I91=""),0,IF(TODAY()&lt;H91,0,IF(TODAY()&gt;=I91,100,(TODAY()-H91)/(I91-H91)*100)))</f>
        <v>0</v>
      </c>
      <c r="N91" s="65" t="n">
        <v>0</v>
      </c>
      <c r="O91" s="66"/>
      <c r="P91" s="66"/>
      <c r="Q91" s="67" t="str">
        <f aca="true">IF(B91="","",IF(K91&lt;&gt;"",IF(K91&lt;=I91,"Terminé à temps","Terminé hors délai"),IF(N91=0,IF(TODAY()&lt;H91,"En attente",IF(TODAY()&gt;I91+30,"Critique","En retard")),IF(N91&gt;=M91,"À temps",IF(N91&gt;=M91*0.8,"À surveiller",IF(N91&gt;=M91*0.5,"En retard","Critique"))))))</f>
        <v/>
      </c>
      <c r="R91" s="68" t="n">
        <f aca="false">IFERROR(IF(Q91="Terminé à temps",100,IF(Q91="Terminé hors délai",75,IF(Q91="À temps",50,IF(Q91="À surveiller",40,IF(Q91="En retard",25,IF(Q91="Critique",10,IF(Q91="En attente",50,0))))))),0)</f>
        <v>0</v>
      </c>
      <c r="S91" s="11"/>
      <c r="T91" s="69"/>
      <c r="U91" s="70" t="n">
        <f aca="false">IFERROR(IF(T91="",0,T91*N91/100),0)</f>
        <v>0</v>
      </c>
      <c r="V91" s="11"/>
    </row>
    <row r="92" customFormat="false" ht="24" hidden="false" customHeight="true" outlineLevel="0" collapsed="false">
      <c r="B92" s="7"/>
      <c r="C92" s="7"/>
      <c r="D92" s="7"/>
      <c r="E92" s="7"/>
      <c r="F92" s="7"/>
      <c r="G92" s="7"/>
      <c r="H92" s="71"/>
      <c r="I92" s="71"/>
      <c r="J92" s="71"/>
      <c r="K92" s="71"/>
      <c r="L92" s="7"/>
      <c r="M92" s="64" t="n">
        <f aca="true">IF(OR(B92="",H92="",I92=""),0,IF(TODAY()&lt;H92,0,IF(TODAY()&gt;=I92,100,(TODAY()-H92)/(I92-H92)*100)))</f>
        <v>0</v>
      </c>
      <c r="N92" s="72" t="n">
        <v>0</v>
      </c>
      <c r="O92" s="73"/>
      <c r="P92" s="73"/>
      <c r="Q92" s="67" t="str">
        <f aca="true">IF(B92="","",IF(K92&lt;&gt;"",IF(K92&lt;=I92,"Terminé à temps","Terminé hors délai"),IF(N92=0,IF(TODAY()&lt;H92,"En attente",IF(TODAY()&gt;I92+30,"Critique","En retard")),IF(N92&gt;=M92,"À temps",IF(N92&gt;=M92*0.8,"À surveiller",IF(N92&gt;=M92*0.5,"En retard","Critique"))))))</f>
        <v/>
      </c>
      <c r="R92" s="68" t="n">
        <f aca="false">IFERROR(IF(Q92="Terminé à temps",100,IF(Q92="Terminé hors délai",75,IF(Q92="À temps",50,IF(Q92="À surveiller",40,IF(Q92="En retard",25,IF(Q92="Critique",10,IF(Q92="En attente",50,0))))))),0)</f>
        <v>0</v>
      </c>
      <c r="S92" s="7"/>
      <c r="T92" s="74"/>
      <c r="U92" s="70" t="n">
        <f aca="false">IFERROR(IF(T92="",0,T92*N92/100),0)</f>
        <v>0</v>
      </c>
      <c r="V92" s="7"/>
    </row>
    <row r="93" customFormat="false" ht="24" hidden="false" customHeight="true" outlineLevel="0" collapsed="false">
      <c r="B93" s="11"/>
      <c r="C93" s="11"/>
      <c r="D93" s="11"/>
      <c r="E93" s="11"/>
      <c r="F93" s="11"/>
      <c r="G93" s="11"/>
      <c r="H93" s="63"/>
      <c r="I93" s="63"/>
      <c r="J93" s="63"/>
      <c r="K93" s="63"/>
      <c r="L93" s="11"/>
      <c r="M93" s="64" t="n">
        <f aca="true">IF(OR(B93="",H93="",I93=""),0,IF(TODAY()&lt;H93,0,IF(TODAY()&gt;=I93,100,(TODAY()-H93)/(I93-H93)*100)))</f>
        <v>0</v>
      </c>
      <c r="N93" s="65" t="n">
        <v>0</v>
      </c>
      <c r="O93" s="66"/>
      <c r="P93" s="66"/>
      <c r="Q93" s="67" t="str">
        <f aca="true">IF(B93="","",IF(K93&lt;&gt;"",IF(K93&lt;=I93,"Terminé à temps","Terminé hors délai"),IF(N93=0,IF(TODAY()&lt;H93,"En attente",IF(TODAY()&gt;I93+30,"Critique","En retard")),IF(N93&gt;=M93,"À temps",IF(N93&gt;=M93*0.8,"À surveiller",IF(N93&gt;=M93*0.5,"En retard","Critique"))))))</f>
        <v/>
      </c>
      <c r="R93" s="68" t="n">
        <f aca="false">IFERROR(IF(Q93="Terminé à temps",100,IF(Q93="Terminé hors délai",75,IF(Q93="À temps",50,IF(Q93="À surveiller",40,IF(Q93="En retard",25,IF(Q93="Critique",10,IF(Q93="En attente",50,0))))))),0)</f>
        <v>0</v>
      </c>
      <c r="S93" s="11"/>
      <c r="T93" s="69"/>
      <c r="U93" s="70" t="n">
        <f aca="false">IFERROR(IF(T93="",0,T93*N93/100),0)</f>
        <v>0</v>
      </c>
      <c r="V93" s="11"/>
    </row>
    <row r="94" customFormat="false" ht="24" hidden="false" customHeight="true" outlineLevel="0" collapsed="false">
      <c r="B94" s="7"/>
      <c r="C94" s="7"/>
      <c r="D94" s="7"/>
      <c r="E94" s="7"/>
      <c r="F94" s="7"/>
      <c r="G94" s="7"/>
      <c r="H94" s="71"/>
      <c r="I94" s="71"/>
      <c r="J94" s="71"/>
      <c r="K94" s="71"/>
      <c r="L94" s="7"/>
      <c r="M94" s="64" t="n">
        <f aca="true">IF(OR(B94="",H94="",I94=""),0,IF(TODAY()&lt;H94,0,IF(TODAY()&gt;=I94,100,(TODAY()-H94)/(I94-H94)*100)))</f>
        <v>0</v>
      </c>
      <c r="N94" s="72" t="n">
        <v>0</v>
      </c>
      <c r="O94" s="73"/>
      <c r="P94" s="73"/>
      <c r="Q94" s="67" t="str">
        <f aca="true">IF(B94="","",IF(K94&lt;&gt;"",IF(K94&lt;=I94,"Terminé à temps","Terminé hors délai"),IF(N94=0,IF(TODAY()&lt;H94,"En attente",IF(TODAY()&gt;I94+30,"Critique","En retard")),IF(N94&gt;=M94,"À temps",IF(N94&gt;=M94*0.8,"À surveiller",IF(N94&gt;=M94*0.5,"En retard","Critique"))))))</f>
        <v/>
      </c>
      <c r="R94" s="68" t="n">
        <f aca="false">IFERROR(IF(Q94="Terminé à temps",100,IF(Q94="Terminé hors délai",75,IF(Q94="À temps",50,IF(Q94="À surveiller",40,IF(Q94="En retard",25,IF(Q94="Critique",10,IF(Q94="En attente",50,0))))))),0)</f>
        <v>0</v>
      </c>
      <c r="S94" s="7"/>
      <c r="T94" s="74"/>
      <c r="U94" s="70" t="n">
        <f aca="false">IFERROR(IF(T94="",0,T94*N94/100),0)</f>
        <v>0</v>
      </c>
      <c r="V94" s="7"/>
    </row>
    <row r="95" customFormat="false" ht="24" hidden="false" customHeight="true" outlineLevel="0" collapsed="false">
      <c r="B95" s="11"/>
      <c r="C95" s="11"/>
      <c r="D95" s="11"/>
      <c r="E95" s="11"/>
      <c r="F95" s="11"/>
      <c r="G95" s="11"/>
      <c r="H95" s="63"/>
      <c r="I95" s="63"/>
      <c r="J95" s="63"/>
      <c r="K95" s="63"/>
      <c r="L95" s="11"/>
      <c r="M95" s="64" t="n">
        <f aca="true">IF(OR(B95="",H95="",I95=""),0,IF(TODAY()&lt;H95,0,IF(TODAY()&gt;=I95,100,(TODAY()-H95)/(I95-H95)*100)))</f>
        <v>0</v>
      </c>
      <c r="N95" s="65" t="n">
        <v>0</v>
      </c>
      <c r="O95" s="66"/>
      <c r="P95" s="66"/>
      <c r="Q95" s="67" t="str">
        <f aca="true">IF(B95="","",IF(K95&lt;&gt;"",IF(K95&lt;=I95,"Terminé à temps","Terminé hors délai"),IF(N95=0,IF(TODAY()&lt;H95,"En attente",IF(TODAY()&gt;I95+30,"Critique","En retard")),IF(N95&gt;=M95,"À temps",IF(N95&gt;=M95*0.8,"À surveiller",IF(N95&gt;=M95*0.5,"En retard","Critique"))))))</f>
        <v/>
      </c>
      <c r="R95" s="68" t="n">
        <f aca="false">IFERROR(IF(Q95="Terminé à temps",100,IF(Q95="Terminé hors délai",75,IF(Q95="À temps",50,IF(Q95="À surveiller",40,IF(Q95="En retard",25,IF(Q95="Critique",10,IF(Q95="En attente",50,0))))))),0)</f>
        <v>0</v>
      </c>
      <c r="S95" s="11"/>
      <c r="T95" s="69"/>
      <c r="U95" s="70" t="n">
        <f aca="false">IFERROR(IF(T95="",0,T95*N95/100),0)</f>
        <v>0</v>
      </c>
      <c r="V95" s="11"/>
    </row>
    <row r="96" customFormat="false" ht="24" hidden="false" customHeight="true" outlineLevel="0" collapsed="false">
      <c r="B96" s="7"/>
      <c r="C96" s="7"/>
      <c r="D96" s="7"/>
      <c r="E96" s="7"/>
      <c r="F96" s="7"/>
      <c r="G96" s="7"/>
      <c r="H96" s="71"/>
      <c r="I96" s="71"/>
      <c r="J96" s="71"/>
      <c r="K96" s="71"/>
      <c r="L96" s="7"/>
      <c r="M96" s="64" t="n">
        <f aca="true">IF(OR(B96="",H96="",I96=""),0,IF(TODAY()&lt;H96,0,IF(TODAY()&gt;=I96,100,(TODAY()-H96)/(I96-H96)*100)))</f>
        <v>0</v>
      </c>
      <c r="N96" s="72" t="n">
        <v>0</v>
      </c>
      <c r="O96" s="73"/>
      <c r="P96" s="73"/>
      <c r="Q96" s="67" t="str">
        <f aca="true">IF(B96="","",IF(K96&lt;&gt;"",IF(K96&lt;=I96,"Terminé à temps","Terminé hors délai"),IF(N96=0,IF(TODAY()&lt;H96,"En attente",IF(TODAY()&gt;I96+30,"Critique","En retard")),IF(N96&gt;=M96,"À temps",IF(N96&gt;=M96*0.8,"À surveiller",IF(N96&gt;=M96*0.5,"En retard","Critique"))))))</f>
        <v/>
      </c>
      <c r="R96" s="68" t="n">
        <f aca="false">IFERROR(IF(Q96="Terminé à temps",100,IF(Q96="Terminé hors délai",75,IF(Q96="À temps",50,IF(Q96="À surveiller",40,IF(Q96="En retard",25,IF(Q96="Critique",10,IF(Q96="En attente",50,0))))))),0)</f>
        <v>0</v>
      </c>
      <c r="S96" s="7"/>
      <c r="T96" s="74"/>
      <c r="U96" s="70" t="n">
        <f aca="false">IFERROR(IF(T96="",0,T96*N96/100),0)</f>
        <v>0</v>
      </c>
      <c r="V96" s="7"/>
    </row>
    <row r="97" customFormat="false" ht="24" hidden="false" customHeight="true" outlineLevel="0" collapsed="false">
      <c r="B97" s="11"/>
      <c r="C97" s="11"/>
      <c r="D97" s="11"/>
      <c r="E97" s="11"/>
      <c r="F97" s="11"/>
      <c r="G97" s="11"/>
      <c r="H97" s="63"/>
      <c r="I97" s="63"/>
      <c r="J97" s="63"/>
      <c r="K97" s="63"/>
      <c r="L97" s="11"/>
      <c r="M97" s="64" t="n">
        <f aca="true">IF(OR(B97="",H97="",I97=""),0,IF(TODAY()&lt;H97,0,IF(TODAY()&gt;=I97,100,(TODAY()-H97)/(I97-H97)*100)))</f>
        <v>0</v>
      </c>
      <c r="N97" s="65" t="n">
        <v>0</v>
      </c>
      <c r="O97" s="66"/>
      <c r="P97" s="66"/>
      <c r="Q97" s="67" t="str">
        <f aca="true">IF(B97="","",IF(K97&lt;&gt;"",IF(K97&lt;=I97,"Terminé à temps","Terminé hors délai"),IF(N97=0,IF(TODAY()&lt;H97,"En attente",IF(TODAY()&gt;I97+30,"Critique","En retard")),IF(N97&gt;=M97,"À temps",IF(N97&gt;=M97*0.8,"À surveiller",IF(N97&gt;=M97*0.5,"En retard","Critique"))))))</f>
        <v/>
      </c>
      <c r="R97" s="68" t="n">
        <f aca="false">IFERROR(IF(Q97="Terminé à temps",100,IF(Q97="Terminé hors délai",75,IF(Q97="À temps",50,IF(Q97="À surveiller",40,IF(Q97="En retard",25,IF(Q97="Critique",10,IF(Q97="En attente",50,0))))))),0)</f>
        <v>0</v>
      </c>
      <c r="S97" s="11"/>
      <c r="T97" s="69"/>
      <c r="U97" s="70" t="n">
        <f aca="false">IFERROR(IF(T97="",0,T97*N97/100),0)</f>
        <v>0</v>
      </c>
      <c r="V97" s="11"/>
    </row>
    <row r="98" customFormat="false" ht="24" hidden="false" customHeight="true" outlineLevel="0" collapsed="false">
      <c r="B98" s="7"/>
      <c r="C98" s="7"/>
      <c r="D98" s="7"/>
      <c r="E98" s="7"/>
      <c r="F98" s="7"/>
      <c r="G98" s="7"/>
      <c r="H98" s="71"/>
      <c r="I98" s="71"/>
      <c r="J98" s="71"/>
      <c r="K98" s="71"/>
      <c r="L98" s="7"/>
      <c r="M98" s="64" t="n">
        <f aca="true">IF(OR(B98="",H98="",I98=""),0,IF(TODAY()&lt;H98,0,IF(TODAY()&gt;=I98,100,(TODAY()-H98)/(I98-H98)*100)))</f>
        <v>0</v>
      </c>
      <c r="N98" s="72" t="n">
        <v>0</v>
      </c>
      <c r="O98" s="73"/>
      <c r="P98" s="73"/>
      <c r="Q98" s="67" t="str">
        <f aca="true">IF(B98="","",IF(K98&lt;&gt;"",IF(K98&lt;=I98,"Terminé à temps","Terminé hors délai"),IF(N98=0,IF(TODAY()&lt;H98,"En attente",IF(TODAY()&gt;I98+30,"Critique","En retard")),IF(N98&gt;=M98,"À temps",IF(N98&gt;=M98*0.8,"À surveiller",IF(N98&gt;=M98*0.5,"En retard","Critique"))))))</f>
        <v/>
      </c>
      <c r="R98" s="68" t="n">
        <f aca="false">IFERROR(IF(Q98="Terminé à temps",100,IF(Q98="Terminé hors délai",75,IF(Q98="À temps",50,IF(Q98="À surveiller",40,IF(Q98="En retard",25,IF(Q98="Critique",10,IF(Q98="En attente",50,0))))))),0)</f>
        <v>0</v>
      </c>
      <c r="S98" s="7"/>
      <c r="T98" s="74"/>
      <c r="U98" s="70" t="n">
        <f aca="false">IFERROR(IF(T98="",0,T98*N98/100),0)</f>
        <v>0</v>
      </c>
      <c r="V98" s="7"/>
    </row>
    <row r="99" customFormat="false" ht="24" hidden="false" customHeight="true" outlineLevel="0" collapsed="false">
      <c r="B99" s="11"/>
      <c r="C99" s="11"/>
      <c r="D99" s="11"/>
      <c r="E99" s="11"/>
      <c r="F99" s="11"/>
      <c r="G99" s="11"/>
      <c r="H99" s="63"/>
      <c r="I99" s="63"/>
      <c r="J99" s="63"/>
      <c r="K99" s="63"/>
      <c r="L99" s="11"/>
      <c r="M99" s="64" t="n">
        <f aca="true">IF(OR(B99="",H99="",I99=""),0,IF(TODAY()&lt;H99,0,IF(TODAY()&gt;=I99,100,(TODAY()-H99)/(I99-H99)*100)))</f>
        <v>0</v>
      </c>
      <c r="N99" s="65" t="n">
        <v>0</v>
      </c>
      <c r="O99" s="66"/>
      <c r="P99" s="66"/>
      <c r="Q99" s="67" t="str">
        <f aca="true">IF(B99="","",IF(K99&lt;&gt;"",IF(K99&lt;=I99,"Terminé à temps","Terminé hors délai"),IF(N99=0,IF(TODAY()&lt;H99,"En attente",IF(TODAY()&gt;I99+30,"Critique","En retard")),IF(N99&gt;=M99,"À temps",IF(N99&gt;=M99*0.8,"À surveiller",IF(N99&gt;=M99*0.5,"En retard","Critique"))))))</f>
        <v/>
      </c>
      <c r="R99" s="68" t="n">
        <f aca="false">IFERROR(IF(Q99="Terminé à temps",100,IF(Q99="Terminé hors délai",75,IF(Q99="À temps",50,IF(Q99="À surveiller",40,IF(Q99="En retard",25,IF(Q99="Critique",10,IF(Q99="En attente",50,0))))))),0)</f>
        <v>0</v>
      </c>
      <c r="S99" s="11"/>
      <c r="T99" s="69"/>
      <c r="U99" s="70" t="n">
        <f aca="false">IFERROR(IF(T99="",0,T99*N99/100),0)</f>
        <v>0</v>
      </c>
      <c r="V99" s="11"/>
    </row>
    <row r="100" customFormat="false" ht="24" hidden="false" customHeight="true" outlineLevel="0" collapsed="false">
      <c r="B100" s="7"/>
      <c r="C100" s="7"/>
      <c r="D100" s="7"/>
      <c r="E100" s="7"/>
      <c r="F100" s="7"/>
      <c r="G100" s="7"/>
      <c r="H100" s="71"/>
      <c r="I100" s="71"/>
      <c r="J100" s="71"/>
      <c r="K100" s="71"/>
      <c r="L100" s="7"/>
      <c r="M100" s="64" t="n">
        <f aca="true">IF(OR(B100="",H100="",I100=""),0,IF(TODAY()&lt;H100,0,IF(TODAY()&gt;=I100,100,(TODAY()-H100)/(I100-H100)*100)))</f>
        <v>0</v>
      </c>
      <c r="N100" s="72" t="n">
        <v>0</v>
      </c>
      <c r="O100" s="73"/>
      <c r="P100" s="73"/>
      <c r="Q100" s="67" t="str">
        <f aca="true">IF(B100="","",IF(K100&lt;&gt;"",IF(K100&lt;=I100,"Terminé à temps","Terminé hors délai"),IF(N100=0,IF(TODAY()&lt;H100,"En attente",IF(TODAY()&gt;I100+30,"Critique","En retard")),IF(N100&gt;=M100,"À temps",IF(N100&gt;=M100*0.8,"À surveiller",IF(N100&gt;=M100*0.5,"En retard","Critique"))))))</f>
        <v/>
      </c>
      <c r="R100" s="68" t="n">
        <f aca="false">IFERROR(IF(Q100="Terminé à temps",100,IF(Q100="Terminé hors délai",75,IF(Q100="À temps",50,IF(Q100="À surveiller",40,IF(Q100="En retard",25,IF(Q100="Critique",10,IF(Q100="En attente",50,0))))))),0)</f>
        <v>0</v>
      </c>
      <c r="S100" s="7"/>
      <c r="T100" s="74"/>
      <c r="U100" s="70" t="n">
        <f aca="false">IFERROR(IF(T100="",0,T100*N100/100),0)</f>
        <v>0</v>
      </c>
      <c r="V100" s="7"/>
    </row>
    <row r="101" customFormat="false" ht="24" hidden="false" customHeight="true" outlineLevel="0" collapsed="false">
      <c r="B101" s="11"/>
      <c r="C101" s="11"/>
      <c r="D101" s="11"/>
      <c r="E101" s="11"/>
      <c r="F101" s="11"/>
      <c r="G101" s="11"/>
      <c r="H101" s="63"/>
      <c r="I101" s="63"/>
      <c r="J101" s="63"/>
      <c r="K101" s="63"/>
      <c r="L101" s="11"/>
      <c r="M101" s="64" t="n">
        <f aca="true">IF(OR(B101="",H101="",I101=""),0,IF(TODAY()&lt;H101,0,IF(TODAY()&gt;=I101,100,(TODAY()-H101)/(I101-H101)*100)))</f>
        <v>0</v>
      </c>
      <c r="N101" s="65" t="n">
        <v>0</v>
      </c>
      <c r="O101" s="66"/>
      <c r="P101" s="66"/>
      <c r="Q101" s="67" t="str">
        <f aca="true">IF(B101="","",IF(K101&lt;&gt;"",IF(K101&lt;=I101,"Terminé à temps","Terminé hors délai"),IF(N101=0,IF(TODAY()&lt;H101,"En attente",IF(TODAY()&gt;I101+30,"Critique","En retard")),IF(N101&gt;=M101,"À temps",IF(N101&gt;=M101*0.8,"À surveiller",IF(N101&gt;=M101*0.5,"En retard","Critique"))))))</f>
        <v/>
      </c>
      <c r="R101" s="68" t="n">
        <f aca="false">IFERROR(IF(Q101="Terminé à temps",100,IF(Q101="Terminé hors délai",75,IF(Q101="À temps",50,IF(Q101="À surveiller",40,IF(Q101="En retard",25,IF(Q101="Critique",10,IF(Q101="En attente",50,0))))))),0)</f>
        <v>0</v>
      </c>
      <c r="S101" s="11"/>
      <c r="T101" s="69"/>
      <c r="U101" s="70" t="n">
        <f aca="false">IFERROR(IF(T101="",0,T101*N101/100),0)</f>
        <v>0</v>
      </c>
      <c r="V101" s="11"/>
    </row>
    <row r="102" customFormat="false" ht="24" hidden="false" customHeight="true" outlineLevel="0" collapsed="false">
      <c r="B102" s="7"/>
      <c r="C102" s="7"/>
      <c r="D102" s="7"/>
      <c r="E102" s="7"/>
      <c r="F102" s="7"/>
      <c r="G102" s="7"/>
      <c r="H102" s="71"/>
      <c r="I102" s="71"/>
      <c r="J102" s="71"/>
      <c r="K102" s="71"/>
      <c r="L102" s="7"/>
      <c r="M102" s="64" t="n">
        <f aca="true">IF(OR(B102="",H102="",I102=""),0,IF(TODAY()&lt;H102,0,IF(TODAY()&gt;=I102,100,(TODAY()-H102)/(I102-H102)*100)))</f>
        <v>0</v>
      </c>
      <c r="N102" s="72" t="n">
        <v>0</v>
      </c>
      <c r="O102" s="73"/>
      <c r="P102" s="73"/>
      <c r="Q102" s="67" t="str">
        <f aca="true">IF(B102="","",IF(K102&lt;&gt;"",IF(K102&lt;=I102,"Terminé à temps","Terminé hors délai"),IF(N102=0,IF(TODAY()&lt;H102,"En attente",IF(TODAY()&gt;I102+30,"Critique","En retard")),IF(N102&gt;=M102,"À temps",IF(N102&gt;=M102*0.8,"À surveiller",IF(N102&gt;=M102*0.5,"En retard","Critique"))))))</f>
        <v/>
      </c>
      <c r="R102" s="68" t="n">
        <f aca="false">IFERROR(IF(Q102="Terminé à temps",100,IF(Q102="Terminé hors délai",75,IF(Q102="À temps",50,IF(Q102="À surveiller",40,IF(Q102="En retard",25,IF(Q102="Critique",10,IF(Q102="En attente",50,0))))))),0)</f>
        <v>0</v>
      </c>
      <c r="S102" s="7"/>
      <c r="T102" s="74"/>
      <c r="U102" s="70" t="n">
        <f aca="false">IFERROR(IF(T102="",0,T102*N102/100),0)</f>
        <v>0</v>
      </c>
      <c r="V102" s="7"/>
    </row>
    <row r="103" customFormat="false" ht="24" hidden="false" customHeight="true" outlineLevel="0" collapsed="false">
      <c r="B103" s="11"/>
      <c r="C103" s="11"/>
      <c r="D103" s="11"/>
      <c r="E103" s="11"/>
      <c r="F103" s="11"/>
      <c r="G103" s="11"/>
      <c r="H103" s="63"/>
      <c r="I103" s="63"/>
      <c r="J103" s="63"/>
      <c r="K103" s="63"/>
      <c r="L103" s="11"/>
      <c r="M103" s="64" t="n">
        <f aca="true">IF(OR(B103="",H103="",I103=""),0,IF(TODAY()&lt;H103,0,IF(TODAY()&gt;=I103,100,(TODAY()-H103)/(I103-H103)*100)))</f>
        <v>0</v>
      </c>
      <c r="N103" s="65" t="n">
        <v>0</v>
      </c>
      <c r="O103" s="66"/>
      <c r="P103" s="66"/>
      <c r="Q103" s="67" t="str">
        <f aca="true">IF(B103="","",IF(K103&lt;&gt;"",IF(K103&lt;=I103,"Terminé à temps","Terminé hors délai"),IF(N103=0,IF(TODAY()&lt;H103,"En attente",IF(TODAY()&gt;I103+30,"Critique","En retard")),IF(N103&gt;=M103,"À temps",IF(N103&gt;=M103*0.8,"À surveiller",IF(N103&gt;=M103*0.5,"En retard","Critique"))))))</f>
        <v/>
      </c>
      <c r="R103" s="68" t="n">
        <f aca="false">IFERROR(IF(Q103="Terminé à temps",100,IF(Q103="Terminé hors délai",75,IF(Q103="À temps",50,IF(Q103="À surveiller",40,IF(Q103="En retard",25,IF(Q103="Critique",10,IF(Q103="En attente",50,0))))))),0)</f>
        <v>0</v>
      </c>
      <c r="S103" s="11"/>
      <c r="T103" s="69"/>
      <c r="U103" s="70" t="n">
        <f aca="false">IFERROR(IF(T103="",0,T103*N103/100),0)</f>
        <v>0</v>
      </c>
      <c r="V103" s="11"/>
    </row>
    <row r="104" customFormat="false" ht="24" hidden="false" customHeight="true" outlineLevel="0" collapsed="false">
      <c r="B104" s="7"/>
      <c r="C104" s="7"/>
      <c r="D104" s="7"/>
      <c r="E104" s="7"/>
      <c r="F104" s="7"/>
      <c r="G104" s="7"/>
      <c r="H104" s="71"/>
      <c r="I104" s="71"/>
      <c r="J104" s="71"/>
      <c r="K104" s="71"/>
      <c r="L104" s="7"/>
      <c r="M104" s="64" t="n">
        <f aca="true">IF(OR(B104="",H104="",I104=""),0,IF(TODAY()&lt;H104,0,IF(TODAY()&gt;=I104,100,(TODAY()-H104)/(I104-H104)*100)))</f>
        <v>0</v>
      </c>
      <c r="N104" s="72" t="n">
        <v>0</v>
      </c>
      <c r="O104" s="73"/>
      <c r="P104" s="73"/>
      <c r="Q104" s="67" t="str">
        <f aca="true">IF(B104="","",IF(K104&lt;&gt;"",IF(K104&lt;=I104,"Terminé à temps","Terminé hors délai"),IF(N104=0,IF(TODAY()&lt;H104,"En attente",IF(TODAY()&gt;I104+30,"Critique","En retard")),IF(N104&gt;=M104,"À temps",IF(N104&gt;=M104*0.8,"À surveiller",IF(N104&gt;=M104*0.5,"En retard","Critique"))))))</f>
        <v/>
      </c>
      <c r="R104" s="68" t="n">
        <f aca="false">IFERROR(IF(Q104="Terminé à temps",100,IF(Q104="Terminé hors délai",75,IF(Q104="À temps",50,IF(Q104="À surveiller",40,IF(Q104="En retard",25,IF(Q104="Critique",10,IF(Q104="En attente",50,0))))))),0)</f>
        <v>0</v>
      </c>
      <c r="S104" s="7"/>
      <c r="T104" s="74"/>
      <c r="U104" s="70" t="n">
        <f aca="false">IFERROR(IF(T104="",0,T104*N104/100),0)</f>
        <v>0</v>
      </c>
      <c r="V104" s="7"/>
    </row>
    <row r="105" customFormat="false" ht="24" hidden="false" customHeight="true" outlineLevel="0" collapsed="false">
      <c r="B105" s="11"/>
      <c r="C105" s="11"/>
      <c r="D105" s="11"/>
      <c r="E105" s="11"/>
      <c r="F105" s="11"/>
      <c r="G105" s="11"/>
      <c r="H105" s="63"/>
      <c r="I105" s="63"/>
      <c r="J105" s="63"/>
      <c r="K105" s="63"/>
      <c r="L105" s="11"/>
      <c r="M105" s="64" t="n">
        <f aca="true">IF(OR(B105="",H105="",I105=""),0,IF(TODAY()&lt;H105,0,IF(TODAY()&gt;=I105,100,(TODAY()-H105)/(I105-H105)*100)))</f>
        <v>0</v>
      </c>
      <c r="N105" s="65" t="n">
        <v>0</v>
      </c>
      <c r="O105" s="66"/>
      <c r="P105" s="66"/>
      <c r="Q105" s="67" t="str">
        <f aca="true">IF(B105="","",IF(K105&lt;&gt;"",IF(K105&lt;=I105,"Terminé à temps","Terminé hors délai"),IF(N105=0,IF(TODAY()&lt;H105,"En attente",IF(TODAY()&gt;I105+30,"Critique","En retard")),IF(N105&gt;=M105,"À temps",IF(N105&gt;=M105*0.8,"À surveiller",IF(N105&gt;=M105*0.5,"En retard","Critique"))))))</f>
        <v/>
      </c>
      <c r="R105" s="68" t="n">
        <f aca="false">IFERROR(IF(Q105="Terminé à temps",100,IF(Q105="Terminé hors délai",75,IF(Q105="À temps",50,IF(Q105="À surveiller",40,IF(Q105="En retard",25,IF(Q105="Critique",10,IF(Q105="En attente",50,0))))))),0)</f>
        <v>0</v>
      </c>
      <c r="S105" s="11"/>
      <c r="T105" s="69"/>
      <c r="U105" s="70" t="n">
        <f aca="false">IFERROR(IF(T105="",0,T105*N105/100),0)</f>
        <v>0</v>
      </c>
      <c r="V105" s="11"/>
    </row>
    <row r="106" customFormat="false" ht="24" hidden="false" customHeight="true" outlineLevel="0" collapsed="false">
      <c r="B106" s="7"/>
      <c r="C106" s="7"/>
      <c r="D106" s="7"/>
      <c r="E106" s="7"/>
      <c r="F106" s="7"/>
      <c r="G106" s="7"/>
      <c r="H106" s="71"/>
      <c r="I106" s="71"/>
      <c r="J106" s="71"/>
      <c r="K106" s="71"/>
      <c r="L106" s="7"/>
      <c r="M106" s="64" t="n">
        <f aca="true">IF(OR(B106="",H106="",I106=""),0,IF(TODAY()&lt;H106,0,IF(TODAY()&gt;=I106,100,(TODAY()-H106)/(I106-H106)*100)))</f>
        <v>0</v>
      </c>
      <c r="N106" s="72" t="n">
        <v>0</v>
      </c>
      <c r="O106" s="73"/>
      <c r="P106" s="73"/>
      <c r="Q106" s="67" t="str">
        <f aca="true">IF(B106="","",IF(K106&lt;&gt;"",IF(K106&lt;=I106,"Terminé à temps","Terminé hors délai"),IF(N106=0,IF(TODAY()&lt;H106,"En attente",IF(TODAY()&gt;I106+30,"Critique","En retard")),IF(N106&gt;=M106,"À temps",IF(N106&gt;=M106*0.8,"À surveiller",IF(N106&gt;=M106*0.5,"En retard","Critique"))))))</f>
        <v/>
      </c>
      <c r="R106" s="68" t="n">
        <f aca="false">IFERROR(IF(Q106="Terminé à temps",100,IF(Q106="Terminé hors délai",75,IF(Q106="À temps",50,IF(Q106="À surveiller",40,IF(Q106="En retard",25,IF(Q106="Critique",10,IF(Q106="En attente",50,0))))))),0)</f>
        <v>0</v>
      </c>
      <c r="S106" s="7"/>
      <c r="T106" s="74"/>
      <c r="U106" s="70" t="n">
        <f aca="false">IFERROR(IF(T106="",0,T106*N106/100),0)</f>
        <v>0</v>
      </c>
      <c r="V106" s="7"/>
    </row>
    <row r="107" customFormat="false" ht="24" hidden="false" customHeight="true" outlineLevel="0" collapsed="false">
      <c r="B107" s="11"/>
      <c r="C107" s="11"/>
      <c r="D107" s="11"/>
      <c r="E107" s="11"/>
      <c r="F107" s="11"/>
      <c r="G107" s="11"/>
      <c r="H107" s="63"/>
      <c r="I107" s="63"/>
      <c r="J107" s="63"/>
      <c r="K107" s="63"/>
      <c r="L107" s="11"/>
      <c r="M107" s="64" t="n">
        <f aca="true">IF(OR(B107="",H107="",I107=""),0,IF(TODAY()&lt;H107,0,IF(TODAY()&gt;=I107,100,(TODAY()-H107)/(I107-H107)*100)))</f>
        <v>0</v>
      </c>
      <c r="N107" s="65" t="n">
        <v>0</v>
      </c>
      <c r="O107" s="66"/>
      <c r="P107" s="66"/>
      <c r="Q107" s="67" t="str">
        <f aca="true">IF(B107="","",IF(K107&lt;&gt;"",IF(K107&lt;=I107,"Terminé à temps","Terminé hors délai"),IF(N107=0,IF(TODAY()&lt;H107,"En attente",IF(TODAY()&gt;I107+30,"Critique","En retard")),IF(N107&gt;=M107,"À temps",IF(N107&gt;=M107*0.8,"À surveiller",IF(N107&gt;=M107*0.5,"En retard","Critique"))))))</f>
        <v/>
      </c>
      <c r="R107" s="68" t="n">
        <f aca="false">IFERROR(IF(Q107="Terminé à temps",100,IF(Q107="Terminé hors délai",75,IF(Q107="À temps",50,IF(Q107="À surveiller",40,IF(Q107="En retard",25,IF(Q107="Critique",10,IF(Q107="En attente",50,0))))))),0)</f>
        <v>0</v>
      </c>
      <c r="S107" s="11"/>
      <c r="T107" s="69"/>
      <c r="U107" s="70" t="n">
        <f aca="false">IFERROR(IF(T107="",0,T107*N107/100),0)</f>
        <v>0</v>
      </c>
      <c r="V107" s="11"/>
    </row>
    <row r="108" customFormat="false" ht="24" hidden="false" customHeight="true" outlineLevel="0" collapsed="false">
      <c r="B108" s="7"/>
      <c r="C108" s="7"/>
      <c r="D108" s="7"/>
      <c r="E108" s="7"/>
      <c r="F108" s="7"/>
      <c r="G108" s="7"/>
      <c r="H108" s="71"/>
      <c r="I108" s="71"/>
      <c r="J108" s="71"/>
      <c r="K108" s="71"/>
      <c r="L108" s="7"/>
      <c r="M108" s="64" t="n">
        <f aca="true">IF(OR(B108="",H108="",I108=""),0,IF(TODAY()&lt;H108,0,IF(TODAY()&gt;=I108,100,(TODAY()-H108)/(I108-H108)*100)))</f>
        <v>0</v>
      </c>
      <c r="N108" s="72" t="n">
        <v>0</v>
      </c>
      <c r="O108" s="73"/>
      <c r="P108" s="73"/>
      <c r="Q108" s="67" t="str">
        <f aca="true">IF(B108="","",IF(K108&lt;&gt;"",IF(K108&lt;=I108,"Terminé à temps","Terminé hors délai"),IF(N108=0,IF(TODAY()&lt;H108,"En attente",IF(TODAY()&gt;I108+30,"Critique","En retard")),IF(N108&gt;=M108,"À temps",IF(N108&gt;=M108*0.8,"À surveiller",IF(N108&gt;=M108*0.5,"En retard","Critique"))))))</f>
        <v/>
      </c>
      <c r="R108" s="68" t="n">
        <f aca="false">IFERROR(IF(Q108="Terminé à temps",100,IF(Q108="Terminé hors délai",75,IF(Q108="À temps",50,IF(Q108="À surveiller",40,IF(Q108="En retard",25,IF(Q108="Critique",10,IF(Q108="En attente",50,0))))))),0)</f>
        <v>0</v>
      </c>
      <c r="S108" s="7"/>
      <c r="T108" s="74"/>
      <c r="U108" s="70" t="n">
        <f aca="false">IFERROR(IF(T108="",0,T108*N108/100),0)</f>
        <v>0</v>
      </c>
      <c r="V108" s="7"/>
    </row>
    <row r="109" customFormat="false" ht="24" hidden="false" customHeight="true" outlineLevel="0" collapsed="false">
      <c r="B109" s="11"/>
      <c r="C109" s="11"/>
      <c r="D109" s="11"/>
      <c r="E109" s="11"/>
      <c r="F109" s="11"/>
      <c r="G109" s="11"/>
      <c r="H109" s="63"/>
      <c r="I109" s="63"/>
      <c r="J109" s="63"/>
      <c r="K109" s="63"/>
      <c r="L109" s="11"/>
      <c r="M109" s="64" t="n">
        <f aca="true">IF(OR(B109="",H109="",I109=""),0,IF(TODAY()&lt;H109,0,IF(TODAY()&gt;=I109,100,(TODAY()-H109)/(I109-H109)*100)))</f>
        <v>0</v>
      </c>
      <c r="N109" s="65" t="n">
        <v>0</v>
      </c>
      <c r="O109" s="66"/>
      <c r="P109" s="66"/>
      <c r="Q109" s="67" t="str">
        <f aca="true">IF(B109="","",IF(K109&lt;&gt;"",IF(K109&lt;=I109,"Terminé à temps","Terminé hors délai"),IF(N109=0,IF(TODAY()&lt;H109,"En attente",IF(TODAY()&gt;I109+30,"Critique","En retard")),IF(N109&gt;=M109,"À temps",IF(N109&gt;=M109*0.8,"À surveiller",IF(N109&gt;=M109*0.5,"En retard","Critique"))))))</f>
        <v/>
      </c>
      <c r="R109" s="68" t="n">
        <f aca="false">IFERROR(IF(Q109="Terminé à temps",100,IF(Q109="Terminé hors délai",75,IF(Q109="À temps",50,IF(Q109="À surveiller",40,IF(Q109="En retard",25,IF(Q109="Critique",10,IF(Q109="En attente",50,0))))))),0)</f>
        <v>0</v>
      </c>
      <c r="S109" s="11"/>
      <c r="T109" s="69"/>
      <c r="U109" s="70" t="n">
        <f aca="false">IFERROR(IF(T109="",0,T109*N109/100),0)</f>
        <v>0</v>
      </c>
      <c r="V109" s="11"/>
    </row>
    <row r="110" customFormat="false" ht="24" hidden="false" customHeight="true" outlineLevel="0" collapsed="false">
      <c r="B110" s="7"/>
      <c r="C110" s="7"/>
      <c r="D110" s="7"/>
      <c r="E110" s="7"/>
      <c r="F110" s="7"/>
      <c r="G110" s="7"/>
      <c r="H110" s="71"/>
      <c r="I110" s="71"/>
      <c r="J110" s="71"/>
      <c r="K110" s="71"/>
      <c r="L110" s="7"/>
      <c r="M110" s="64" t="n">
        <f aca="true">IF(OR(B110="",H110="",I110=""),0,IF(TODAY()&lt;H110,0,IF(TODAY()&gt;=I110,100,(TODAY()-H110)/(I110-H110)*100)))</f>
        <v>0</v>
      </c>
      <c r="N110" s="72" t="n">
        <v>0</v>
      </c>
      <c r="O110" s="73"/>
      <c r="P110" s="73"/>
      <c r="Q110" s="67" t="str">
        <f aca="true">IF(B110="","",IF(K110&lt;&gt;"",IF(K110&lt;=I110,"Terminé à temps","Terminé hors délai"),IF(N110=0,IF(TODAY()&lt;H110,"En attente",IF(TODAY()&gt;I110+30,"Critique","En retard")),IF(N110&gt;=M110,"À temps",IF(N110&gt;=M110*0.8,"À surveiller",IF(N110&gt;=M110*0.5,"En retard","Critique"))))))</f>
        <v/>
      </c>
      <c r="R110" s="68" t="n">
        <f aca="false">IFERROR(IF(Q110="Terminé à temps",100,IF(Q110="Terminé hors délai",75,IF(Q110="À temps",50,IF(Q110="À surveiller",40,IF(Q110="En retard",25,IF(Q110="Critique",10,IF(Q110="En attente",50,0))))))),0)</f>
        <v>0</v>
      </c>
      <c r="S110" s="7"/>
      <c r="T110" s="74"/>
      <c r="U110" s="70" t="n">
        <f aca="false">IFERROR(IF(T110="",0,T110*N110/100),0)</f>
        <v>0</v>
      </c>
      <c r="V110" s="7"/>
    </row>
    <row r="111" customFormat="false" ht="24" hidden="false" customHeight="true" outlineLevel="0" collapsed="false">
      <c r="B111" s="11"/>
      <c r="C111" s="11"/>
      <c r="D111" s="11"/>
      <c r="E111" s="11"/>
      <c r="F111" s="11"/>
      <c r="G111" s="11"/>
      <c r="H111" s="63"/>
      <c r="I111" s="63"/>
      <c r="J111" s="63"/>
      <c r="K111" s="63"/>
      <c r="L111" s="11"/>
      <c r="M111" s="64" t="n">
        <f aca="true">IF(OR(B111="",H111="",I111=""),0,IF(TODAY()&lt;H111,0,IF(TODAY()&gt;=I111,100,(TODAY()-H111)/(I111-H111)*100)))</f>
        <v>0</v>
      </c>
      <c r="N111" s="65" t="n">
        <v>0</v>
      </c>
      <c r="O111" s="66"/>
      <c r="P111" s="66"/>
      <c r="Q111" s="67" t="str">
        <f aca="true">IF(B111="","",IF(K111&lt;&gt;"",IF(K111&lt;=I111,"Terminé à temps","Terminé hors délai"),IF(N111=0,IF(TODAY()&lt;H111,"En attente",IF(TODAY()&gt;I111+30,"Critique","En retard")),IF(N111&gt;=M111,"À temps",IF(N111&gt;=M111*0.8,"À surveiller",IF(N111&gt;=M111*0.5,"En retard","Critique"))))))</f>
        <v/>
      </c>
      <c r="R111" s="68" t="n">
        <f aca="false">IFERROR(IF(Q111="Terminé à temps",100,IF(Q111="Terminé hors délai",75,IF(Q111="À temps",50,IF(Q111="À surveiller",40,IF(Q111="En retard",25,IF(Q111="Critique",10,IF(Q111="En attente",50,0))))))),0)</f>
        <v>0</v>
      </c>
      <c r="S111" s="11"/>
      <c r="T111" s="69"/>
      <c r="U111" s="70" t="n">
        <f aca="false">IFERROR(IF(T111="",0,T111*N111/100),0)</f>
        <v>0</v>
      </c>
      <c r="V111" s="11"/>
    </row>
    <row r="112" customFormat="false" ht="24" hidden="false" customHeight="true" outlineLevel="0" collapsed="false">
      <c r="B112" s="7"/>
      <c r="C112" s="7"/>
      <c r="D112" s="7"/>
      <c r="E112" s="7"/>
      <c r="F112" s="7"/>
      <c r="G112" s="7"/>
      <c r="H112" s="71"/>
      <c r="I112" s="71"/>
      <c r="J112" s="71"/>
      <c r="K112" s="71"/>
      <c r="L112" s="7"/>
      <c r="M112" s="64" t="n">
        <f aca="true">IF(OR(B112="",H112="",I112=""),0,IF(TODAY()&lt;H112,0,IF(TODAY()&gt;=I112,100,(TODAY()-H112)/(I112-H112)*100)))</f>
        <v>0</v>
      </c>
      <c r="N112" s="72" t="n">
        <v>0</v>
      </c>
      <c r="O112" s="73"/>
      <c r="P112" s="73"/>
      <c r="Q112" s="67" t="str">
        <f aca="true">IF(B112="","",IF(K112&lt;&gt;"",IF(K112&lt;=I112,"Terminé à temps","Terminé hors délai"),IF(N112=0,IF(TODAY()&lt;H112,"En attente",IF(TODAY()&gt;I112+30,"Critique","En retard")),IF(N112&gt;=M112,"À temps",IF(N112&gt;=M112*0.8,"À surveiller",IF(N112&gt;=M112*0.5,"En retard","Critique"))))))</f>
        <v/>
      </c>
      <c r="R112" s="68" t="n">
        <f aca="false">IFERROR(IF(Q112="Terminé à temps",100,IF(Q112="Terminé hors délai",75,IF(Q112="À temps",50,IF(Q112="À surveiller",40,IF(Q112="En retard",25,IF(Q112="Critique",10,IF(Q112="En attente",50,0))))))),0)</f>
        <v>0</v>
      </c>
      <c r="S112" s="7"/>
      <c r="T112" s="74"/>
      <c r="U112" s="70" t="n">
        <f aca="false">IFERROR(IF(T112="",0,T112*N112/100),0)</f>
        <v>0</v>
      </c>
      <c r="V112" s="7"/>
    </row>
    <row r="113" customFormat="false" ht="24" hidden="false" customHeight="true" outlineLevel="0" collapsed="false">
      <c r="B113" s="11"/>
      <c r="C113" s="11"/>
      <c r="D113" s="11"/>
      <c r="E113" s="11"/>
      <c r="F113" s="11"/>
      <c r="G113" s="11"/>
      <c r="H113" s="63"/>
      <c r="I113" s="63"/>
      <c r="J113" s="63"/>
      <c r="K113" s="63"/>
      <c r="L113" s="11"/>
      <c r="M113" s="64" t="n">
        <f aca="true">IF(OR(B113="",H113="",I113=""),0,IF(TODAY()&lt;H113,0,IF(TODAY()&gt;=I113,100,(TODAY()-H113)/(I113-H113)*100)))</f>
        <v>0</v>
      </c>
      <c r="N113" s="65" t="n">
        <v>0</v>
      </c>
      <c r="O113" s="66"/>
      <c r="P113" s="66"/>
      <c r="Q113" s="67" t="str">
        <f aca="true">IF(B113="","",IF(K113&lt;&gt;"",IF(K113&lt;=I113,"Terminé à temps","Terminé hors délai"),IF(N113=0,IF(TODAY()&lt;H113,"En attente",IF(TODAY()&gt;I113+30,"Critique","En retard")),IF(N113&gt;=M113,"À temps",IF(N113&gt;=M113*0.8,"À surveiller",IF(N113&gt;=M113*0.5,"En retard","Critique"))))))</f>
        <v/>
      </c>
      <c r="R113" s="68" t="n">
        <f aca="false">IFERROR(IF(Q113="Terminé à temps",100,IF(Q113="Terminé hors délai",75,IF(Q113="À temps",50,IF(Q113="À surveiller",40,IF(Q113="En retard",25,IF(Q113="Critique",10,IF(Q113="En attente",50,0))))))),0)</f>
        <v>0</v>
      </c>
      <c r="S113" s="11"/>
      <c r="T113" s="69"/>
      <c r="U113" s="70" t="n">
        <f aca="false">IFERROR(IF(T113="",0,T113*N113/100),0)</f>
        <v>0</v>
      </c>
      <c r="V113" s="11"/>
    </row>
    <row r="114" customFormat="false" ht="24" hidden="false" customHeight="true" outlineLevel="0" collapsed="false">
      <c r="B114" s="7"/>
      <c r="C114" s="7"/>
      <c r="D114" s="7"/>
      <c r="E114" s="7"/>
      <c r="F114" s="7"/>
      <c r="G114" s="7"/>
      <c r="H114" s="71"/>
      <c r="I114" s="71"/>
      <c r="J114" s="71"/>
      <c r="K114" s="71"/>
      <c r="L114" s="7"/>
      <c r="M114" s="64" t="n">
        <f aca="true">IF(OR(B114="",H114="",I114=""),0,IF(TODAY()&lt;H114,0,IF(TODAY()&gt;=I114,100,(TODAY()-H114)/(I114-H114)*100)))</f>
        <v>0</v>
      </c>
      <c r="N114" s="72" t="n">
        <v>0</v>
      </c>
      <c r="O114" s="73"/>
      <c r="P114" s="73"/>
      <c r="Q114" s="67" t="str">
        <f aca="true">IF(B114="","",IF(K114&lt;&gt;"",IF(K114&lt;=I114,"Terminé à temps","Terminé hors délai"),IF(N114=0,IF(TODAY()&lt;H114,"En attente",IF(TODAY()&gt;I114+30,"Critique","En retard")),IF(N114&gt;=M114,"À temps",IF(N114&gt;=M114*0.8,"À surveiller",IF(N114&gt;=M114*0.5,"En retard","Critique"))))))</f>
        <v/>
      </c>
      <c r="R114" s="68" t="n">
        <f aca="false">IFERROR(IF(Q114="Terminé à temps",100,IF(Q114="Terminé hors délai",75,IF(Q114="À temps",50,IF(Q114="À surveiller",40,IF(Q114="En retard",25,IF(Q114="Critique",10,IF(Q114="En attente",50,0))))))),0)</f>
        <v>0</v>
      </c>
      <c r="S114" s="7"/>
      <c r="T114" s="74"/>
      <c r="U114" s="70" t="n">
        <f aca="false">IFERROR(IF(T114="",0,T114*N114/100),0)</f>
        <v>0</v>
      </c>
      <c r="V114" s="7"/>
    </row>
    <row r="115" customFormat="false" ht="24" hidden="false" customHeight="true" outlineLevel="0" collapsed="false">
      <c r="B115" s="11"/>
      <c r="C115" s="11"/>
      <c r="D115" s="11"/>
      <c r="E115" s="11"/>
      <c r="F115" s="11"/>
      <c r="G115" s="11"/>
      <c r="H115" s="63"/>
      <c r="I115" s="63"/>
      <c r="J115" s="63"/>
      <c r="K115" s="63"/>
      <c r="L115" s="11"/>
      <c r="M115" s="64" t="n">
        <f aca="true">IF(OR(B115="",H115="",I115=""),0,IF(TODAY()&lt;H115,0,IF(TODAY()&gt;=I115,100,(TODAY()-H115)/(I115-H115)*100)))</f>
        <v>0</v>
      </c>
      <c r="N115" s="65" t="n">
        <v>0</v>
      </c>
      <c r="O115" s="66"/>
      <c r="P115" s="66"/>
      <c r="Q115" s="67" t="str">
        <f aca="true">IF(B115="","",IF(K115&lt;&gt;"",IF(K115&lt;=I115,"Terminé à temps","Terminé hors délai"),IF(N115=0,IF(TODAY()&lt;H115,"En attente",IF(TODAY()&gt;I115+30,"Critique","En retard")),IF(N115&gt;=M115,"À temps",IF(N115&gt;=M115*0.8,"À surveiller",IF(N115&gt;=M115*0.5,"En retard","Critique"))))))</f>
        <v/>
      </c>
      <c r="R115" s="68" t="n">
        <f aca="false">IFERROR(IF(Q115="Terminé à temps",100,IF(Q115="Terminé hors délai",75,IF(Q115="À temps",50,IF(Q115="À surveiller",40,IF(Q115="En retard",25,IF(Q115="Critique",10,IF(Q115="En attente",50,0))))))),0)</f>
        <v>0</v>
      </c>
      <c r="S115" s="11"/>
      <c r="T115" s="69"/>
      <c r="U115" s="70" t="n">
        <f aca="false">IFERROR(IF(T115="",0,T115*N115/100),0)</f>
        <v>0</v>
      </c>
      <c r="V115" s="11"/>
    </row>
    <row r="116" customFormat="false" ht="24" hidden="false" customHeight="true" outlineLevel="0" collapsed="false">
      <c r="B116" s="7"/>
      <c r="C116" s="7"/>
      <c r="D116" s="7"/>
      <c r="E116" s="7"/>
      <c r="F116" s="7"/>
      <c r="G116" s="7"/>
      <c r="H116" s="71"/>
      <c r="I116" s="71"/>
      <c r="J116" s="71"/>
      <c r="K116" s="71"/>
      <c r="L116" s="7"/>
      <c r="M116" s="64" t="n">
        <f aca="true">IF(OR(B116="",H116="",I116=""),0,IF(TODAY()&lt;H116,0,IF(TODAY()&gt;=I116,100,(TODAY()-H116)/(I116-H116)*100)))</f>
        <v>0</v>
      </c>
      <c r="N116" s="72" t="n">
        <v>0</v>
      </c>
      <c r="O116" s="73"/>
      <c r="P116" s="73"/>
      <c r="Q116" s="67" t="str">
        <f aca="true">IF(B116="","",IF(K116&lt;&gt;"",IF(K116&lt;=I116,"Terminé à temps","Terminé hors délai"),IF(N116=0,IF(TODAY()&lt;H116,"En attente",IF(TODAY()&gt;I116+30,"Critique","En retard")),IF(N116&gt;=M116,"À temps",IF(N116&gt;=M116*0.8,"À surveiller",IF(N116&gt;=M116*0.5,"En retard","Critique"))))))</f>
        <v/>
      </c>
      <c r="R116" s="68" t="n">
        <f aca="false">IFERROR(IF(Q116="Terminé à temps",100,IF(Q116="Terminé hors délai",75,IF(Q116="À temps",50,IF(Q116="À surveiller",40,IF(Q116="En retard",25,IF(Q116="Critique",10,IF(Q116="En attente",50,0))))))),0)</f>
        <v>0</v>
      </c>
      <c r="S116" s="7"/>
      <c r="T116" s="74"/>
      <c r="U116" s="70" t="n">
        <f aca="false">IFERROR(IF(T116="",0,T116*N116/100),0)</f>
        <v>0</v>
      </c>
      <c r="V116" s="7"/>
    </row>
    <row r="117" customFormat="false" ht="24" hidden="false" customHeight="true" outlineLevel="0" collapsed="false">
      <c r="B117" s="11"/>
      <c r="C117" s="11"/>
      <c r="D117" s="11"/>
      <c r="E117" s="11"/>
      <c r="F117" s="11"/>
      <c r="G117" s="11"/>
      <c r="H117" s="63"/>
      <c r="I117" s="63"/>
      <c r="J117" s="63"/>
      <c r="K117" s="63"/>
      <c r="L117" s="11"/>
      <c r="M117" s="64" t="n">
        <f aca="true">IF(OR(B117="",H117="",I117=""),0,IF(TODAY()&lt;H117,0,IF(TODAY()&gt;=I117,100,(TODAY()-H117)/(I117-H117)*100)))</f>
        <v>0</v>
      </c>
      <c r="N117" s="65" t="n">
        <v>0</v>
      </c>
      <c r="O117" s="66"/>
      <c r="P117" s="66"/>
      <c r="Q117" s="67" t="str">
        <f aca="true">IF(B117="","",IF(K117&lt;&gt;"",IF(K117&lt;=I117,"Terminé à temps","Terminé hors délai"),IF(N117=0,IF(TODAY()&lt;H117,"En attente",IF(TODAY()&gt;I117+30,"Critique","En retard")),IF(N117&gt;=M117,"À temps",IF(N117&gt;=M117*0.8,"À surveiller",IF(N117&gt;=M117*0.5,"En retard","Critique"))))))</f>
        <v/>
      </c>
      <c r="R117" s="68" t="n">
        <f aca="false">IFERROR(IF(Q117="Terminé à temps",100,IF(Q117="Terminé hors délai",75,IF(Q117="À temps",50,IF(Q117="À surveiller",40,IF(Q117="En retard",25,IF(Q117="Critique",10,IF(Q117="En attente",50,0))))))),0)</f>
        <v>0</v>
      </c>
      <c r="S117" s="11"/>
      <c r="T117" s="69"/>
      <c r="U117" s="70" t="n">
        <f aca="false">IFERROR(IF(T117="",0,T117*N117/100),0)</f>
        <v>0</v>
      </c>
      <c r="V117" s="11"/>
    </row>
    <row r="118" customFormat="false" ht="24" hidden="false" customHeight="true" outlineLevel="0" collapsed="false">
      <c r="B118" s="7"/>
      <c r="C118" s="7"/>
      <c r="D118" s="7"/>
      <c r="E118" s="7"/>
      <c r="F118" s="7"/>
      <c r="G118" s="7"/>
      <c r="H118" s="71"/>
      <c r="I118" s="71"/>
      <c r="J118" s="71"/>
      <c r="K118" s="71"/>
      <c r="L118" s="7"/>
      <c r="M118" s="64" t="n">
        <f aca="true">IF(OR(B118="",H118="",I118=""),0,IF(TODAY()&lt;H118,0,IF(TODAY()&gt;=I118,100,(TODAY()-H118)/(I118-H118)*100)))</f>
        <v>0</v>
      </c>
      <c r="N118" s="72" t="n">
        <v>0</v>
      </c>
      <c r="O118" s="73"/>
      <c r="P118" s="73"/>
      <c r="Q118" s="67" t="str">
        <f aca="true">IF(B118="","",IF(K118&lt;&gt;"",IF(K118&lt;=I118,"Terminé à temps","Terminé hors délai"),IF(N118=0,IF(TODAY()&lt;H118,"En attente",IF(TODAY()&gt;I118+30,"Critique","En retard")),IF(N118&gt;=M118,"À temps",IF(N118&gt;=M118*0.8,"À surveiller",IF(N118&gt;=M118*0.5,"En retard","Critique"))))))</f>
        <v/>
      </c>
      <c r="R118" s="68" t="n">
        <f aca="false">IFERROR(IF(Q118="Terminé à temps",100,IF(Q118="Terminé hors délai",75,IF(Q118="À temps",50,IF(Q118="À surveiller",40,IF(Q118="En retard",25,IF(Q118="Critique",10,IF(Q118="En attente",50,0))))))),0)</f>
        <v>0</v>
      </c>
      <c r="S118" s="7"/>
      <c r="T118" s="74"/>
      <c r="U118" s="70" t="n">
        <f aca="false">IFERROR(IF(T118="",0,T118*N118/100),0)</f>
        <v>0</v>
      </c>
      <c r="V118" s="7"/>
    </row>
    <row r="119" customFormat="false" ht="24" hidden="false" customHeight="true" outlineLevel="0" collapsed="false">
      <c r="B119" s="11"/>
      <c r="C119" s="11"/>
      <c r="D119" s="11"/>
      <c r="E119" s="11"/>
      <c r="F119" s="11"/>
      <c r="G119" s="11"/>
      <c r="H119" s="63"/>
      <c r="I119" s="63"/>
      <c r="J119" s="63"/>
      <c r="K119" s="63"/>
      <c r="L119" s="11"/>
      <c r="M119" s="64" t="n">
        <f aca="true">IF(OR(B119="",H119="",I119=""),0,IF(TODAY()&lt;H119,0,IF(TODAY()&gt;=I119,100,(TODAY()-H119)/(I119-H119)*100)))</f>
        <v>0</v>
      </c>
      <c r="N119" s="65" t="n">
        <v>0</v>
      </c>
      <c r="O119" s="66"/>
      <c r="P119" s="66"/>
      <c r="Q119" s="67" t="str">
        <f aca="true">IF(B119="","",IF(K119&lt;&gt;"",IF(K119&lt;=I119,"Terminé à temps","Terminé hors délai"),IF(N119=0,IF(TODAY()&lt;H119,"En attente",IF(TODAY()&gt;I119+30,"Critique","En retard")),IF(N119&gt;=M119,"À temps",IF(N119&gt;=M119*0.8,"À surveiller",IF(N119&gt;=M119*0.5,"En retard","Critique"))))))</f>
        <v/>
      </c>
      <c r="R119" s="68" t="n">
        <f aca="false">IFERROR(IF(Q119="Terminé à temps",100,IF(Q119="Terminé hors délai",75,IF(Q119="À temps",50,IF(Q119="À surveiller",40,IF(Q119="En retard",25,IF(Q119="Critique",10,IF(Q119="En attente",50,0))))))),0)</f>
        <v>0</v>
      </c>
      <c r="S119" s="11"/>
      <c r="T119" s="69"/>
      <c r="U119" s="70" t="n">
        <f aca="false">IFERROR(IF(T119="",0,T119*N119/100),0)</f>
        <v>0</v>
      </c>
      <c r="V119" s="11"/>
    </row>
    <row r="120" customFormat="false" ht="24" hidden="false" customHeight="true" outlineLevel="0" collapsed="false">
      <c r="B120" s="7"/>
      <c r="C120" s="7"/>
      <c r="D120" s="7"/>
      <c r="E120" s="7"/>
      <c r="F120" s="7"/>
      <c r="G120" s="7"/>
      <c r="H120" s="71"/>
      <c r="I120" s="71"/>
      <c r="J120" s="71"/>
      <c r="K120" s="71"/>
      <c r="L120" s="7"/>
      <c r="M120" s="64" t="n">
        <f aca="true">IF(OR(B120="",H120="",I120=""),0,IF(TODAY()&lt;H120,0,IF(TODAY()&gt;=I120,100,(TODAY()-H120)/(I120-H120)*100)))</f>
        <v>0</v>
      </c>
      <c r="N120" s="72" t="n">
        <v>0</v>
      </c>
      <c r="O120" s="73"/>
      <c r="P120" s="73"/>
      <c r="Q120" s="67" t="str">
        <f aca="true">IF(B120="","",IF(K120&lt;&gt;"",IF(K120&lt;=I120,"Terminé à temps","Terminé hors délai"),IF(N120=0,IF(TODAY()&lt;H120,"En attente",IF(TODAY()&gt;I120+30,"Critique","En retard")),IF(N120&gt;=M120,"À temps",IF(N120&gt;=M120*0.8,"À surveiller",IF(N120&gt;=M120*0.5,"En retard","Critique"))))))</f>
        <v/>
      </c>
      <c r="R120" s="68" t="n">
        <f aca="false">IFERROR(IF(Q120="Terminé à temps",100,IF(Q120="Terminé hors délai",75,IF(Q120="À temps",50,IF(Q120="À surveiller",40,IF(Q120="En retard",25,IF(Q120="Critique",10,IF(Q120="En attente",50,0))))))),0)</f>
        <v>0</v>
      </c>
      <c r="S120" s="7"/>
      <c r="T120" s="74"/>
      <c r="U120" s="70" t="n">
        <f aca="false">IFERROR(IF(T120="",0,T120*N120/100),0)</f>
        <v>0</v>
      </c>
      <c r="V120" s="7"/>
    </row>
    <row r="121" customFormat="false" ht="24" hidden="false" customHeight="true" outlineLevel="0" collapsed="false">
      <c r="B121" s="11"/>
      <c r="C121" s="11"/>
      <c r="D121" s="11"/>
      <c r="E121" s="11"/>
      <c r="F121" s="11"/>
      <c r="G121" s="11"/>
      <c r="H121" s="63"/>
      <c r="I121" s="63"/>
      <c r="J121" s="63"/>
      <c r="K121" s="63"/>
      <c r="L121" s="11"/>
      <c r="M121" s="64" t="n">
        <f aca="true">IF(OR(B121="",H121="",I121=""),0,IF(TODAY()&lt;H121,0,IF(TODAY()&gt;=I121,100,(TODAY()-H121)/(I121-H121)*100)))</f>
        <v>0</v>
      </c>
      <c r="N121" s="65" t="n">
        <v>0</v>
      </c>
      <c r="O121" s="66"/>
      <c r="P121" s="66"/>
      <c r="Q121" s="67" t="str">
        <f aca="true">IF(B121="","",IF(K121&lt;&gt;"",IF(K121&lt;=I121,"Terminé à temps","Terminé hors délai"),IF(N121=0,IF(TODAY()&lt;H121,"En attente",IF(TODAY()&gt;I121+30,"Critique","En retard")),IF(N121&gt;=M121,"À temps",IF(N121&gt;=M121*0.8,"À surveiller",IF(N121&gt;=M121*0.5,"En retard","Critique"))))))</f>
        <v/>
      </c>
      <c r="R121" s="68" t="n">
        <f aca="false">IFERROR(IF(Q121="Terminé à temps",100,IF(Q121="Terminé hors délai",75,IF(Q121="À temps",50,IF(Q121="À surveiller",40,IF(Q121="En retard",25,IF(Q121="Critique",10,IF(Q121="En attente",50,0))))))),0)</f>
        <v>0</v>
      </c>
      <c r="S121" s="11"/>
      <c r="T121" s="69"/>
      <c r="U121" s="70" t="n">
        <f aca="false">IFERROR(IF(T121="",0,T121*N121/100),0)</f>
        <v>0</v>
      </c>
      <c r="V121" s="11"/>
    </row>
    <row r="122" customFormat="false" ht="24" hidden="false" customHeight="true" outlineLevel="0" collapsed="false">
      <c r="B122" s="7"/>
      <c r="C122" s="7"/>
      <c r="D122" s="7"/>
      <c r="E122" s="7"/>
      <c r="F122" s="7"/>
      <c r="G122" s="7"/>
      <c r="H122" s="71"/>
      <c r="I122" s="71"/>
      <c r="J122" s="71"/>
      <c r="K122" s="71"/>
      <c r="L122" s="7"/>
      <c r="M122" s="64" t="n">
        <f aca="true">IF(OR(B122="",H122="",I122=""),0,IF(TODAY()&lt;H122,0,IF(TODAY()&gt;=I122,100,(TODAY()-H122)/(I122-H122)*100)))</f>
        <v>0</v>
      </c>
      <c r="N122" s="72" t="n">
        <v>0</v>
      </c>
      <c r="O122" s="73"/>
      <c r="P122" s="73"/>
      <c r="Q122" s="67" t="str">
        <f aca="true">IF(B122="","",IF(K122&lt;&gt;"",IF(K122&lt;=I122,"Terminé à temps","Terminé hors délai"),IF(N122=0,IF(TODAY()&lt;H122,"En attente",IF(TODAY()&gt;I122+30,"Critique","En retard")),IF(N122&gt;=M122,"À temps",IF(N122&gt;=M122*0.8,"À surveiller",IF(N122&gt;=M122*0.5,"En retard","Critique"))))))</f>
        <v/>
      </c>
      <c r="R122" s="68" t="n">
        <f aca="false">IFERROR(IF(Q122="Terminé à temps",100,IF(Q122="Terminé hors délai",75,IF(Q122="À temps",50,IF(Q122="À surveiller",40,IF(Q122="En retard",25,IF(Q122="Critique",10,IF(Q122="En attente",50,0))))))),0)</f>
        <v>0</v>
      </c>
      <c r="S122" s="7"/>
      <c r="T122" s="74"/>
      <c r="U122" s="70" t="n">
        <f aca="false">IFERROR(IF(T122="",0,T122*N122/100),0)</f>
        <v>0</v>
      </c>
      <c r="V122" s="7"/>
    </row>
    <row r="123" customFormat="false" ht="24" hidden="false" customHeight="true" outlineLevel="0" collapsed="false">
      <c r="B123" s="11"/>
      <c r="C123" s="11"/>
      <c r="D123" s="11"/>
      <c r="E123" s="11"/>
      <c r="F123" s="11"/>
      <c r="G123" s="11"/>
      <c r="H123" s="63"/>
      <c r="I123" s="63"/>
      <c r="J123" s="63"/>
      <c r="K123" s="63"/>
      <c r="L123" s="11"/>
      <c r="M123" s="64" t="n">
        <f aca="true">IF(OR(B123="",H123="",I123=""),0,IF(TODAY()&lt;H123,0,IF(TODAY()&gt;=I123,100,(TODAY()-H123)/(I123-H123)*100)))</f>
        <v>0</v>
      </c>
      <c r="N123" s="65" t="n">
        <v>0</v>
      </c>
      <c r="O123" s="66"/>
      <c r="P123" s="66"/>
      <c r="Q123" s="67" t="str">
        <f aca="true">IF(B123="","",IF(K123&lt;&gt;"",IF(K123&lt;=I123,"Terminé à temps","Terminé hors délai"),IF(N123=0,IF(TODAY()&lt;H123,"En attente",IF(TODAY()&gt;I123+30,"Critique","En retard")),IF(N123&gt;=M123,"À temps",IF(N123&gt;=M123*0.8,"À surveiller",IF(N123&gt;=M123*0.5,"En retard","Critique"))))))</f>
        <v/>
      </c>
      <c r="R123" s="68" t="n">
        <f aca="false">IFERROR(IF(Q123="Terminé à temps",100,IF(Q123="Terminé hors délai",75,IF(Q123="À temps",50,IF(Q123="À surveiller",40,IF(Q123="En retard",25,IF(Q123="Critique",10,IF(Q123="En attente",50,0))))))),0)</f>
        <v>0</v>
      </c>
      <c r="S123" s="11"/>
      <c r="T123" s="69"/>
      <c r="U123" s="70" t="n">
        <f aca="false">IFERROR(IF(T123="",0,T123*N123/100),0)</f>
        <v>0</v>
      </c>
      <c r="V123" s="11"/>
    </row>
    <row r="124" customFormat="false" ht="24" hidden="false" customHeight="true" outlineLevel="0" collapsed="false">
      <c r="B124" s="7"/>
      <c r="C124" s="7"/>
      <c r="D124" s="7"/>
      <c r="E124" s="7"/>
      <c r="F124" s="7"/>
      <c r="G124" s="7"/>
      <c r="H124" s="71"/>
      <c r="I124" s="71"/>
      <c r="J124" s="71"/>
      <c r="K124" s="71"/>
      <c r="L124" s="7"/>
      <c r="M124" s="64" t="n">
        <f aca="true">IF(OR(B124="",H124="",I124=""),0,IF(TODAY()&lt;H124,0,IF(TODAY()&gt;=I124,100,(TODAY()-H124)/(I124-H124)*100)))</f>
        <v>0</v>
      </c>
      <c r="N124" s="72" t="n">
        <v>0</v>
      </c>
      <c r="O124" s="73"/>
      <c r="P124" s="73"/>
      <c r="Q124" s="67" t="str">
        <f aca="true">IF(B124="","",IF(K124&lt;&gt;"",IF(K124&lt;=I124,"Terminé à temps","Terminé hors délai"),IF(N124=0,IF(TODAY()&lt;H124,"En attente",IF(TODAY()&gt;I124+30,"Critique","En retard")),IF(N124&gt;=M124,"À temps",IF(N124&gt;=M124*0.8,"À surveiller",IF(N124&gt;=M124*0.5,"En retard","Critique"))))))</f>
        <v/>
      </c>
      <c r="R124" s="68" t="n">
        <f aca="false">IFERROR(IF(Q124="Terminé à temps",100,IF(Q124="Terminé hors délai",75,IF(Q124="À temps",50,IF(Q124="À surveiller",40,IF(Q124="En retard",25,IF(Q124="Critique",10,IF(Q124="En attente",50,0))))))),0)</f>
        <v>0</v>
      </c>
      <c r="S124" s="7"/>
      <c r="T124" s="74"/>
      <c r="U124" s="70" t="n">
        <f aca="false">IFERROR(IF(T124="",0,T124*N124/100),0)</f>
        <v>0</v>
      </c>
      <c r="V124" s="7"/>
    </row>
    <row r="125" customFormat="false" ht="24" hidden="false" customHeight="true" outlineLevel="0" collapsed="false">
      <c r="B125" s="11"/>
      <c r="C125" s="11"/>
      <c r="D125" s="11"/>
      <c r="E125" s="11"/>
      <c r="F125" s="11"/>
      <c r="G125" s="11"/>
      <c r="H125" s="63"/>
      <c r="I125" s="63"/>
      <c r="J125" s="63"/>
      <c r="K125" s="63"/>
      <c r="L125" s="11"/>
      <c r="M125" s="64" t="n">
        <f aca="true">IF(OR(B125="",H125="",I125=""),0,IF(TODAY()&lt;H125,0,IF(TODAY()&gt;=I125,100,(TODAY()-H125)/(I125-H125)*100)))</f>
        <v>0</v>
      </c>
      <c r="N125" s="65" t="n">
        <v>0</v>
      </c>
      <c r="O125" s="66"/>
      <c r="P125" s="66"/>
      <c r="Q125" s="67" t="str">
        <f aca="true">IF(B125="","",IF(K125&lt;&gt;"",IF(K125&lt;=I125,"Terminé à temps","Terminé hors délai"),IF(N125=0,IF(TODAY()&lt;H125,"En attente",IF(TODAY()&gt;I125+30,"Critique","En retard")),IF(N125&gt;=M125,"À temps",IF(N125&gt;=M125*0.8,"À surveiller",IF(N125&gt;=M125*0.5,"En retard","Critique"))))))</f>
        <v/>
      </c>
      <c r="R125" s="68" t="n">
        <f aca="false">IFERROR(IF(Q125="Terminé à temps",100,IF(Q125="Terminé hors délai",75,IF(Q125="À temps",50,IF(Q125="À surveiller",40,IF(Q125="En retard",25,IF(Q125="Critique",10,IF(Q125="En attente",50,0))))))),0)</f>
        <v>0</v>
      </c>
      <c r="S125" s="11"/>
      <c r="T125" s="69"/>
      <c r="U125" s="70" t="n">
        <f aca="false">IFERROR(IF(T125="",0,T125*N125/100),0)</f>
        <v>0</v>
      </c>
      <c r="V125" s="11"/>
    </row>
    <row r="126" customFormat="false" ht="24" hidden="false" customHeight="true" outlineLevel="0" collapsed="false">
      <c r="B126" s="7"/>
      <c r="C126" s="7"/>
      <c r="D126" s="7"/>
      <c r="E126" s="7"/>
      <c r="F126" s="7"/>
      <c r="G126" s="7"/>
      <c r="H126" s="71"/>
      <c r="I126" s="71"/>
      <c r="J126" s="71"/>
      <c r="K126" s="71"/>
      <c r="L126" s="7"/>
      <c r="M126" s="64" t="n">
        <f aca="true">IF(OR(B126="",H126="",I126=""),0,IF(TODAY()&lt;H126,0,IF(TODAY()&gt;=I126,100,(TODAY()-H126)/(I126-H126)*100)))</f>
        <v>0</v>
      </c>
      <c r="N126" s="72" t="n">
        <v>0</v>
      </c>
      <c r="O126" s="73"/>
      <c r="P126" s="73"/>
      <c r="Q126" s="67" t="str">
        <f aca="true">IF(B126="","",IF(K126&lt;&gt;"",IF(K126&lt;=I126,"Terminé à temps","Terminé hors délai"),IF(N126=0,IF(TODAY()&lt;H126,"En attente",IF(TODAY()&gt;I126+30,"Critique","En retard")),IF(N126&gt;=M126,"À temps",IF(N126&gt;=M126*0.8,"À surveiller",IF(N126&gt;=M126*0.5,"En retard","Critique"))))))</f>
        <v/>
      </c>
      <c r="R126" s="68" t="n">
        <f aca="false">IFERROR(IF(Q126="Terminé à temps",100,IF(Q126="Terminé hors délai",75,IF(Q126="À temps",50,IF(Q126="À surveiller",40,IF(Q126="En retard",25,IF(Q126="Critique",10,IF(Q126="En attente",50,0))))))),0)</f>
        <v>0</v>
      </c>
      <c r="S126" s="7"/>
      <c r="T126" s="74"/>
      <c r="U126" s="70" t="n">
        <f aca="false">IFERROR(IF(T126="",0,T126*N126/100),0)</f>
        <v>0</v>
      </c>
      <c r="V126" s="7"/>
    </row>
    <row r="127" customFormat="false" ht="24" hidden="false" customHeight="true" outlineLevel="0" collapsed="false">
      <c r="B127" s="11"/>
      <c r="C127" s="11"/>
      <c r="D127" s="11"/>
      <c r="E127" s="11"/>
      <c r="F127" s="11"/>
      <c r="G127" s="11"/>
      <c r="H127" s="63"/>
      <c r="I127" s="63"/>
      <c r="J127" s="63"/>
      <c r="K127" s="63"/>
      <c r="L127" s="11"/>
      <c r="M127" s="64" t="n">
        <f aca="true">IF(OR(B127="",H127="",I127=""),0,IF(TODAY()&lt;H127,0,IF(TODAY()&gt;=I127,100,(TODAY()-H127)/(I127-H127)*100)))</f>
        <v>0</v>
      </c>
      <c r="N127" s="65" t="n">
        <v>0</v>
      </c>
      <c r="O127" s="66"/>
      <c r="P127" s="66"/>
      <c r="Q127" s="67" t="str">
        <f aca="true">IF(B127="","",IF(K127&lt;&gt;"",IF(K127&lt;=I127,"Terminé à temps","Terminé hors délai"),IF(N127=0,IF(TODAY()&lt;H127,"En attente",IF(TODAY()&gt;I127+30,"Critique","En retard")),IF(N127&gt;=M127,"À temps",IF(N127&gt;=M127*0.8,"À surveiller",IF(N127&gt;=M127*0.5,"En retard","Critique"))))))</f>
        <v/>
      </c>
      <c r="R127" s="68" t="n">
        <f aca="false">IFERROR(IF(Q127="Terminé à temps",100,IF(Q127="Terminé hors délai",75,IF(Q127="À temps",50,IF(Q127="À surveiller",40,IF(Q127="En retard",25,IF(Q127="Critique",10,IF(Q127="En attente",50,0))))))),0)</f>
        <v>0</v>
      </c>
      <c r="S127" s="11"/>
      <c r="T127" s="69"/>
      <c r="U127" s="70" t="n">
        <f aca="false">IFERROR(IF(T127="",0,T127*N127/100),0)</f>
        <v>0</v>
      </c>
      <c r="V127" s="11"/>
    </row>
    <row r="128" customFormat="false" ht="24" hidden="false" customHeight="true" outlineLevel="0" collapsed="false">
      <c r="B128" s="7"/>
      <c r="C128" s="7"/>
      <c r="D128" s="7"/>
      <c r="E128" s="7"/>
      <c r="F128" s="7"/>
      <c r="G128" s="7"/>
      <c r="H128" s="71"/>
      <c r="I128" s="71"/>
      <c r="J128" s="71"/>
      <c r="K128" s="71"/>
      <c r="L128" s="7"/>
      <c r="M128" s="64" t="n">
        <f aca="true">IF(OR(B128="",H128="",I128=""),0,IF(TODAY()&lt;H128,0,IF(TODAY()&gt;=I128,100,(TODAY()-H128)/(I128-H128)*100)))</f>
        <v>0</v>
      </c>
      <c r="N128" s="72" t="n">
        <v>0</v>
      </c>
      <c r="O128" s="73"/>
      <c r="P128" s="73"/>
      <c r="Q128" s="67" t="str">
        <f aca="true">IF(B128="","",IF(K128&lt;&gt;"",IF(K128&lt;=I128,"Terminé à temps","Terminé hors délai"),IF(N128=0,IF(TODAY()&lt;H128,"En attente",IF(TODAY()&gt;I128+30,"Critique","En retard")),IF(N128&gt;=M128,"À temps",IF(N128&gt;=M128*0.8,"À surveiller",IF(N128&gt;=M128*0.5,"En retard","Critique"))))))</f>
        <v/>
      </c>
      <c r="R128" s="68" t="n">
        <f aca="false">IFERROR(IF(Q128="Terminé à temps",100,IF(Q128="Terminé hors délai",75,IF(Q128="À temps",50,IF(Q128="À surveiller",40,IF(Q128="En retard",25,IF(Q128="Critique",10,IF(Q128="En attente",50,0))))))),0)</f>
        <v>0</v>
      </c>
      <c r="S128" s="7"/>
      <c r="T128" s="74"/>
      <c r="U128" s="70" t="n">
        <f aca="false">IFERROR(IF(T128="",0,T128*N128/100),0)</f>
        <v>0</v>
      </c>
      <c r="V128" s="7"/>
    </row>
    <row r="129" customFormat="false" ht="24" hidden="false" customHeight="true" outlineLevel="0" collapsed="false">
      <c r="B129" s="11"/>
      <c r="C129" s="11"/>
      <c r="D129" s="11"/>
      <c r="E129" s="11"/>
      <c r="F129" s="11"/>
      <c r="G129" s="11"/>
      <c r="H129" s="63"/>
      <c r="I129" s="63"/>
      <c r="J129" s="63"/>
      <c r="K129" s="63"/>
      <c r="L129" s="11"/>
      <c r="M129" s="64" t="n">
        <f aca="true">IF(OR(B129="",H129="",I129=""),0,IF(TODAY()&lt;H129,0,IF(TODAY()&gt;=I129,100,(TODAY()-H129)/(I129-H129)*100)))</f>
        <v>0</v>
      </c>
      <c r="N129" s="65" t="n">
        <v>0</v>
      </c>
      <c r="O129" s="66"/>
      <c r="P129" s="66"/>
      <c r="Q129" s="67" t="str">
        <f aca="true">IF(B129="","",IF(K129&lt;&gt;"",IF(K129&lt;=I129,"Terminé à temps","Terminé hors délai"),IF(N129=0,IF(TODAY()&lt;H129,"En attente",IF(TODAY()&gt;I129+30,"Critique","En retard")),IF(N129&gt;=M129,"À temps",IF(N129&gt;=M129*0.8,"À surveiller",IF(N129&gt;=M129*0.5,"En retard","Critique"))))))</f>
        <v/>
      </c>
      <c r="R129" s="68" t="n">
        <f aca="false">IFERROR(IF(Q129="Terminé à temps",100,IF(Q129="Terminé hors délai",75,IF(Q129="À temps",50,IF(Q129="À surveiller",40,IF(Q129="En retard",25,IF(Q129="Critique",10,IF(Q129="En attente",50,0))))))),0)</f>
        <v>0</v>
      </c>
      <c r="S129" s="11"/>
      <c r="T129" s="69"/>
      <c r="U129" s="70" t="n">
        <f aca="false">IFERROR(IF(T129="",0,T129*N129/100),0)</f>
        <v>0</v>
      </c>
      <c r="V129" s="11"/>
    </row>
    <row r="130" customFormat="false" ht="24" hidden="false" customHeight="true" outlineLevel="0" collapsed="false">
      <c r="B130" s="7"/>
      <c r="C130" s="7"/>
      <c r="D130" s="7"/>
      <c r="E130" s="7"/>
      <c r="F130" s="7"/>
      <c r="G130" s="7"/>
      <c r="H130" s="71"/>
      <c r="I130" s="71"/>
      <c r="J130" s="71"/>
      <c r="K130" s="71"/>
      <c r="L130" s="7"/>
      <c r="M130" s="64" t="n">
        <f aca="true">IF(OR(B130="",H130="",I130=""),0,IF(TODAY()&lt;H130,0,IF(TODAY()&gt;=I130,100,(TODAY()-H130)/(I130-H130)*100)))</f>
        <v>0</v>
      </c>
      <c r="N130" s="72" t="n">
        <v>0</v>
      </c>
      <c r="O130" s="73"/>
      <c r="P130" s="73"/>
      <c r="Q130" s="67" t="str">
        <f aca="true">IF(B130="","",IF(K130&lt;&gt;"",IF(K130&lt;=I130,"Terminé à temps","Terminé hors délai"),IF(N130=0,IF(TODAY()&lt;H130,"En attente",IF(TODAY()&gt;I130+30,"Critique","En retard")),IF(N130&gt;=M130,"À temps",IF(N130&gt;=M130*0.8,"À surveiller",IF(N130&gt;=M130*0.5,"En retard","Critique"))))))</f>
        <v/>
      </c>
      <c r="R130" s="68" t="n">
        <f aca="false">IFERROR(IF(Q130="Terminé à temps",100,IF(Q130="Terminé hors délai",75,IF(Q130="À temps",50,IF(Q130="À surveiller",40,IF(Q130="En retard",25,IF(Q130="Critique",10,IF(Q130="En attente",50,0))))))),0)</f>
        <v>0</v>
      </c>
      <c r="S130" s="7"/>
      <c r="T130" s="74"/>
      <c r="U130" s="70" t="n">
        <f aca="false">IFERROR(IF(T130="",0,T130*N130/100),0)</f>
        <v>0</v>
      </c>
      <c r="V130" s="7"/>
    </row>
    <row r="131" customFormat="false" ht="24" hidden="false" customHeight="true" outlineLevel="0" collapsed="false">
      <c r="B131" s="11"/>
      <c r="C131" s="11"/>
      <c r="D131" s="11"/>
      <c r="E131" s="11"/>
      <c r="F131" s="11"/>
      <c r="G131" s="11"/>
      <c r="H131" s="63"/>
      <c r="I131" s="63"/>
      <c r="J131" s="63"/>
      <c r="K131" s="63"/>
      <c r="L131" s="11"/>
      <c r="M131" s="64" t="n">
        <f aca="true">IF(OR(B131="",H131="",I131=""),0,IF(TODAY()&lt;H131,0,IF(TODAY()&gt;=I131,100,(TODAY()-H131)/(I131-H131)*100)))</f>
        <v>0</v>
      </c>
      <c r="N131" s="65" t="n">
        <v>0</v>
      </c>
      <c r="O131" s="66"/>
      <c r="P131" s="66"/>
      <c r="Q131" s="67" t="str">
        <f aca="true">IF(B131="","",IF(K131&lt;&gt;"",IF(K131&lt;=I131,"Terminé à temps","Terminé hors délai"),IF(N131=0,IF(TODAY()&lt;H131,"En attente",IF(TODAY()&gt;I131+30,"Critique","En retard")),IF(N131&gt;=M131,"À temps",IF(N131&gt;=M131*0.8,"À surveiller",IF(N131&gt;=M131*0.5,"En retard","Critique"))))))</f>
        <v/>
      </c>
      <c r="R131" s="68" t="n">
        <f aca="false">IFERROR(IF(Q131="Terminé à temps",100,IF(Q131="Terminé hors délai",75,IF(Q131="À temps",50,IF(Q131="À surveiller",40,IF(Q131="En retard",25,IF(Q131="Critique",10,IF(Q131="En attente",50,0))))))),0)</f>
        <v>0</v>
      </c>
      <c r="S131" s="11"/>
      <c r="T131" s="69"/>
      <c r="U131" s="70" t="n">
        <f aca="false">IFERROR(IF(T131="",0,T131*N131/100),0)</f>
        <v>0</v>
      </c>
      <c r="V131" s="11"/>
    </row>
    <row r="132" customFormat="false" ht="24" hidden="false" customHeight="true" outlineLevel="0" collapsed="false">
      <c r="B132" s="7"/>
      <c r="C132" s="7"/>
      <c r="D132" s="7"/>
      <c r="E132" s="7"/>
      <c r="F132" s="7"/>
      <c r="G132" s="7"/>
      <c r="H132" s="71"/>
      <c r="I132" s="71"/>
      <c r="J132" s="71"/>
      <c r="K132" s="71"/>
      <c r="L132" s="7"/>
      <c r="M132" s="64" t="n">
        <f aca="true">IF(OR(B132="",H132="",I132=""),0,IF(TODAY()&lt;H132,0,IF(TODAY()&gt;=I132,100,(TODAY()-H132)/(I132-H132)*100)))</f>
        <v>0</v>
      </c>
      <c r="N132" s="72" t="n">
        <v>0</v>
      </c>
      <c r="O132" s="73"/>
      <c r="P132" s="73"/>
      <c r="Q132" s="67" t="str">
        <f aca="true">IF(B132="","",IF(K132&lt;&gt;"",IF(K132&lt;=I132,"Terminé à temps","Terminé hors délai"),IF(N132=0,IF(TODAY()&lt;H132,"En attente",IF(TODAY()&gt;I132+30,"Critique","En retard")),IF(N132&gt;=M132,"À temps",IF(N132&gt;=M132*0.8,"À surveiller",IF(N132&gt;=M132*0.5,"En retard","Critique"))))))</f>
        <v/>
      </c>
      <c r="R132" s="68" t="n">
        <f aca="false">IFERROR(IF(Q132="Terminé à temps",100,IF(Q132="Terminé hors délai",75,IF(Q132="À temps",50,IF(Q132="À surveiller",40,IF(Q132="En retard",25,IF(Q132="Critique",10,IF(Q132="En attente",50,0))))))),0)</f>
        <v>0</v>
      </c>
      <c r="S132" s="7"/>
      <c r="T132" s="74"/>
      <c r="U132" s="70" t="n">
        <f aca="false">IFERROR(IF(T132="",0,T132*N132/100),0)</f>
        <v>0</v>
      </c>
      <c r="V132" s="7"/>
    </row>
    <row r="133" customFormat="false" ht="24" hidden="false" customHeight="true" outlineLevel="0" collapsed="false">
      <c r="B133" s="11"/>
      <c r="C133" s="11"/>
      <c r="D133" s="11"/>
      <c r="E133" s="11"/>
      <c r="F133" s="11"/>
      <c r="G133" s="11"/>
      <c r="H133" s="63"/>
      <c r="I133" s="63"/>
      <c r="J133" s="63"/>
      <c r="K133" s="63"/>
      <c r="L133" s="11"/>
      <c r="M133" s="64" t="n">
        <f aca="true">IF(OR(B133="",H133="",I133=""),0,IF(TODAY()&lt;H133,0,IF(TODAY()&gt;=I133,100,(TODAY()-H133)/(I133-H133)*100)))</f>
        <v>0</v>
      </c>
      <c r="N133" s="65" t="n">
        <v>0</v>
      </c>
      <c r="O133" s="66"/>
      <c r="P133" s="66"/>
      <c r="Q133" s="67" t="str">
        <f aca="true">IF(B133="","",IF(K133&lt;&gt;"",IF(K133&lt;=I133,"Terminé à temps","Terminé hors délai"),IF(N133=0,IF(TODAY()&lt;H133,"En attente",IF(TODAY()&gt;I133+30,"Critique","En retard")),IF(N133&gt;=M133,"À temps",IF(N133&gt;=M133*0.8,"À surveiller",IF(N133&gt;=M133*0.5,"En retard","Critique"))))))</f>
        <v/>
      </c>
      <c r="R133" s="68" t="n">
        <f aca="false">IFERROR(IF(Q133="Terminé à temps",100,IF(Q133="Terminé hors délai",75,IF(Q133="À temps",50,IF(Q133="À surveiller",40,IF(Q133="En retard",25,IF(Q133="Critique",10,IF(Q133="En attente",50,0))))))),0)</f>
        <v>0</v>
      </c>
      <c r="S133" s="11"/>
      <c r="T133" s="69"/>
      <c r="U133" s="70" t="n">
        <f aca="false">IFERROR(IF(T133="",0,T133*N133/100),0)</f>
        <v>0</v>
      </c>
      <c r="V133" s="11"/>
    </row>
    <row r="134" customFormat="false" ht="24" hidden="false" customHeight="true" outlineLevel="0" collapsed="false">
      <c r="B134" s="7"/>
      <c r="C134" s="7"/>
      <c r="D134" s="7"/>
      <c r="E134" s="7"/>
      <c r="F134" s="7"/>
      <c r="G134" s="7"/>
      <c r="H134" s="71"/>
      <c r="I134" s="71"/>
      <c r="J134" s="71"/>
      <c r="K134" s="71"/>
      <c r="L134" s="7"/>
      <c r="M134" s="64" t="n">
        <f aca="true">IF(OR(B134="",H134="",I134=""),0,IF(TODAY()&lt;H134,0,IF(TODAY()&gt;=I134,100,(TODAY()-H134)/(I134-H134)*100)))</f>
        <v>0</v>
      </c>
      <c r="N134" s="72" t="n">
        <v>0</v>
      </c>
      <c r="O134" s="73"/>
      <c r="P134" s="73"/>
      <c r="Q134" s="67" t="str">
        <f aca="true">IF(B134="","",IF(K134&lt;&gt;"",IF(K134&lt;=I134,"Terminé à temps","Terminé hors délai"),IF(N134=0,IF(TODAY()&lt;H134,"En attente",IF(TODAY()&gt;I134+30,"Critique","En retard")),IF(N134&gt;=M134,"À temps",IF(N134&gt;=M134*0.8,"À surveiller",IF(N134&gt;=M134*0.5,"En retard","Critique"))))))</f>
        <v/>
      </c>
      <c r="R134" s="68" t="n">
        <f aca="false">IFERROR(IF(Q134="Terminé à temps",100,IF(Q134="Terminé hors délai",75,IF(Q134="À temps",50,IF(Q134="À surveiller",40,IF(Q134="En retard",25,IF(Q134="Critique",10,IF(Q134="En attente",50,0))))))),0)</f>
        <v>0</v>
      </c>
      <c r="S134" s="7"/>
      <c r="T134" s="74"/>
      <c r="U134" s="70" t="n">
        <f aca="false">IFERROR(IF(T134="",0,T134*N134/100),0)</f>
        <v>0</v>
      </c>
      <c r="V134" s="7"/>
    </row>
    <row r="135" customFormat="false" ht="24" hidden="false" customHeight="true" outlineLevel="0" collapsed="false">
      <c r="B135" s="11"/>
      <c r="C135" s="11"/>
      <c r="D135" s="11"/>
      <c r="E135" s="11"/>
      <c r="F135" s="11"/>
      <c r="G135" s="11"/>
      <c r="H135" s="63"/>
      <c r="I135" s="63"/>
      <c r="J135" s="63"/>
      <c r="K135" s="63"/>
      <c r="L135" s="11"/>
      <c r="M135" s="64" t="n">
        <f aca="true">IF(OR(B135="",H135="",I135=""),0,IF(TODAY()&lt;H135,0,IF(TODAY()&gt;=I135,100,(TODAY()-H135)/(I135-H135)*100)))</f>
        <v>0</v>
      </c>
      <c r="N135" s="65" t="n">
        <v>0</v>
      </c>
      <c r="O135" s="66"/>
      <c r="P135" s="66"/>
      <c r="Q135" s="67" t="str">
        <f aca="true">IF(B135="","",IF(K135&lt;&gt;"",IF(K135&lt;=I135,"Terminé à temps","Terminé hors délai"),IF(N135=0,IF(TODAY()&lt;H135,"En attente",IF(TODAY()&gt;I135+30,"Critique","En retard")),IF(N135&gt;=M135,"À temps",IF(N135&gt;=M135*0.8,"À surveiller",IF(N135&gt;=M135*0.5,"En retard","Critique"))))))</f>
        <v/>
      </c>
      <c r="R135" s="68" t="n">
        <f aca="false">IFERROR(IF(Q135="Terminé à temps",100,IF(Q135="Terminé hors délai",75,IF(Q135="À temps",50,IF(Q135="À surveiller",40,IF(Q135="En retard",25,IF(Q135="Critique",10,IF(Q135="En attente",50,0))))))),0)</f>
        <v>0</v>
      </c>
      <c r="S135" s="11"/>
      <c r="T135" s="69"/>
      <c r="U135" s="70" t="n">
        <f aca="false">IFERROR(IF(T135="",0,T135*N135/100),0)</f>
        <v>0</v>
      </c>
      <c r="V135" s="11"/>
    </row>
    <row r="136" customFormat="false" ht="24" hidden="false" customHeight="true" outlineLevel="0" collapsed="false">
      <c r="B136" s="7"/>
      <c r="C136" s="7"/>
      <c r="D136" s="7"/>
      <c r="E136" s="7"/>
      <c r="F136" s="7"/>
      <c r="G136" s="7"/>
      <c r="H136" s="71"/>
      <c r="I136" s="71"/>
      <c r="J136" s="71"/>
      <c r="K136" s="71"/>
      <c r="L136" s="7"/>
      <c r="M136" s="64" t="n">
        <f aca="true">IF(OR(B136="",H136="",I136=""),0,IF(TODAY()&lt;H136,0,IF(TODAY()&gt;=I136,100,(TODAY()-H136)/(I136-H136)*100)))</f>
        <v>0</v>
      </c>
      <c r="N136" s="72" t="n">
        <v>0</v>
      </c>
      <c r="O136" s="73"/>
      <c r="P136" s="73"/>
      <c r="Q136" s="67" t="str">
        <f aca="true">IF(B136="","",IF(K136&lt;&gt;"",IF(K136&lt;=I136,"Terminé à temps","Terminé hors délai"),IF(N136=0,IF(TODAY()&lt;H136,"En attente",IF(TODAY()&gt;I136+30,"Critique","En retard")),IF(N136&gt;=M136,"À temps",IF(N136&gt;=M136*0.8,"À surveiller",IF(N136&gt;=M136*0.5,"En retard","Critique"))))))</f>
        <v/>
      </c>
      <c r="R136" s="68" t="n">
        <f aca="false">IFERROR(IF(Q136="Terminé à temps",100,IF(Q136="Terminé hors délai",75,IF(Q136="À temps",50,IF(Q136="À surveiller",40,IF(Q136="En retard",25,IF(Q136="Critique",10,IF(Q136="En attente",50,0))))))),0)</f>
        <v>0</v>
      </c>
      <c r="S136" s="7"/>
      <c r="T136" s="74"/>
      <c r="U136" s="70" t="n">
        <f aca="false">IFERROR(IF(T136="",0,T136*N136/100),0)</f>
        <v>0</v>
      </c>
      <c r="V136" s="7"/>
    </row>
    <row r="137" customFormat="false" ht="24" hidden="false" customHeight="true" outlineLevel="0" collapsed="false">
      <c r="B137" s="11"/>
      <c r="C137" s="11"/>
      <c r="D137" s="11"/>
      <c r="E137" s="11"/>
      <c r="F137" s="11"/>
      <c r="G137" s="11"/>
      <c r="H137" s="63"/>
      <c r="I137" s="63"/>
      <c r="J137" s="63"/>
      <c r="K137" s="63"/>
      <c r="L137" s="11"/>
      <c r="M137" s="64" t="n">
        <f aca="true">IF(OR(B137="",H137="",I137=""),0,IF(TODAY()&lt;H137,0,IF(TODAY()&gt;=I137,100,(TODAY()-H137)/(I137-H137)*100)))</f>
        <v>0</v>
      </c>
      <c r="N137" s="65" t="n">
        <v>0</v>
      </c>
      <c r="O137" s="66"/>
      <c r="P137" s="66"/>
      <c r="Q137" s="67" t="str">
        <f aca="true">IF(B137="","",IF(K137&lt;&gt;"",IF(K137&lt;=I137,"Terminé à temps","Terminé hors délai"),IF(N137=0,IF(TODAY()&lt;H137,"En attente",IF(TODAY()&gt;I137+30,"Critique","En retard")),IF(N137&gt;=M137,"À temps",IF(N137&gt;=M137*0.8,"À surveiller",IF(N137&gt;=M137*0.5,"En retard","Critique"))))))</f>
        <v/>
      </c>
      <c r="R137" s="68" t="n">
        <f aca="false">IFERROR(IF(Q137="Terminé à temps",100,IF(Q137="Terminé hors délai",75,IF(Q137="À temps",50,IF(Q137="À surveiller",40,IF(Q137="En retard",25,IF(Q137="Critique",10,IF(Q137="En attente",50,0))))))),0)</f>
        <v>0</v>
      </c>
      <c r="S137" s="11"/>
      <c r="T137" s="69"/>
      <c r="U137" s="70" t="n">
        <f aca="false">IFERROR(IF(T137="",0,T137*N137/100),0)</f>
        <v>0</v>
      </c>
      <c r="V137" s="11"/>
    </row>
    <row r="138" customFormat="false" ht="24" hidden="false" customHeight="true" outlineLevel="0" collapsed="false">
      <c r="B138" s="7"/>
      <c r="C138" s="7"/>
      <c r="D138" s="7"/>
      <c r="E138" s="7"/>
      <c r="F138" s="7"/>
      <c r="G138" s="7"/>
      <c r="H138" s="71"/>
      <c r="I138" s="71"/>
      <c r="J138" s="71"/>
      <c r="K138" s="71"/>
      <c r="L138" s="7"/>
      <c r="M138" s="64" t="n">
        <f aca="true">IF(OR(B138="",H138="",I138=""),0,IF(TODAY()&lt;H138,0,IF(TODAY()&gt;=I138,100,(TODAY()-H138)/(I138-H138)*100)))</f>
        <v>0</v>
      </c>
      <c r="N138" s="72" t="n">
        <v>0</v>
      </c>
      <c r="O138" s="73"/>
      <c r="P138" s="73"/>
      <c r="Q138" s="67" t="str">
        <f aca="true">IF(B138="","",IF(K138&lt;&gt;"",IF(K138&lt;=I138,"Terminé à temps","Terminé hors délai"),IF(N138=0,IF(TODAY()&lt;H138,"En attente",IF(TODAY()&gt;I138+30,"Critique","En retard")),IF(N138&gt;=M138,"À temps",IF(N138&gt;=M138*0.8,"À surveiller",IF(N138&gt;=M138*0.5,"En retard","Critique"))))))</f>
        <v/>
      </c>
      <c r="R138" s="68" t="n">
        <f aca="false">IFERROR(IF(Q138="Terminé à temps",100,IF(Q138="Terminé hors délai",75,IF(Q138="À temps",50,IF(Q138="À surveiller",40,IF(Q138="En retard",25,IF(Q138="Critique",10,IF(Q138="En attente",50,0))))))),0)</f>
        <v>0</v>
      </c>
      <c r="S138" s="7"/>
      <c r="T138" s="74"/>
      <c r="U138" s="70" t="n">
        <f aca="false">IFERROR(IF(T138="",0,T138*N138/100),0)</f>
        <v>0</v>
      </c>
      <c r="V138" s="7"/>
    </row>
    <row r="139" customFormat="false" ht="24" hidden="false" customHeight="true" outlineLevel="0" collapsed="false">
      <c r="B139" s="11"/>
      <c r="C139" s="11"/>
      <c r="D139" s="11"/>
      <c r="E139" s="11"/>
      <c r="F139" s="11"/>
      <c r="G139" s="11"/>
      <c r="H139" s="63"/>
      <c r="I139" s="63"/>
      <c r="J139" s="63"/>
      <c r="K139" s="63"/>
      <c r="L139" s="11"/>
      <c r="M139" s="64" t="n">
        <f aca="true">IF(OR(B139="",H139="",I139=""),0,IF(TODAY()&lt;H139,0,IF(TODAY()&gt;=I139,100,(TODAY()-H139)/(I139-H139)*100)))</f>
        <v>0</v>
      </c>
      <c r="N139" s="65" t="n">
        <v>0</v>
      </c>
      <c r="O139" s="66"/>
      <c r="P139" s="66"/>
      <c r="Q139" s="67" t="str">
        <f aca="true">IF(B139="","",IF(K139&lt;&gt;"",IF(K139&lt;=I139,"Terminé à temps","Terminé hors délai"),IF(N139=0,IF(TODAY()&lt;H139,"En attente",IF(TODAY()&gt;I139+30,"Critique","En retard")),IF(N139&gt;=M139,"À temps",IF(N139&gt;=M139*0.8,"À surveiller",IF(N139&gt;=M139*0.5,"En retard","Critique"))))))</f>
        <v/>
      </c>
      <c r="R139" s="68" t="n">
        <f aca="false">IFERROR(IF(Q139="Terminé à temps",100,IF(Q139="Terminé hors délai",75,IF(Q139="À temps",50,IF(Q139="À surveiller",40,IF(Q139="En retard",25,IF(Q139="Critique",10,IF(Q139="En attente",50,0))))))),0)</f>
        <v>0</v>
      </c>
      <c r="S139" s="11"/>
      <c r="T139" s="69"/>
      <c r="U139" s="70" t="n">
        <f aca="false">IFERROR(IF(T139="",0,T139*N139/100),0)</f>
        <v>0</v>
      </c>
      <c r="V139" s="11"/>
    </row>
    <row r="140" customFormat="false" ht="24" hidden="false" customHeight="true" outlineLevel="0" collapsed="false">
      <c r="B140" s="7"/>
      <c r="C140" s="7"/>
      <c r="D140" s="7"/>
      <c r="E140" s="7"/>
      <c r="F140" s="7"/>
      <c r="G140" s="7"/>
      <c r="H140" s="71"/>
      <c r="I140" s="71"/>
      <c r="J140" s="71"/>
      <c r="K140" s="71"/>
      <c r="L140" s="7"/>
      <c r="M140" s="64" t="n">
        <f aca="true">IF(OR(B140="",H140="",I140=""),0,IF(TODAY()&lt;H140,0,IF(TODAY()&gt;=I140,100,(TODAY()-H140)/(I140-H140)*100)))</f>
        <v>0</v>
      </c>
      <c r="N140" s="72" t="n">
        <v>0</v>
      </c>
      <c r="O140" s="73"/>
      <c r="P140" s="73"/>
      <c r="Q140" s="67" t="str">
        <f aca="true">IF(B140="","",IF(K140&lt;&gt;"",IF(K140&lt;=I140,"Terminé à temps","Terminé hors délai"),IF(N140=0,IF(TODAY()&lt;H140,"En attente",IF(TODAY()&gt;I140+30,"Critique","En retard")),IF(N140&gt;=M140,"À temps",IF(N140&gt;=M140*0.8,"À surveiller",IF(N140&gt;=M140*0.5,"En retard","Critique"))))))</f>
        <v/>
      </c>
      <c r="R140" s="68" t="n">
        <f aca="false">IFERROR(IF(Q140="Terminé à temps",100,IF(Q140="Terminé hors délai",75,IF(Q140="À temps",50,IF(Q140="À surveiller",40,IF(Q140="En retard",25,IF(Q140="Critique",10,IF(Q140="En attente",50,0))))))),0)</f>
        <v>0</v>
      </c>
      <c r="S140" s="7"/>
      <c r="T140" s="74"/>
      <c r="U140" s="70" t="n">
        <f aca="false">IFERROR(IF(T140="",0,T140*N140/100),0)</f>
        <v>0</v>
      </c>
      <c r="V140" s="7"/>
    </row>
    <row r="141" customFormat="false" ht="24" hidden="false" customHeight="true" outlineLevel="0" collapsed="false">
      <c r="B141" s="11"/>
      <c r="C141" s="11"/>
      <c r="D141" s="11"/>
      <c r="E141" s="11"/>
      <c r="F141" s="11"/>
      <c r="G141" s="11"/>
      <c r="H141" s="63"/>
      <c r="I141" s="63"/>
      <c r="J141" s="63"/>
      <c r="K141" s="63"/>
      <c r="L141" s="11"/>
      <c r="M141" s="64" t="n">
        <f aca="true">IF(OR(B141="",H141="",I141=""),0,IF(TODAY()&lt;H141,0,IF(TODAY()&gt;=I141,100,(TODAY()-H141)/(I141-H141)*100)))</f>
        <v>0</v>
      </c>
      <c r="N141" s="65" t="n">
        <v>0</v>
      </c>
      <c r="O141" s="66"/>
      <c r="P141" s="66"/>
      <c r="Q141" s="67" t="str">
        <f aca="true">IF(B141="","",IF(K141&lt;&gt;"",IF(K141&lt;=I141,"Terminé à temps","Terminé hors délai"),IF(N141=0,IF(TODAY()&lt;H141,"En attente",IF(TODAY()&gt;I141+30,"Critique","En retard")),IF(N141&gt;=M141,"À temps",IF(N141&gt;=M141*0.8,"À surveiller",IF(N141&gt;=M141*0.5,"En retard","Critique"))))))</f>
        <v/>
      </c>
      <c r="R141" s="68" t="n">
        <f aca="false">IFERROR(IF(Q141="Terminé à temps",100,IF(Q141="Terminé hors délai",75,IF(Q141="À temps",50,IF(Q141="À surveiller",40,IF(Q141="En retard",25,IF(Q141="Critique",10,IF(Q141="En attente",50,0))))))),0)</f>
        <v>0</v>
      </c>
      <c r="S141" s="11"/>
      <c r="T141" s="69"/>
      <c r="U141" s="70" t="n">
        <f aca="false">IFERROR(IF(T141="",0,T141*N141/100),0)</f>
        <v>0</v>
      </c>
      <c r="V141" s="11"/>
    </row>
    <row r="142" customFormat="false" ht="24" hidden="false" customHeight="true" outlineLevel="0" collapsed="false">
      <c r="B142" s="7"/>
      <c r="C142" s="7"/>
      <c r="D142" s="7"/>
      <c r="E142" s="7"/>
      <c r="F142" s="7"/>
      <c r="G142" s="7"/>
      <c r="H142" s="71"/>
      <c r="I142" s="71"/>
      <c r="J142" s="71"/>
      <c r="K142" s="71"/>
      <c r="L142" s="7"/>
      <c r="M142" s="64" t="n">
        <f aca="true">IF(OR(B142="",H142="",I142=""),0,IF(TODAY()&lt;H142,0,IF(TODAY()&gt;=I142,100,(TODAY()-H142)/(I142-H142)*100)))</f>
        <v>0</v>
      </c>
      <c r="N142" s="72" t="n">
        <v>0</v>
      </c>
      <c r="O142" s="73"/>
      <c r="P142" s="73"/>
      <c r="Q142" s="67" t="str">
        <f aca="true">IF(B142="","",IF(K142&lt;&gt;"",IF(K142&lt;=I142,"Terminé à temps","Terminé hors délai"),IF(N142=0,IF(TODAY()&lt;H142,"En attente",IF(TODAY()&gt;I142+30,"Critique","En retard")),IF(N142&gt;=M142,"À temps",IF(N142&gt;=M142*0.8,"À surveiller",IF(N142&gt;=M142*0.5,"En retard","Critique"))))))</f>
        <v/>
      </c>
      <c r="R142" s="68" t="n">
        <f aca="false">IFERROR(IF(Q142="Terminé à temps",100,IF(Q142="Terminé hors délai",75,IF(Q142="À temps",50,IF(Q142="À surveiller",40,IF(Q142="En retard",25,IF(Q142="Critique",10,IF(Q142="En attente",50,0))))))),0)</f>
        <v>0</v>
      </c>
      <c r="S142" s="7"/>
      <c r="T142" s="74"/>
      <c r="U142" s="70" t="n">
        <f aca="false">IFERROR(IF(T142="",0,T142*N142/100),0)</f>
        <v>0</v>
      </c>
      <c r="V142" s="7"/>
    </row>
    <row r="143" customFormat="false" ht="24" hidden="false" customHeight="true" outlineLevel="0" collapsed="false">
      <c r="B143" s="11"/>
      <c r="C143" s="11"/>
      <c r="D143" s="11"/>
      <c r="E143" s="11"/>
      <c r="F143" s="11"/>
      <c r="G143" s="11"/>
      <c r="H143" s="63"/>
      <c r="I143" s="63"/>
      <c r="J143" s="63"/>
      <c r="K143" s="63"/>
      <c r="L143" s="11"/>
      <c r="M143" s="64" t="n">
        <f aca="true">IF(OR(B143="",H143="",I143=""),0,IF(TODAY()&lt;H143,0,IF(TODAY()&gt;=I143,100,(TODAY()-H143)/(I143-H143)*100)))</f>
        <v>0</v>
      </c>
      <c r="N143" s="65" t="n">
        <v>0</v>
      </c>
      <c r="O143" s="66"/>
      <c r="P143" s="66"/>
      <c r="Q143" s="67" t="str">
        <f aca="true">IF(B143="","",IF(K143&lt;&gt;"",IF(K143&lt;=I143,"Terminé à temps","Terminé hors délai"),IF(N143=0,IF(TODAY()&lt;H143,"En attente",IF(TODAY()&gt;I143+30,"Critique","En retard")),IF(N143&gt;=M143,"À temps",IF(N143&gt;=M143*0.8,"À surveiller",IF(N143&gt;=M143*0.5,"En retard","Critique"))))))</f>
        <v/>
      </c>
      <c r="R143" s="68" t="n">
        <f aca="false">IFERROR(IF(Q143="Terminé à temps",100,IF(Q143="Terminé hors délai",75,IF(Q143="À temps",50,IF(Q143="À surveiller",40,IF(Q143="En retard",25,IF(Q143="Critique",10,IF(Q143="En attente",50,0))))))),0)</f>
        <v>0</v>
      </c>
      <c r="S143" s="11"/>
      <c r="T143" s="69"/>
      <c r="U143" s="70" t="n">
        <f aca="false">IFERROR(IF(T143="",0,T143*N143/100),0)</f>
        <v>0</v>
      </c>
      <c r="V143" s="11"/>
    </row>
    <row r="144" customFormat="false" ht="24" hidden="false" customHeight="true" outlineLevel="0" collapsed="false">
      <c r="B144" s="7"/>
      <c r="C144" s="7"/>
      <c r="D144" s="7"/>
      <c r="E144" s="7"/>
      <c r="F144" s="7"/>
      <c r="G144" s="7"/>
      <c r="H144" s="71"/>
      <c r="I144" s="71"/>
      <c r="J144" s="71"/>
      <c r="K144" s="71"/>
      <c r="L144" s="7"/>
      <c r="M144" s="64" t="n">
        <f aca="true">IF(OR(B144="",H144="",I144=""),0,IF(TODAY()&lt;H144,0,IF(TODAY()&gt;=I144,100,(TODAY()-H144)/(I144-H144)*100)))</f>
        <v>0</v>
      </c>
      <c r="N144" s="72" t="n">
        <v>0</v>
      </c>
      <c r="O144" s="73"/>
      <c r="P144" s="73"/>
      <c r="Q144" s="67" t="str">
        <f aca="true">IF(B144="","",IF(K144&lt;&gt;"",IF(K144&lt;=I144,"Terminé à temps","Terminé hors délai"),IF(N144=0,IF(TODAY()&lt;H144,"En attente",IF(TODAY()&gt;I144+30,"Critique","En retard")),IF(N144&gt;=M144,"À temps",IF(N144&gt;=M144*0.8,"À surveiller",IF(N144&gt;=M144*0.5,"En retard","Critique"))))))</f>
        <v/>
      </c>
      <c r="R144" s="68" t="n">
        <f aca="false">IFERROR(IF(Q144="Terminé à temps",100,IF(Q144="Terminé hors délai",75,IF(Q144="À temps",50,IF(Q144="À surveiller",40,IF(Q144="En retard",25,IF(Q144="Critique",10,IF(Q144="En attente",50,0))))))),0)</f>
        <v>0</v>
      </c>
      <c r="S144" s="7"/>
      <c r="T144" s="74"/>
      <c r="U144" s="70" t="n">
        <f aca="false">IFERROR(IF(T144="",0,T144*N144/100),0)</f>
        <v>0</v>
      </c>
      <c r="V144" s="7"/>
    </row>
    <row r="145" customFormat="false" ht="24" hidden="false" customHeight="true" outlineLevel="0" collapsed="false">
      <c r="B145" s="11"/>
      <c r="C145" s="11"/>
      <c r="D145" s="11"/>
      <c r="E145" s="11"/>
      <c r="F145" s="11"/>
      <c r="G145" s="11"/>
      <c r="H145" s="63"/>
      <c r="I145" s="63"/>
      <c r="J145" s="63"/>
      <c r="K145" s="63"/>
      <c r="L145" s="11"/>
      <c r="M145" s="64" t="n">
        <f aca="true">IF(OR(B145="",H145="",I145=""),0,IF(TODAY()&lt;H145,0,IF(TODAY()&gt;=I145,100,(TODAY()-H145)/(I145-H145)*100)))</f>
        <v>0</v>
      </c>
      <c r="N145" s="65" t="n">
        <v>0</v>
      </c>
      <c r="O145" s="66"/>
      <c r="P145" s="66"/>
      <c r="Q145" s="67" t="str">
        <f aca="true">IF(B145="","",IF(K145&lt;&gt;"",IF(K145&lt;=I145,"Terminé à temps","Terminé hors délai"),IF(N145=0,IF(TODAY()&lt;H145,"En attente",IF(TODAY()&gt;I145+30,"Critique","En retard")),IF(N145&gt;=M145,"À temps",IF(N145&gt;=M145*0.8,"À surveiller",IF(N145&gt;=M145*0.5,"En retard","Critique"))))))</f>
        <v/>
      </c>
      <c r="R145" s="68" t="n">
        <f aca="false">IFERROR(IF(Q145="Terminé à temps",100,IF(Q145="Terminé hors délai",75,IF(Q145="À temps",50,IF(Q145="À surveiller",40,IF(Q145="En retard",25,IF(Q145="Critique",10,IF(Q145="En attente",50,0))))))),0)</f>
        <v>0</v>
      </c>
      <c r="S145" s="11"/>
      <c r="T145" s="69"/>
      <c r="U145" s="70" t="n">
        <f aca="false">IFERROR(IF(T145="",0,T145*N145/100),0)</f>
        <v>0</v>
      </c>
      <c r="V145" s="11"/>
    </row>
    <row r="146" customFormat="false" ht="24" hidden="false" customHeight="true" outlineLevel="0" collapsed="false">
      <c r="B146" s="7"/>
      <c r="C146" s="7"/>
      <c r="D146" s="7"/>
      <c r="E146" s="7"/>
      <c r="F146" s="7"/>
      <c r="G146" s="7"/>
      <c r="H146" s="71"/>
      <c r="I146" s="71"/>
      <c r="J146" s="71"/>
      <c r="K146" s="71"/>
      <c r="L146" s="7"/>
      <c r="M146" s="64" t="n">
        <f aca="true">IF(OR(B146="",H146="",I146=""),0,IF(TODAY()&lt;H146,0,IF(TODAY()&gt;=I146,100,(TODAY()-H146)/(I146-H146)*100)))</f>
        <v>0</v>
      </c>
      <c r="N146" s="72" t="n">
        <v>0</v>
      </c>
      <c r="O146" s="73"/>
      <c r="P146" s="73"/>
      <c r="Q146" s="67" t="str">
        <f aca="true">IF(B146="","",IF(K146&lt;&gt;"",IF(K146&lt;=I146,"Terminé à temps","Terminé hors délai"),IF(N146=0,IF(TODAY()&lt;H146,"En attente",IF(TODAY()&gt;I146+30,"Critique","En retard")),IF(N146&gt;=M146,"À temps",IF(N146&gt;=M146*0.8,"À surveiller",IF(N146&gt;=M146*0.5,"En retard","Critique"))))))</f>
        <v/>
      </c>
      <c r="R146" s="68" t="n">
        <f aca="false">IFERROR(IF(Q146="Terminé à temps",100,IF(Q146="Terminé hors délai",75,IF(Q146="À temps",50,IF(Q146="À surveiller",40,IF(Q146="En retard",25,IF(Q146="Critique",10,IF(Q146="En attente",50,0))))))),0)</f>
        <v>0</v>
      </c>
      <c r="S146" s="7"/>
      <c r="T146" s="74"/>
      <c r="U146" s="70" t="n">
        <f aca="false">IFERROR(IF(T146="",0,T146*N146/100),0)</f>
        <v>0</v>
      </c>
      <c r="V146" s="7"/>
    </row>
    <row r="147" customFormat="false" ht="24" hidden="false" customHeight="true" outlineLevel="0" collapsed="false">
      <c r="B147" s="11"/>
      <c r="C147" s="11"/>
      <c r="D147" s="11"/>
      <c r="E147" s="11"/>
      <c r="F147" s="11"/>
      <c r="G147" s="11"/>
      <c r="H147" s="63"/>
      <c r="I147" s="63"/>
      <c r="J147" s="63"/>
      <c r="K147" s="63"/>
      <c r="L147" s="11"/>
      <c r="M147" s="64" t="n">
        <f aca="true">IF(OR(B147="",H147="",I147=""),0,IF(TODAY()&lt;H147,0,IF(TODAY()&gt;=I147,100,(TODAY()-H147)/(I147-H147)*100)))</f>
        <v>0</v>
      </c>
      <c r="N147" s="65" t="n">
        <v>0</v>
      </c>
      <c r="O147" s="66"/>
      <c r="P147" s="66"/>
      <c r="Q147" s="67" t="str">
        <f aca="true">IF(B147="","",IF(K147&lt;&gt;"",IF(K147&lt;=I147,"Terminé à temps","Terminé hors délai"),IF(N147=0,IF(TODAY()&lt;H147,"En attente",IF(TODAY()&gt;I147+30,"Critique","En retard")),IF(N147&gt;=M147,"À temps",IF(N147&gt;=M147*0.8,"À surveiller",IF(N147&gt;=M147*0.5,"En retard","Critique"))))))</f>
        <v/>
      </c>
      <c r="R147" s="68" t="n">
        <f aca="false">IFERROR(IF(Q147="Terminé à temps",100,IF(Q147="Terminé hors délai",75,IF(Q147="À temps",50,IF(Q147="À surveiller",40,IF(Q147="En retard",25,IF(Q147="Critique",10,IF(Q147="En attente",50,0))))))),0)</f>
        <v>0</v>
      </c>
      <c r="S147" s="11"/>
      <c r="T147" s="69"/>
      <c r="U147" s="70" t="n">
        <f aca="false">IFERROR(IF(T147="",0,T147*N147/100),0)</f>
        <v>0</v>
      </c>
      <c r="V147" s="11"/>
    </row>
    <row r="148" customFormat="false" ht="24" hidden="false" customHeight="true" outlineLevel="0" collapsed="false">
      <c r="B148" s="7"/>
      <c r="C148" s="7"/>
      <c r="D148" s="7"/>
      <c r="E148" s="7"/>
      <c r="F148" s="7"/>
      <c r="G148" s="7"/>
      <c r="H148" s="71"/>
      <c r="I148" s="71"/>
      <c r="J148" s="71"/>
      <c r="K148" s="71"/>
      <c r="L148" s="7"/>
      <c r="M148" s="64" t="n">
        <f aca="true">IF(OR(B148="",H148="",I148=""),0,IF(TODAY()&lt;H148,0,IF(TODAY()&gt;=I148,100,(TODAY()-H148)/(I148-H148)*100)))</f>
        <v>0</v>
      </c>
      <c r="N148" s="72" t="n">
        <v>0</v>
      </c>
      <c r="O148" s="73"/>
      <c r="P148" s="73"/>
      <c r="Q148" s="67" t="str">
        <f aca="true">IF(B148="","",IF(K148&lt;&gt;"",IF(K148&lt;=I148,"Terminé à temps","Terminé hors délai"),IF(N148=0,IF(TODAY()&lt;H148,"En attente",IF(TODAY()&gt;I148+30,"Critique","En retard")),IF(N148&gt;=M148,"À temps",IF(N148&gt;=M148*0.8,"À surveiller",IF(N148&gt;=M148*0.5,"En retard","Critique"))))))</f>
        <v/>
      </c>
      <c r="R148" s="68" t="n">
        <f aca="false">IFERROR(IF(Q148="Terminé à temps",100,IF(Q148="Terminé hors délai",75,IF(Q148="À temps",50,IF(Q148="À surveiller",40,IF(Q148="En retard",25,IF(Q148="Critique",10,IF(Q148="En attente",50,0))))))),0)</f>
        <v>0</v>
      </c>
      <c r="S148" s="7"/>
      <c r="T148" s="74"/>
      <c r="U148" s="70" t="n">
        <f aca="false">IFERROR(IF(T148="",0,T148*N148/100),0)</f>
        <v>0</v>
      </c>
      <c r="V148" s="7"/>
    </row>
    <row r="149" customFormat="false" ht="24" hidden="false" customHeight="true" outlineLevel="0" collapsed="false">
      <c r="B149" s="11"/>
      <c r="C149" s="11"/>
      <c r="D149" s="11"/>
      <c r="E149" s="11"/>
      <c r="F149" s="11"/>
      <c r="G149" s="11"/>
      <c r="H149" s="63"/>
      <c r="I149" s="63"/>
      <c r="J149" s="63"/>
      <c r="K149" s="63"/>
      <c r="L149" s="11"/>
      <c r="M149" s="64" t="n">
        <f aca="true">IF(OR(B149="",H149="",I149=""),0,IF(TODAY()&lt;H149,0,IF(TODAY()&gt;=I149,100,(TODAY()-H149)/(I149-H149)*100)))</f>
        <v>0</v>
      </c>
      <c r="N149" s="65" t="n">
        <v>0</v>
      </c>
      <c r="O149" s="66"/>
      <c r="P149" s="66"/>
      <c r="Q149" s="67" t="str">
        <f aca="true">IF(B149="","",IF(K149&lt;&gt;"",IF(K149&lt;=I149,"Terminé à temps","Terminé hors délai"),IF(N149=0,IF(TODAY()&lt;H149,"En attente",IF(TODAY()&gt;I149+30,"Critique","En retard")),IF(N149&gt;=M149,"À temps",IF(N149&gt;=M149*0.8,"À surveiller",IF(N149&gt;=M149*0.5,"En retard","Critique"))))))</f>
        <v/>
      </c>
      <c r="R149" s="68" t="n">
        <f aca="false">IFERROR(IF(Q149="Terminé à temps",100,IF(Q149="Terminé hors délai",75,IF(Q149="À temps",50,IF(Q149="À surveiller",40,IF(Q149="En retard",25,IF(Q149="Critique",10,IF(Q149="En attente",50,0))))))),0)</f>
        <v>0</v>
      </c>
      <c r="S149" s="11"/>
      <c r="T149" s="69"/>
      <c r="U149" s="70" t="n">
        <f aca="false">IFERROR(IF(T149="",0,T149*N149/100),0)</f>
        <v>0</v>
      </c>
      <c r="V149" s="11"/>
    </row>
    <row r="150" customFormat="false" ht="24" hidden="false" customHeight="true" outlineLevel="0" collapsed="false">
      <c r="B150" s="7"/>
      <c r="C150" s="7"/>
      <c r="D150" s="7"/>
      <c r="E150" s="7"/>
      <c r="F150" s="7"/>
      <c r="G150" s="7"/>
      <c r="H150" s="71"/>
      <c r="I150" s="71"/>
      <c r="J150" s="71"/>
      <c r="K150" s="71"/>
      <c r="L150" s="7"/>
      <c r="M150" s="64" t="n">
        <f aca="true">IF(OR(B150="",H150="",I150=""),0,IF(TODAY()&lt;H150,0,IF(TODAY()&gt;=I150,100,(TODAY()-H150)/(I150-H150)*100)))</f>
        <v>0</v>
      </c>
      <c r="N150" s="72" t="n">
        <v>0</v>
      </c>
      <c r="O150" s="73"/>
      <c r="P150" s="73"/>
      <c r="Q150" s="67" t="str">
        <f aca="true">IF(B150="","",IF(K150&lt;&gt;"",IF(K150&lt;=I150,"Terminé à temps","Terminé hors délai"),IF(N150=0,IF(TODAY()&lt;H150,"En attente",IF(TODAY()&gt;I150+30,"Critique","En retard")),IF(N150&gt;=M150,"À temps",IF(N150&gt;=M150*0.8,"À surveiller",IF(N150&gt;=M150*0.5,"En retard","Critique"))))))</f>
        <v/>
      </c>
      <c r="R150" s="68" t="n">
        <f aca="false">IFERROR(IF(Q150="Terminé à temps",100,IF(Q150="Terminé hors délai",75,IF(Q150="À temps",50,IF(Q150="À surveiller",40,IF(Q150="En retard",25,IF(Q150="Critique",10,IF(Q150="En attente",50,0))))))),0)</f>
        <v>0</v>
      </c>
      <c r="S150" s="7"/>
      <c r="T150" s="74"/>
      <c r="U150" s="70" t="n">
        <f aca="false">IFERROR(IF(T150="",0,T150*N150/100),0)</f>
        <v>0</v>
      </c>
      <c r="V150" s="7"/>
    </row>
    <row r="151" customFormat="false" ht="24" hidden="false" customHeight="true" outlineLevel="0" collapsed="false">
      <c r="B151" s="11"/>
      <c r="C151" s="11"/>
      <c r="D151" s="11"/>
      <c r="E151" s="11"/>
      <c r="F151" s="11"/>
      <c r="G151" s="11"/>
      <c r="H151" s="63"/>
      <c r="I151" s="63"/>
      <c r="J151" s="63"/>
      <c r="K151" s="63"/>
      <c r="L151" s="11"/>
      <c r="M151" s="64" t="n">
        <f aca="true">IF(OR(B151="",H151="",I151=""),0,IF(TODAY()&lt;H151,0,IF(TODAY()&gt;=I151,100,(TODAY()-H151)/(I151-H151)*100)))</f>
        <v>0</v>
      </c>
      <c r="N151" s="65" t="n">
        <v>0</v>
      </c>
      <c r="O151" s="66"/>
      <c r="P151" s="66"/>
      <c r="Q151" s="67" t="str">
        <f aca="true">IF(B151="","",IF(K151&lt;&gt;"",IF(K151&lt;=I151,"Terminé à temps","Terminé hors délai"),IF(N151=0,IF(TODAY()&lt;H151,"En attente",IF(TODAY()&gt;I151+30,"Critique","En retard")),IF(N151&gt;=M151,"À temps",IF(N151&gt;=M151*0.8,"À surveiller",IF(N151&gt;=M151*0.5,"En retard","Critique"))))))</f>
        <v/>
      </c>
      <c r="R151" s="68" t="n">
        <f aca="false">IFERROR(IF(Q151="Terminé à temps",100,IF(Q151="Terminé hors délai",75,IF(Q151="À temps",50,IF(Q151="À surveiller",40,IF(Q151="En retard",25,IF(Q151="Critique",10,IF(Q151="En attente",50,0))))))),0)</f>
        <v>0</v>
      </c>
      <c r="S151" s="11"/>
      <c r="T151" s="69"/>
      <c r="U151" s="70" t="n">
        <f aca="false">IFERROR(IF(T151="",0,T151*N151/100),0)</f>
        <v>0</v>
      </c>
      <c r="V151" s="11"/>
    </row>
    <row r="152" customFormat="false" ht="24" hidden="false" customHeight="true" outlineLevel="0" collapsed="false">
      <c r="B152" s="7"/>
      <c r="C152" s="7"/>
      <c r="D152" s="7"/>
      <c r="E152" s="7"/>
      <c r="F152" s="7"/>
      <c r="G152" s="7"/>
      <c r="H152" s="71"/>
      <c r="I152" s="71"/>
      <c r="J152" s="71"/>
      <c r="K152" s="71"/>
      <c r="L152" s="7"/>
      <c r="M152" s="64" t="n">
        <f aca="true">IF(OR(B152="",H152="",I152=""),0,IF(TODAY()&lt;H152,0,IF(TODAY()&gt;=I152,100,(TODAY()-H152)/(I152-H152)*100)))</f>
        <v>0</v>
      </c>
      <c r="N152" s="72" t="n">
        <v>0</v>
      </c>
      <c r="O152" s="73"/>
      <c r="P152" s="73"/>
      <c r="Q152" s="67" t="str">
        <f aca="true">IF(B152="","",IF(K152&lt;&gt;"",IF(K152&lt;=I152,"Terminé à temps","Terminé hors délai"),IF(N152=0,IF(TODAY()&lt;H152,"En attente",IF(TODAY()&gt;I152+30,"Critique","En retard")),IF(N152&gt;=M152,"À temps",IF(N152&gt;=M152*0.8,"À surveiller",IF(N152&gt;=M152*0.5,"En retard","Critique"))))))</f>
        <v/>
      </c>
      <c r="R152" s="68" t="n">
        <f aca="false">IFERROR(IF(Q152="Terminé à temps",100,IF(Q152="Terminé hors délai",75,IF(Q152="À temps",50,IF(Q152="À surveiller",40,IF(Q152="En retard",25,IF(Q152="Critique",10,IF(Q152="En attente",50,0))))))),0)</f>
        <v>0</v>
      </c>
      <c r="S152" s="7"/>
      <c r="T152" s="74"/>
      <c r="U152" s="70" t="n">
        <f aca="false">IFERROR(IF(T152="",0,T152*N152/100),0)</f>
        <v>0</v>
      </c>
      <c r="V152" s="7"/>
    </row>
    <row r="153" customFormat="false" ht="24" hidden="false" customHeight="true" outlineLevel="0" collapsed="false">
      <c r="B153" s="11"/>
      <c r="C153" s="11"/>
      <c r="D153" s="11"/>
      <c r="E153" s="11"/>
      <c r="F153" s="11"/>
      <c r="G153" s="11"/>
      <c r="H153" s="63"/>
      <c r="I153" s="63"/>
      <c r="J153" s="63"/>
      <c r="K153" s="63"/>
      <c r="L153" s="11"/>
      <c r="M153" s="64" t="n">
        <f aca="true">IF(OR(B153="",H153="",I153=""),0,IF(TODAY()&lt;H153,0,IF(TODAY()&gt;=I153,100,(TODAY()-H153)/(I153-H153)*100)))</f>
        <v>0</v>
      </c>
      <c r="N153" s="65" t="n">
        <v>0</v>
      </c>
      <c r="O153" s="66"/>
      <c r="P153" s="66"/>
      <c r="Q153" s="67" t="str">
        <f aca="true">IF(B153="","",IF(K153&lt;&gt;"",IF(K153&lt;=I153,"Terminé à temps","Terminé hors délai"),IF(N153=0,IF(TODAY()&lt;H153,"En attente",IF(TODAY()&gt;I153+30,"Critique","En retard")),IF(N153&gt;=M153,"À temps",IF(N153&gt;=M153*0.8,"À surveiller",IF(N153&gt;=M153*0.5,"En retard","Critique"))))))</f>
        <v/>
      </c>
      <c r="R153" s="68" t="n">
        <f aca="false">IFERROR(IF(Q153="Terminé à temps",100,IF(Q153="Terminé hors délai",75,IF(Q153="À temps",50,IF(Q153="À surveiller",40,IF(Q153="En retard",25,IF(Q153="Critique",10,IF(Q153="En attente",50,0))))))),0)</f>
        <v>0</v>
      </c>
      <c r="S153" s="11"/>
      <c r="T153" s="69"/>
      <c r="U153" s="70" t="n">
        <f aca="false">IFERROR(IF(T153="",0,T153*N153/100),0)</f>
        <v>0</v>
      </c>
      <c r="V153" s="11"/>
    </row>
    <row r="154" customFormat="false" ht="24" hidden="false" customHeight="true" outlineLevel="0" collapsed="false">
      <c r="B154" s="7"/>
      <c r="C154" s="7"/>
      <c r="D154" s="7"/>
      <c r="E154" s="7"/>
      <c r="F154" s="7"/>
      <c r="G154" s="7"/>
      <c r="H154" s="71"/>
      <c r="I154" s="71"/>
      <c r="J154" s="71"/>
      <c r="K154" s="71"/>
      <c r="L154" s="7"/>
      <c r="M154" s="64" t="n">
        <f aca="true">IF(OR(B154="",H154="",I154=""),0,IF(TODAY()&lt;H154,0,IF(TODAY()&gt;=I154,100,(TODAY()-H154)/(I154-H154)*100)))</f>
        <v>0</v>
      </c>
      <c r="N154" s="72" t="n">
        <v>0</v>
      </c>
      <c r="O154" s="73"/>
      <c r="P154" s="73"/>
      <c r="Q154" s="67" t="str">
        <f aca="true">IF(B154="","",IF(K154&lt;&gt;"",IF(K154&lt;=I154,"Terminé à temps","Terminé hors délai"),IF(N154=0,IF(TODAY()&lt;H154,"En attente",IF(TODAY()&gt;I154+30,"Critique","En retard")),IF(N154&gt;=M154,"À temps",IF(N154&gt;=M154*0.8,"À surveiller",IF(N154&gt;=M154*0.5,"En retard","Critique"))))))</f>
        <v/>
      </c>
      <c r="R154" s="68" t="n">
        <f aca="false">IFERROR(IF(Q154="Terminé à temps",100,IF(Q154="Terminé hors délai",75,IF(Q154="À temps",50,IF(Q154="À surveiller",40,IF(Q154="En retard",25,IF(Q154="Critique",10,IF(Q154="En attente",50,0))))))),0)</f>
        <v>0</v>
      </c>
      <c r="S154" s="7"/>
      <c r="T154" s="74"/>
      <c r="U154" s="70" t="n">
        <f aca="false">IFERROR(IF(T154="",0,T154*N154/100),0)</f>
        <v>0</v>
      </c>
      <c r="V154" s="7"/>
    </row>
    <row r="155" customFormat="false" ht="24" hidden="false" customHeight="true" outlineLevel="0" collapsed="false">
      <c r="B155" s="11"/>
      <c r="C155" s="11"/>
      <c r="D155" s="11"/>
      <c r="E155" s="11"/>
      <c r="F155" s="11"/>
      <c r="G155" s="11"/>
      <c r="H155" s="63"/>
      <c r="I155" s="63"/>
      <c r="J155" s="63"/>
      <c r="K155" s="63"/>
      <c r="L155" s="11"/>
      <c r="M155" s="64" t="n">
        <f aca="true">IF(OR(B155="",H155="",I155=""),0,IF(TODAY()&lt;H155,0,IF(TODAY()&gt;=I155,100,(TODAY()-H155)/(I155-H155)*100)))</f>
        <v>0</v>
      </c>
      <c r="N155" s="65" t="n">
        <v>0</v>
      </c>
      <c r="O155" s="66"/>
      <c r="P155" s="66"/>
      <c r="Q155" s="67" t="str">
        <f aca="true">IF(B155="","",IF(K155&lt;&gt;"",IF(K155&lt;=I155,"Terminé à temps","Terminé hors délai"),IF(N155=0,IF(TODAY()&lt;H155,"En attente",IF(TODAY()&gt;I155+30,"Critique","En retard")),IF(N155&gt;=M155,"À temps",IF(N155&gt;=M155*0.8,"À surveiller",IF(N155&gt;=M155*0.5,"En retard","Critique"))))))</f>
        <v/>
      </c>
      <c r="R155" s="68" t="n">
        <f aca="false">IFERROR(IF(Q155="Terminé à temps",100,IF(Q155="Terminé hors délai",75,IF(Q155="À temps",50,IF(Q155="À surveiller",40,IF(Q155="En retard",25,IF(Q155="Critique",10,IF(Q155="En attente",50,0))))))),0)</f>
        <v>0</v>
      </c>
      <c r="S155" s="11"/>
      <c r="T155" s="69"/>
      <c r="U155" s="70" t="n">
        <f aca="false">IFERROR(IF(T155="",0,T155*N155/100),0)</f>
        <v>0</v>
      </c>
      <c r="V155" s="11"/>
    </row>
    <row r="156" customFormat="false" ht="24" hidden="false" customHeight="true" outlineLevel="0" collapsed="false">
      <c r="B156" s="7"/>
      <c r="C156" s="7"/>
      <c r="D156" s="7"/>
      <c r="E156" s="7"/>
      <c r="F156" s="7"/>
      <c r="G156" s="7"/>
      <c r="H156" s="71"/>
      <c r="I156" s="71"/>
      <c r="J156" s="71"/>
      <c r="K156" s="71"/>
      <c r="L156" s="7"/>
      <c r="M156" s="64" t="n">
        <f aca="true">IF(OR(B156="",H156="",I156=""),0,IF(TODAY()&lt;H156,0,IF(TODAY()&gt;=I156,100,(TODAY()-H156)/(I156-H156)*100)))</f>
        <v>0</v>
      </c>
      <c r="N156" s="72" t="n">
        <v>0</v>
      </c>
      <c r="O156" s="73"/>
      <c r="P156" s="73"/>
      <c r="Q156" s="67" t="str">
        <f aca="true">IF(B156="","",IF(K156&lt;&gt;"",IF(K156&lt;=I156,"Terminé à temps","Terminé hors délai"),IF(N156=0,IF(TODAY()&lt;H156,"En attente",IF(TODAY()&gt;I156+30,"Critique","En retard")),IF(N156&gt;=M156,"À temps",IF(N156&gt;=M156*0.8,"À surveiller",IF(N156&gt;=M156*0.5,"En retard","Critique"))))))</f>
        <v/>
      </c>
      <c r="R156" s="68" t="n">
        <f aca="false">IFERROR(IF(Q156="Terminé à temps",100,IF(Q156="Terminé hors délai",75,IF(Q156="À temps",50,IF(Q156="À surveiller",40,IF(Q156="En retard",25,IF(Q156="Critique",10,IF(Q156="En attente",50,0))))))),0)</f>
        <v>0</v>
      </c>
      <c r="S156" s="7"/>
      <c r="T156" s="74"/>
      <c r="U156" s="70" t="n">
        <f aca="false">IFERROR(IF(T156="",0,T156*N156/100),0)</f>
        <v>0</v>
      </c>
      <c r="V156" s="7"/>
    </row>
    <row r="157" customFormat="false" ht="24" hidden="false" customHeight="true" outlineLevel="0" collapsed="false">
      <c r="B157" s="11"/>
      <c r="C157" s="11"/>
      <c r="D157" s="11"/>
      <c r="E157" s="11"/>
      <c r="F157" s="11"/>
      <c r="G157" s="11"/>
      <c r="H157" s="63"/>
      <c r="I157" s="63"/>
      <c r="J157" s="63"/>
      <c r="K157" s="63"/>
      <c r="L157" s="11"/>
      <c r="M157" s="64" t="n">
        <f aca="true">IF(OR(B157="",H157="",I157=""),0,IF(TODAY()&lt;H157,0,IF(TODAY()&gt;=I157,100,(TODAY()-H157)/(I157-H157)*100)))</f>
        <v>0</v>
      </c>
      <c r="N157" s="65" t="n">
        <v>0</v>
      </c>
      <c r="O157" s="66"/>
      <c r="P157" s="66"/>
      <c r="Q157" s="67" t="str">
        <f aca="true">IF(B157="","",IF(K157&lt;&gt;"",IF(K157&lt;=I157,"Terminé à temps","Terminé hors délai"),IF(N157=0,IF(TODAY()&lt;H157,"En attente",IF(TODAY()&gt;I157+30,"Critique","En retard")),IF(N157&gt;=M157,"À temps",IF(N157&gt;=M157*0.8,"À surveiller",IF(N157&gt;=M157*0.5,"En retard","Critique"))))))</f>
        <v/>
      </c>
      <c r="R157" s="68" t="n">
        <f aca="false">IFERROR(IF(Q157="Terminé à temps",100,IF(Q157="Terminé hors délai",75,IF(Q157="À temps",50,IF(Q157="À surveiller",40,IF(Q157="En retard",25,IF(Q157="Critique",10,IF(Q157="En attente",50,0))))))),0)</f>
        <v>0</v>
      </c>
      <c r="S157" s="11"/>
      <c r="T157" s="69"/>
      <c r="U157" s="70" t="n">
        <f aca="false">IFERROR(IF(T157="",0,T157*N157/100),0)</f>
        <v>0</v>
      </c>
      <c r="V157" s="11"/>
    </row>
    <row r="158" customFormat="false" ht="24" hidden="false" customHeight="true" outlineLevel="0" collapsed="false">
      <c r="B158" s="7"/>
      <c r="C158" s="7"/>
      <c r="D158" s="7"/>
      <c r="E158" s="7"/>
      <c r="F158" s="7"/>
      <c r="G158" s="7"/>
      <c r="H158" s="71"/>
      <c r="I158" s="71"/>
      <c r="J158" s="71"/>
      <c r="K158" s="71"/>
      <c r="L158" s="7"/>
      <c r="M158" s="64" t="n">
        <f aca="true">IF(OR(B158="",H158="",I158=""),0,IF(TODAY()&lt;H158,0,IF(TODAY()&gt;=I158,100,(TODAY()-H158)/(I158-H158)*100)))</f>
        <v>0</v>
      </c>
      <c r="N158" s="72" t="n">
        <v>0</v>
      </c>
      <c r="O158" s="73"/>
      <c r="P158" s="73"/>
      <c r="Q158" s="67" t="str">
        <f aca="true">IF(B158="","",IF(K158&lt;&gt;"",IF(K158&lt;=I158,"Terminé à temps","Terminé hors délai"),IF(N158=0,IF(TODAY()&lt;H158,"En attente",IF(TODAY()&gt;I158+30,"Critique","En retard")),IF(N158&gt;=M158,"À temps",IF(N158&gt;=M158*0.8,"À surveiller",IF(N158&gt;=M158*0.5,"En retard","Critique"))))))</f>
        <v/>
      </c>
      <c r="R158" s="68" t="n">
        <f aca="false">IFERROR(IF(Q158="Terminé à temps",100,IF(Q158="Terminé hors délai",75,IF(Q158="À temps",50,IF(Q158="À surveiller",40,IF(Q158="En retard",25,IF(Q158="Critique",10,IF(Q158="En attente",50,0))))))),0)</f>
        <v>0</v>
      </c>
      <c r="S158" s="7"/>
      <c r="T158" s="74"/>
      <c r="U158" s="70" t="n">
        <f aca="false">IFERROR(IF(T158="",0,T158*N158/100),0)</f>
        <v>0</v>
      </c>
      <c r="V158" s="7"/>
    </row>
    <row r="159" customFormat="false" ht="24" hidden="false" customHeight="true" outlineLevel="0" collapsed="false">
      <c r="B159" s="11"/>
      <c r="C159" s="11"/>
      <c r="D159" s="11"/>
      <c r="E159" s="11"/>
      <c r="F159" s="11"/>
      <c r="G159" s="11"/>
      <c r="H159" s="63"/>
      <c r="I159" s="63"/>
      <c r="J159" s="63"/>
      <c r="K159" s="63"/>
      <c r="L159" s="11"/>
      <c r="M159" s="64" t="n">
        <f aca="true">IF(OR(B159="",H159="",I159=""),0,IF(TODAY()&lt;H159,0,IF(TODAY()&gt;=I159,100,(TODAY()-H159)/(I159-H159)*100)))</f>
        <v>0</v>
      </c>
      <c r="N159" s="65" t="n">
        <v>0</v>
      </c>
      <c r="O159" s="66"/>
      <c r="P159" s="66"/>
      <c r="Q159" s="67" t="str">
        <f aca="true">IF(B159="","",IF(K159&lt;&gt;"",IF(K159&lt;=I159,"Terminé à temps","Terminé hors délai"),IF(N159=0,IF(TODAY()&lt;H159,"En attente",IF(TODAY()&gt;I159+30,"Critique","En retard")),IF(N159&gt;=M159,"À temps",IF(N159&gt;=M159*0.8,"À surveiller",IF(N159&gt;=M159*0.5,"En retard","Critique"))))))</f>
        <v/>
      </c>
      <c r="R159" s="68" t="n">
        <f aca="false">IFERROR(IF(Q159="Terminé à temps",100,IF(Q159="Terminé hors délai",75,IF(Q159="À temps",50,IF(Q159="À surveiller",40,IF(Q159="En retard",25,IF(Q159="Critique",10,IF(Q159="En attente",50,0))))))),0)</f>
        <v>0</v>
      </c>
      <c r="S159" s="11"/>
      <c r="T159" s="69"/>
      <c r="U159" s="70" t="n">
        <f aca="false">IFERROR(IF(T159="",0,T159*N159/100),0)</f>
        <v>0</v>
      </c>
      <c r="V159" s="11"/>
    </row>
    <row r="160" customFormat="false" ht="24" hidden="false" customHeight="true" outlineLevel="0" collapsed="false">
      <c r="B160" s="7"/>
      <c r="C160" s="7"/>
      <c r="D160" s="7"/>
      <c r="E160" s="7"/>
      <c r="F160" s="7"/>
      <c r="G160" s="7"/>
      <c r="H160" s="71"/>
      <c r="I160" s="71"/>
      <c r="J160" s="71"/>
      <c r="K160" s="71"/>
      <c r="L160" s="7"/>
      <c r="M160" s="64" t="n">
        <f aca="true">IF(OR(B160="",H160="",I160=""),0,IF(TODAY()&lt;H160,0,IF(TODAY()&gt;=I160,100,(TODAY()-H160)/(I160-H160)*100)))</f>
        <v>0</v>
      </c>
      <c r="N160" s="72" t="n">
        <v>0</v>
      </c>
      <c r="O160" s="73"/>
      <c r="P160" s="73"/>
      <c r="Q160" s="67" t="str">
        <f aca="true">IF(B160="","",IF(K160&lt;&gt;"",IF(K160&lt;=I160,"Terminé à temps","Terminé hors délai"),IF(N160=0,IF(TODAY()&lt;H160,"En attente",IF(TODAY()&gt;I160+30,"Critique","En retard")),IF(N160&gt;=M160,"À temps",IF(N160&gt;=M160*0.8,"À surveiller",IF(N160&gt;=M160*0.5,"En retard","Critique"))))))</f>
        <v/>
      </c>
      <c r="R160" s="68" t="n">
        <f aca="false">IFERROR(IF(Q160="Terminé à temps",100,IF(Q160="Terminé hors délai",75,IF(Q160="À temps",50,IF(Q160="À surveiller",40,IF(Q160="En retard",25,IF(Q160="Critique",10,IF(Q160="En attente",50,0))))))),0)</f>
        <v>0</v>
      </c>
      <c r="S160" s="7"/>
      <c r="T160" s="74"/>
      <c r="U160" s="70" t="n">
        <f aca="false">IFERROR(IF(T160="",0,T160*N160/100),0)</f>
        <v>0</v>
      </c>
      <c r="V160" s="7"/>
    </row>
    <row r="161" customFormat="false" ht="24" hidden="false" customHeight="true" outlineLevel="0" collapsed="false">
      <c r="B161" s="11"/>
      <c r="C161" s="11"/>
      <c r="D161" s="11"/>
      <c r="E161" s="11"/>
      <c r="F161" s="11"/>
      <c r="G161" s="11"/>
      <c r="H161" s="63"/>
      <c r="I161" s="63"/>
      <c r="J161" s="63"/>
      <c r="K161" s="63"/>
      <c r="L161" s="11"/>
      <c r="M161" s="64" t="n">
        <f aca="true">IF(OR(B161="",H161="",I161=""),0,IF(TODAY()&lt;H161,0,IF(TODAY()&gt;=I161,100,(TODAY()-H161)/(I161-H161)*100)))</f>
        <v>0</v>
      </c>
      <c r="N161" s="65" t="n">
        <v>0</v>
      </c>
      <c r="O161" s="66"/>
      <c r="P161" s="66"/>
      <c r="Q161" s="67" t="str">
        <f aca="true">IF(B161="","",IF(K161&lt;&gt;"",IF(K161&lt;=I161,"Terminé à temps","Terminé hors délai"),IF(N161=0,IF(TODAY()&lt;H161,"En attente",IF(TODAY()&gt;I161+30,"Critique","En retard")),IF(N161&gt;=M161,"À temps",IF(N161&gt;=M161*0.8,"À surveiller",IF(N161&gt;=M161*0.5,"En retard","Critique"))))))</f>
        <v/>
      </c>
      <c r="R161" s="68" t="n">
        <f aca="false">IFERROR(IF(Q161="Terminé à temps",100,IF(Q161="Terminé hors délai",75,IF(Q161="À temps",50,IF(Q161="À surveiller",40,IF(Q161="En retard",25,IF(Q161="Critique",10,IF(Q161="En attente",50,0))))))),0)</f>
        <v>0</v>
      </c>
      <c r="S161" s="11"/>
      <c r="T161" s="69"/>
      <c r="U161" s="70" t="n">
        <f aca="false">IFERROR(IF(T161="",0,T161*N161/100),0)</f>
        <v>0</v>
      </c>
      <c r="V161" s="11"/>
    </row>
    <row r="162" customFormat="false" ht="24" hidden="false" customHeight="true" outlineLevel="0" collapsed="false">
      <c r="B162" s="7"/>
      <c r="C162" s="7"/>
      <c r="D162" s="7"/>
      <c r="E162" s="7"/>
      <c r="F162" s="7"/>
      <c r="G162" s="7"/>
      <c r="H162" s="71"/>
      <c r="I162" s="71"/>
      <c r="J162" s="71"/>
      <c r="K162" s="71"/>
      <c r="L162" s="7"/>
      <c r="M162" s="64" t="n">
        <f aca="true">IF(OR(B162="",H162="",I162=""),0,IF(TODAY()&lt;H162,0,IF(TODAY()&gt;=I162,100,(TODAY()-H162)/(I162-H162)*100)))</f>
        <v>0</v>
      </c>
      <c r="N162" s="72" t="n">
        <v>0</v>
      </c>
      <c r="O162" s="73"/>
      <c r="P162" s="73"/>
      <c r="Q162" s="67" t="str">
        <f aca="true">IF(B162="","",IF(K162&lt;&gt;"",IF(K162&lt;=I162,"Terminé à temps","Terminé hors délai"),IF(N162=0,IF(TODAY()&lt;H162,"En attente",IF(TODAY()&gt;I162+30,"Critique","En retard")),IF(N162&gt;=M162,"À temps",IF(N162&gt;=M162*0.8,"À surveiller",IF(N162&gt;=M162*0.5,"En retard","Critique"))))))</f>
        <v/>
      </c>
      <c r="R162" s="68" t="n">
        <f aca="false">IFERROR(IF(Q162="Terminé à temps",100,IF(Q162="Terminé hors délai",75,IF(Q162="À temps",50,IF(Q162="À surveiller",40,IF(Q162="En retard",25,IF(Q162="Critique",10,IF(Q162="En attente",50,0))))))),0)</f>
        <v>0</v>
      </c>
      <c r="S162" s="7"/>
      <c r="T162" s="74"/>
      <c r="U162" s="70" t="n">
        <f aca="false">IFERROR(IF(T162="",0,T162*N162/100),0)</f>
        <v>0</v>
      </c>
      <c r="V162" s="7"/>
    </row>
    <row r="163" customFormat="false" ht="24" hidden="false" customHeight="true" outlineLevel="0" collapsed="false">
      <c r="B163" s="11"/>
      <c r="C163" s="11"/>
      <c r="D163" s="11"/>
      <c r="E163" s="11"/>
      <c r="F163" s="11"/>
      <c r="G163" s="11"/>
      <c r="H163" s="63"/>
      <c r="I163" s="63"/>
      <c r="J163" s="63"/>
      <c r="K163" s="63"/>
      <c r="L163" s="11"/>
      <c r="M163" s="64" t="n">
        <f aca="true">IF(OR(B163="",H163="",I163=""),0,IF(TODAY()&lt;H163,0,IF(TODAY()&gt;=I163,100,(TODAY()-H163)/(I163-H163)*100)))</f>
        <v>0</v>
      </c>
      <c r="N163" s="65" t="n">
        <v>0</v>
      </c>
      <c r="O163" s="66"/>
      <c r="P163" s="66"/>
      <c r="Q163" s="67" t="str">
        <f aca="true">IF(B163="","",IF(K163&lt;&gt;"",IF(K163&lt;=I163,"Terminé à temps","Terminé hors délai"),IF(N163=0,IF(TODAY()&lt;H163,"En attente",IF(TODAY()&gt;I163+30,"Critique","En retard")),IF(N163&gt;=M163,"À temps",IF(N163&gt;=M163*0.8,"À surveiller",IF(N163&gt;=M163*0.5,"En retard","Critique"))))))</f>
        <v/>
      </c>
      <c r="R163" s="68" t="n">
        <f aca="false">IFERROR(IF(Q163="Terminé à temps",100,IF(Q163="Terminé hors délai",75,IF(Q163="À temps",50,IF(Q163="À surveiller",40,IF(Q163="En retard",25,IF(Q163="Critique",10,IF(Q163="En attente",50,0))))))),0)</f>
        <v>0</v>
      </c>
      <c r="S163" s="11"/>
      <c r="T163" s="69"/>
      <c r="U163" s="70" t="n">
        <f aca="false">IFERROR(IF(T163="",0,T163*N163/100),0)</f>
        <v>0</v>
      </c>
      <c r="V163" s="11"/>
    </row>
    <row r="164" customFormat="false" ht="24" hidden="false" customHeight="true" outlineLevel="0" collapsed="false">
      <c r="B164" s="7"/>
      <c r="C164" s="7"/>
      <c r="D164" s="7"/>
      <c r="E164" s="7"/>
      <c r="F164" s="7"/>
      <c r="G164" s="7"/>
      <c r="H164" s="71"/>
      <c r="I164" s="71"/>
      <c r="J164" s="71"/>
      <c r="K164" s="71"/>
      <c r="L164" s="7"/>
      <c r="M164" s="64" t="n">
        <f aca="true">IF(OR(B164="",H164="",I164=""),0,IF(TODAY()&lt;H164,0,IF(TODAY()&gt;=I164,100,(TODAY()-H164)/(I164-H164)*100)))</f>
        <v>0</v>
      </c>
      <c r="N164" s="72" t="n">
        <v>0</v>
      </c>
      <c r="O164" s="73"/>
      <c r="P164" s="73"/>
      <c r="Q164" s="67" t="str">
        <f aca="true">IF(B164="","",IF(K164&lt;&gt;"",IF(K164&lt;=I164,"Terminé à temps","Terminé hors délai"),IF(N164=0,IF(TODAY()&lt;H164,"En attente",IF(TODAY()&gt;I164+30,"Critique","En retard")),IF(N164&gt;=M164,"À temps",IF(N164&gt;=M164*0.8,"À surveiller",IF(N164&gt;=M164*0.5,"En retard","Critique"))))))</f>
        <v/>
      </c>
      <c r="R164" s="68" t="n">
        <f aca="false">IFERROR(IF(Q164="Terminé à temps",100,IF(Q164="Terminé hors délai",75,IF(Q164="À temps",50,IF(Q164="À surveiller",40,IF(Q164="En retard",25,IF(Q164="Critique",10,IF(Q164="En attente",50,0))))))),0)</f>
        <v>0</v>
      </c>
      <c r="S164" s="7"/>
      <c r="T164" s="74"/>
      <c r="U164" s="70" t="n">
        <f aca="false">IFERROR(IF(T164="",0,T164*N164/100),0)</f>
        <v>0</v>
      </c>
      <c r="V164" s="7"/>
    </row>
    <row r="165" customFormat="false" ht="24" hidden="false" customHeight="true" outlineLevel="0" collapsed="false">
      <c r="B165" s="11"/>
      <c r="C165" s="11"/>
      <c r="D165" s="11"/>
      <c r="E165" s="11"/>
      <c r="F165" s="11"/>
      <c r="G165" s="11"/>
      <c r="H165" s="63"/>
      <c r="I165" s="63"/>
      <c r="J165" s="63"/>
      <c r="K165" s="63"/>
      <c r="L165" s="11"/>
      <c r="M165" s="64" t="n">
        <f aca="true">IF(OR(B165="",H165="",I165=""),0,IF(TODAY()&lt;H165,0,IF(TODAY()&gt;=I165,100,(TODAY()-H165)/(I165-H165)*100)))</f>
        <v>0</v>
      </c>
      <c r="N165" s="65" t="n">
        <v>0</v>
      </c>
      <c r="O165" s="66"/>
      <c r="P165" s="66"/>
      <c r="Q165" s="67" t="str">
        <f aca="true">IF(B165="","",IF(K165&lt;&gt;"",IF(K165&lt;=I165,"Terminé à temps","Terminé hors délai"),IF(N165=0,IF(TODAY()&lt;H165,"En attente",IF(TODAY()&gt;I165+30,"Critique","En retard")),IF(N165&gt;=M165,"À temps",IF(N165&gt;=M165*0.8,"À surveiller",IF(N165&gt;=M165*0.5,"En retard","Critique"))))))</f>
        <v/>
      </c>
      <c r="R165" s="68" t="n">
        <f aca="false">IFERROR(IF(Q165="Terminé à temps",100,IF(Q165="Terminé hors délai",75,IF(Q165="À temps",50,IF(Q165="À surveiller",40,IF(Q165="En retard",25,IF(Q165="Critique",10,IF(Q165="En attente",50,0))))))),0)</f>
        <v>0</v>
      </c>
      <c r="S165" s="11"/>
      <c r="T165" s="69"/>
      <c r="U165" s="70" t="n">
        <f aca="false">IFERROR(IF(T165="",0,T165*N165/100),0)</f>
        <v>0</v>
      </c>
      <c r="V165" s="11"/>
    </row>
    <row r="166" customFormat="false" ht="24" hidden="false" customHeight="true" outlineLevel="0" collapsed="false">
      <c r="B166" s="7"/>
      <c r="C166" s="7"/>
      <c r="D166" s="7"/>
      <c r="E166" s="7"/>
      <c r="F166" s="7"/>
      <c r="G166" s="7"/>
      <c r="H166" s="71"/>
      <c r="I166" s="71"/>
      <c r="J166" s="71"/>
      <c r="K166" s="71"/>
      <c r="L166" s="7"/>
      <c r="M166" s="64" t="n">
        <f aca="true">IF(OR(B166="",H166="",I166=""),0,IF(TODAY()&lt;H166,0,IF(TODAY()&gt;=I166,100,(TODAY()-H166)/(I166-H166)*100)))</f>
        <v>0</v>
      </c>
      <c r="N166" s="72" t="n">
        <v>0</v>
      </c>
      <c r="O166" s="73"/>
      <c r="P166" s="73"/>
      <c r="Q166" s="67" t="str">
        <f aca="true">IF(B166="","",IF(K166&lt;&gt;"",IF(K166&lt;=I166,"Terminé à temps","Terminé hors délai"),IF(N166=0,IF(TODAY()&lt;H166,"En attente",IF(TODAY()&gt;I166+30,"Critique","En retard")),IF(N166&gt;=M166,"À temps",IF(N166&gt;=M166*0.8,"À surveiller",IF(N166&gt;=M166*0.5,"En retard","Critique"))))))</f>
        <v/>
      </c>
      <c r="R166" s="68" t="n">
        <f aca="false">IFERROR(IF(Q166="Terminé à temps",100,IF(Q166="Terminé hors délai",75,IF(Q166="À temps",50,IF(Q166="À surveiller",40,IF(Q166="En retard",25,IF(Q166="Critique",10,IF(Q166="En attente",50,0))))))),0)</f>
        <v>0</v>
      </c>
      <c r="S166" s="7"/>
      <c r="T166" s="74"/>
      <c r="U166" s="70" t="n">
        <f aca="false">IFERROR(IF(T166="",0,T166*N166/100),0)</f>
        <v>0</v>
      </c>
      <c r="V166" s="7"/>
    </row>
    <row r="167" customFormat="false" ht="24" hidden="false" customHeight="true" outlineLevel="0" collapsed="false">
      <c r="B167" s="11"/>
      <c r="C167" s="11"/>
      <c r="D167" s="11"/>
      <c r="E167" s="11"/>
      <c r="F167" s="11"/>
      <c r="G167" s="11"/>
      <c r="H167" s="63"/>
      <c r="I167" s="63"/>
      <c r="J167" s="63"/>
      <c r="K167" s="63"/>
      <c r="L167" s="11"/>
      <c r="M167" s="64" t="n">
        <f aca="true">IF(OR(B167="",H167="",I167=""),0,IF(TODAY()&lt;H167,0,IF(TODAY()&gt;=I167,100,(TODAY()-H167)/(I167-H167)*100)))</f>
        <v>0</v>
      </c>
      <c r="N167" s="65" t="n">
        <v>0</v>
      </c>
      <c r="O167" s="66"/>
      <c r="P167" s="66"/>
      <c r="Q167" s="67" t="str">
        <f aca="true">IF(B167="","",IF(K167&lt;&gt;"",IF(K167&lt;=I167,"Terminé à temps","Terminé hors délai"),IF(N167=0,IF(TODAY()&lt;H167,"En attente",IF(TODAY()&gt;I167+30,"Critique","En retard")),IF(N167&gt;=M167,"À temps",IF(N167&gt;=M167*0.8,"À surveiller",IF(N167&gt;=M167*0.5,"En retard","Critique"))))))</f>
        <v/>
      </c>
      <c r="R167" s="68" t="n">
        <f aca="false">IFERROR(IF(Q167="Terminé à temps",100,IF(Q167="Terminé hors délai",75,IF(Q167="À temps",50,IF(Q167="À surveiller",40,IF(Q167="En retard",25,IF(Q167="Critique",10,IF(Q167="En attente",50,0))))))),0)</f>
        <v>0</v>
      </c>
      <c r="S167" s="11"/>
      <c r="T167" s="69"/>
      <c r="U167" s="70" t="n">
        <f aca="false">IFERROR(IF(T167="",0,T167*N167/100),0)</f>
        <v>0</v>
      </c>
      <c r="V167" s="11"/>
    </row>
    <row r="168" customFormat="false" ht="24" hidden="false" customHeight="true" outlineLevel="0" collapsed="false">
      <c r="B168" s="7"/>
      <c r="C168" s="7"/>
      <c r="D168" s="7"/>
      <c r="E168" s="7"/>
      <c r="F168" s="7"/>
      <c r="G168" s="7"/>
      <c r="H168" s="71"/>
      <c r="I168" s="71"/>
      <c r="J168" s="71"/>
      <c r="K168" s="71"/>
      <c r="L168" s="7"/>
      <c r="M168" s="64" t="n">
        <f aca="true">IF(OR(B168="",H168="",I168=""),0,IF(TODAY()&lt;H168,0,IF(TODAY()&gt;=I168,100,(TODAY()-H168)/(I168-H168)*100)))</f>
        <v>0</v>
      </c>
      <c r="N168" s="72" t="n">
        <v>0</v>
      </c>
      <c r="O168" s="73"/>
      <c r="P168" s="73"/>
      <c r="Q168" s="67" t="str">
        <f aca="true">IF(B168="","",IF(K168&lt;&gt;"",IF(K168&lt;=I168,"Terminé à temps","Terminé hors délai"),IF(N168=0,IF(TODAY()&lt;H168,"En attente",IF(TODAY()&gt;I168+30,"Critique","En retard")),IF(N168&gt;=M168,"À temps",IF(N168&gt;=M168*0.8,"À surveiller",IF(N168&gt;=M168*0.5,"En retard","Critique"))))))</f>
        <v/>
      </c>
      <c r="R168" s="68" t="n">
        <f aca="false">IFERROR(IF(Q168="Terminé à temps",100,IF(Q168="Terminé hors délai",75,IF(Q168="À temps",50,IF(Q168="À surveiller",40,IF(Q168="En retard",25,IF(Q168="Critique",10,IF(Q168="En attente",50,0))))))),0)</f>
        <v>0</v>
      </c>
      <c r="S168" s="7"/>
      <c r="T168" s="74"/>
      <c r="U168" s="70" t="n">
        <f aca="false">IFERROR(IF(T168="",0,T168*N168/100),0)</f>
        <v>0</v>
      </c>
      <c r="V168" s="7"/>
    </row>
    <row r="169" customFormat="false" ht="24" hidden="false" customHeight="true" outlineLevel="0" collapsed="false">
      <c r="B169" s="11"/>
      <c r="C169" s="11"/>
      <c r="D169" s="11"/>
      <c r="E169" s="11"/>
      <c r="F169" s="11"/>
      <c r="G169" s="11"/>
      <c r="H169" s="63"/>
      <c r="I169" s="63"/>
      <c r="J169" s="63"/>
      <c r="K169" s="63"/>
      <c r="L169" s="11"/>
      <c r="M169" s="64" t="n">
        <f aca="true">IF(OR(B169="",H169="",I169=""),0,IF(TODAY()&lt;H169,0,IF(TODAY()&gt;=I169,100,(TODAY()-H169)/(I169-H169)*100)))</f>
        <v>0</v>
      </c>
      <c r="N169" s="65" t="n">
        <v>0</v>
      </c>
      <c r="O169" s="66"/>
      <c r="P169" s="66"/>
      <c r="Q169" s="67" t="str">
        <f aca="true">IF(B169="","",IF(K169&lt;&gt;"",IF(K169&lt;=I169,"Terminé à temps","Terminé hors délai"),IF(N169=0,IF(TODAY()&lt;H169,"En attente",IF(TODAY()&gt;I169+30,"Critique","En retard")),IF(N169&gt;=M169,"À temps",IF(N169&gt;=M169*0.8,"À surveiller",IF(N169&gt;=M169*0.5,"En retard","Critique"))))))</f>
        <v/>
      </c>
      <c r="R169" s="68" t="n">
        <f aca="false">IFERROR(IF(Q169="Terminé à temps",100,IF(Q169="Terminé hors délai",75,IF(Q169="À temps",50,IF(Q169="À surveiller",40,IF(Q169="En retard",25,IF(Q169="Critique",10,IF(Q169="En attente",50,0))))))),0)</f>
        <v>0</v>
      </c>
      <c r="S169" s="11"/>
      <c r="T169" s="69"/>
      <c r="U169" s="70" t="n">
        <f aca="false">IFERROR(IF(T169="",0,T169*N169/100),0)</f>
        <v>0</v>
      </c>
      <c r="V169" s="11"/>
    </row>
    <row r="170" customFormat="false" ht="24" hidden="false" customHeight="true" outlineLevel="0" collapsed="false">
      <c r="B170" s="7"/>
      <c r="C170" s="7"/>
      <c r="D170" s="7"/>
      <c r="E170" s="7"/>
      <c r="F170" s="7"/>
      <c r="G170" s="7"/>
      <c r="H170" s="71"/>
      <c r="I170" s="71"/>
      <c r="J170" s="71"/>
      <c r="K170" s="71"/>
      <c r="L170" s="7"/>
      <c r="M170" s="64" t="n">
        <f aca="true">IF(OR(B170="",H170="",I170=""),0,IF(TODAY()&lt;H170,0,IF(TODAY()&gt;=I170,100,(TODAY()-H170)/(I170-H170)*100)))</f>
        <v>0</v>
      </c>
      <c r="N170" s="72" t="n">
        <v>0</v>
      </c>
      <c r="O170" s="73"/>
      <c r="P170" s="73"/>
      <c r="Q170" s="67" t="str">
        <f aca="true">IF(B170="","",IF(K170&lt;&gt;"",IF(K170&lt;=I170,"Terminé à temps","Terminé hors délai"),IF(N170=0,IF(TODAY()&lt;H170,"En attente",IF(TODAY()&gt;I170+30,"Critique","En retard")),IF(N170&gt;=M170,"À temps",IF(N170&gt;=M170*0.8,"À surveiller",IF(N170&gt;=M170*0.5,"En retard","Critique"))))))</f>
        <v/>
      </c>
      <c r="R170" s="68" t="n">
        <f aca="false">IFERROR(IF(Q170="Terminé à temps",100,IF(Q170="Terminé hors délai",75,IF(Q170="À temps",50,IF(Q170="À surveiller",40,IF(Q170="En retard",25,IF(Q170="Critique",10,IF(Q170="En attente",50,0))))))),0)</f>
        <v>0</v>
      </c>
      <c r="S170" s="7"/>
      <c r="T170" s="74"/>
      <c r="U170" s="70" t="n">
        <f aca="false">IFERROR(IF(T170="",0,T170*N170/100),0)</f>
        <v>0</v>
      </c>
      <c r="V170" s="7"/>
    </row>
    <row r="171" customFormat="false" ht="24" hidden="false" customHeight="true" outlineLevel="0" collapsed="false">
      <c r="B171" s="11"/>
      <c r="C171" s="11"/>
      <c r="D171" s="11"/>
      <c r="E171" s="11"/>
      <c r="F171" s="11"/>
      <c r="G171" s="11"/>
      <c r="H171" s="63"/>
      <c r="I171" s="63"/>
      <c r="J171" s="63"/>
      <c r="K171" s="63"/>
      <c r="L171" s="11"/>
      <c r="M171" s="64" t="n">
        <f aca="true">IF(OR(B171="",H171="",I171=""),0,IF(TODAY()&lt;H171,0,IF(TODAY()&gt;=I171,100,(TODAY()-H171)/(I171-H171)*100)))</f>
        <v>0</v>
      </c>
      <c r="N171" s="65" t="n">
        <v>0</v>
      </c>
      <c r="O171" s="66"/>
      <c r="P171" s="66"/>
      <c r="Q171" s="67" t="str">
        <f aca="true">IF(B171="","",IF(K171&lt;&gt;"",IF(K171&lt;=I171,"Terminé à temps","Terminé hors délai"),IF(N171=0,IF(TODAY()&lt;H171,"En attente",IF(TODAY()&gt;I171+30,"Critique","En retard")),IF(N171&gt;=M171,"À temps",IF(N171&gt;=M171*0.8,"À surveiller",IF(N171&gt;=M171*0.5,"En retard","Critique"))))))</f>
        <v/>
      </c>
      <c r="R171" s="68" t="n">
        <f aca="false">IFERROR(IF(Q171="Terminé à temps",100,IF(Q171="Terminé hors délai",75,IF(Q171="À temps",50,IF(Q171="À surveiller",40,IF(Q171="En retard",25,IF(Q171="Critique",10,IF(Q171="En attente",50,0))))))),0)</f>
        <v>0</v>
      </c>
      <c r="S171" s="11"/>
      <c r="T171" s="69"/>
      <c r="U171" s="70" t="n">
        <f aca="false">IFERROR(IF(T171="",0,T171*N171/100),0)</f>
        <v>0</v>
      </c>
      <c r="V171" s="11"/>
    </row>
    <row r="172" customFormat="false" ht="24" hidden="false" customHeight="true" outlineLevel="0" collapsed="false">
      <c r="B172" s="7"/>
      <c r="C172" s="7"/>
      <c r="D172" s="7"/>
      <c r="E172" s="7"/>
      <c r="F172" s="7"/>
      <c r="G172" s="7"/>
      <c r="H172" s="71"/>
      <c r="I172" s="71"/>
      <c r="J172" s="71"/>
      <c r="K172" s="71"/>
      <c r="L172" s="7"/>
      <c r="M172" s="64" t="n">
        <f aca="true">IF(OR(B172="",H172="",I172=""),0,IF(TODAY()&lt;H172,0,IF(TODAY()&gt;=I172,100,(TODAY()-H172)/(I172-H172)*100)))</f>
        <v>0</v>
      </c>
      <c r="N172" s="72" t="n">
        <v>0</v>
      </c>
      <c r="O172" s="73"/>
      <c r="P172" s="73"/>
      <c r="Q172" s="67" t="str">
        <f aca="true">IF(B172="","",IF(K172&lt;&gt;"",IF(K172&lt;=I172,"Terminé à temps","Terminé hors délai"),IF(N172=0,IF(TODAY()&lt;H172,"En attente",IF(TODAY()&gt;I172+30,"Critique","En retard")),IF(N172&gt;=M172,"À temps",IF(N172&gt;=M172*0.8,"À surveiller",IF(N172&gt;=M172*0.5,"En retard","Critique"))))))</f>
        <v/>
      </c>
      <c r="R172" s="68" t="n">
        <f aca="false">IFERROR(IF(Q172="Terminé à temps",100,IF(Q172="Terminé hors délai",75,IF(Q172="À temps",50,IF(Q172="À surveiller",40,IF(Q172="En retard",25,IF(Q172="Critique",10,IF(Q172="En attente",50,0))))))),0)</f>
        <v>0</v>
      </c>
      <c r="S172" s="7"/>
      <c r="T172" s="74"/>
      <c r="U172" s="70" t="n">
        <f aca="false">IFERROR(IF(T172="",0,T172*N172/100),0)</f>
        <v>0</v>
      </c>
      <c r="V172" s="7"/>
    </row>
    <row r="173" customFormat="false" ht="24" hidden="false" customHeight="true" outlineLevel="0" collapsed="false">
      <c r="B173" s="11"/>
      <c r="C173" s="11"/>
      <c r="D173" s="11"/>
      <c r="E173" s="11"/>
      <c r="F173" s="11"/>
      <c r="G173" s="11"/>
      <c r="H173" s="63"/>
      <c r="I173" s="63"/>
      <c r="J173" s="63"/>
      <c r="K173" s="63"/>
      <c r="L173" s="11"/>
      <c r="M173" s="64" t="n">
        <f aca="true">IF(OR(B173="",H173="",I173=""),0,IF(TODAY()&lt;H173,0,IF(TODAY()&gt;=I173,100,(TODAY()-H173)/(I173-H173)*100)))</f>
        <v>0</v>
      </c>
      <c r="N173" s="65" t="n">
        <v>0</v>
      </c>
      <c r="O173" s="66"/>
      <c r="P173" s="66"/>
      <c r="Q173" s="67" t="str">
        <f aca="true">IF(B173="","",IF(K173&lt;&gt;"",IF(K173&lt;=I173,"Terminé à temps","Terminé hors délai"),IF(N173=0,IF(TODAY()&lt;H173,"En attente",IF(TODAY()&gt;I173+30,"Critique","En retard")),IF(N173&gt;=M173,"À temps",IF(N173&gt;=M173*0.8,"À surveiller",IF(N173&gt;=M173*0.5,"En retard","Critique"))))))</f>
        <v/>
      </c>
      <c r="R173" s="68" t="n">
        <f aca="false">IFERROR(IF(Q173="Terminé à temps",100,IF(Q173="Terminé hors délai",75,IF(Q173="À temps",50,IF(Q173="À surveiller",40,IF(Q173="En retard",25,IF(Q173="Critique",10,IF(Q173="En attente",50,0))))))),0)</f>
        <v>0</v>
      </c>
      <c r="S173" s="11"/>
      <c r="T173" s="69"/>
      <c r="U173" s="70" t="n">
        <f aca="false">IFERROR(IF(T173="",0,T173*N173/100),0)</f>
        <v>0</v>
      </c>
      <c r="V173" s="11"/>
    </row>
    <row r="174" customFormat="false" ht="24" hidden="false" customHeight="true" outlineLevel="0" collapsed="false">
      <c r="B174" s="7"/>
      <c r="C174" s="7"/>
      <c r="D174" s="7"/>
      <c r="E174" s="7"/>
      <c r="F174" s="7"/>
      <c r="G174" s="7"/>
      <c r="H174" s="71"/>
      <c r="I174" s="71"/>
      <c r="J174" s="71"/>
      <c r="K174" s="71"/>
      <c r="L174" s="7"/>
      <c r="M174" s="64" t="n">
        <f aca="true">IF(OR(B174="",H174="",I174=""),0,IF(TODAY()&lt;H174,0,IF(TODAY()&gt;=I174,100,(TODAY()-H174)/(I174-H174)*100)))</f>
        <v>0</v>
      </c>
      <c r="N174" s="72" t="n">
        <v>0</v>
      </c>
      <c r="O174" s="73"/>
      <c r="P174" s="73"/>
      <c r="Q174" s="67" t="str">
        <f aca="true">IF(B174="","",IF(K174&lt;&gt;"",IF(K174&lt;=I174,"Terminé à temps","Terminé hors délai"),IF(N174=0,IF(TODAY()&lt;H174,"En attente",IF(TODAY()&gt;I174+30,"Critique","En retard")),IF(N174&gt;=M174,"À temps",IF(N174&gt;=M174*0.8,"À surveiller",IF(N174&gt;=M174*0.5,"En retard","Critique"))))))</f>
        <v/>
      </c>
      <c r="R174" s="68" t="n">
        <f aca="false">IFERROR(IF(Q174="Terminé à temps",100,IF(Q174="Terminé hors délai",75,IF(Q174="À temps",50,IF(Q174="À surveiller",40,IF(Q174="En retard",25,IF(Q174="Critique",10,IF(Q174="En attente",50,0))))))),0)</f>
        <v>0</v>
      </c>
      <c r="S174" s="7"/>
      <c r="T174" s="74"/>
      <c r="U174" s="70" t="n">
        <f aca="false">IFERROR(IF(T174="",0,T174*N174/100),0)</f>
        <v>0</v>
      </c>
      <c r="V174" s="7"/>
    </row>
    <row r="175" customFormat="false" ht="24" hidden="false" customHeight="true" outlineLevel="0" collapsed="false">
      <c r="B175" s="11"/>
      <c r="C175" s="11"/>
      <c r="D175" s="11"/>
      <c r="E175" s="11"/>
      <c r="F175" s="11"/>
      <c r="G175" s="11"/>
      <c r="H175" s="63"/>
      <c r="I175" s="63"/>
      <c r="J175" s="63"/>
      <c r="K175" s="63"/>
      <c r="L175" s="11"/>
      <c r="M175" s="64" t="n">
        <f aca="true">IF(OR(B175="",H175="",I175=""),0,IF(TODAY()&lt;H175,0,IF(TODAY()&gt;=I175,100,(TODAY()-H175)/(I175-H175)*100)))</f>
        <v>0</v>
      </c>
      <c r="N175" s="65" t="n">
        <v>0</v>
      </c>
      <c r="O175" s="66"/>
      <c r="P175" s="66"/>
      <c r="Q175" s="67" t="str">
        <f aca="true">IF(B175="","",IF(K175&lt;&gt;"",IF(K175&lt;=I175,"Terminé à temps","Terminé hors délai"),IF(N175=0,IF(TODAY()&lt;H175,"En attente",IF(TODAY()&gt;I175+30,"Critique","En retard")),IF(N175&gt;=M175,"À temps",IF(N175&gt;=M175*0.8,"À surveiller",IF(N175&gt;=M175*0.5,"En retard","Critique"))))))</f>
        <v/>
      </c>
      <c r="R175" s="68" t="n">
        <f aca="false">IFERROR(IF(Q175="Terminé à temps",100,IF(Q175="Terminé hors délai",75,IF(Q175="À temps",50,IF(Q175="À surveiller",40,IF(Q175="En retard",25,IF(Q175="Critique",10,IF(Q175="En attente",50,0))))))),0)</f>
        <v>0</v>
      </c>
      <c r="S175" s="11"/>
      <c r="T175" s="69"/>
      <c r="U175" s="70" t="n">
        <f aca="false">IFERROR(IF(T175="",0,T175*N175/100),0)</f>
        <v>0</v>
      </c>
      <c r="V175" s="11"/>
    </row>
    <row r="176" customFormat="false" ht="24" hidden="false" customHeight="true" outlineLevel="0" collapsed="false">
      <c r="B176" s="7"/>
      <c r="C176" s="7"/>
      <c r="D176" s="7"/>
      <c r="E176" s="7"/>
      <c r="F176" s="7"/>
      <c r="G176" s="7"/>
      <c r="H176" s="71"/>
      <c r="I176" s="71"/>
      <c r="J176" s="71"/>
      <c r="K176" s="71"/>
      <c r="L176" s="7"/>
      <c r="M176" s="64" t="n">
        <f aca="true">IF(OR(B176="",H176="",I176=""),0,IF(TODAY()&lt;H176,0,IF(TODAY()&gt;=I176,100,(TODAY()-H176)/(I176-H176)*100)))</f>
        <v>0</v>
      </c>
      <c r="N176" s="72" t="n">
        <v>0</v>
      </c>
      <c r="O176" s="73"/>
      <c r="P176" s="73"/>
      <c r="Q176" s="67" t="str">
        <f aca="true">IF(B176="","",IF(K176&lt;&gt;"",IF(K176&lt;=I176,"Terminé à temps","Terminé hors délai"),IF(N176=0,IF(TODAY()&lt;H176,"En attente",IF(TODAY()&gt;I176+30,"Critique","En retard")),IF(N176&gt;=M176,"À temps",IF(N176&gt;=M176*0.8,"À surveiller",IF(N176&gt;=M176*0.5,"En retard","Critique"))))))</f>
        <v/>
      </c>
      <c r="R176" s="68" t="n">
        <f aca="false">IFERROR(IF(Q176="Terminé à temps",100,IF(Q176="Terminé hors délai",75,IF(Q176="À temps",50,IF(Q176="À surveiller",40,IF(Q176="En retard",25,IF(Q176="Critique",10,IF(Q176="En attente",50,0))))))),0)</f>
        <v>0</v>
      </c>
      <c r="S176" s="7"/>
      <c r="T176" s="74"/>
      <c r="U176" s="70" t="n">
        <f aca="false">IFERROR(IF(T176="",0,T176*N176/100),0)</f>
        <v>0</v>
      </c>
      <c r="V176" s="7"/>
    </row>
    <row r="177" customFormat="false" ht="24" hidden="false" customHeight="true" outlineLevel="0" collapsed="false">
      <c r="B177" s="11"/>
      <c r="C177" s="11"/>
      <c r="D177" s="11"/>
      <c r="E177" s="11"/>
      <c r="F177" s="11"/>
      <c r="G177" s="11"/>
      <c r="H177" s="63"/>
      <c r="I177" s="63"/>
      <c r="J177" s="63"/>
      <c r="K177" s="63"/>
      <c r="L177" s="11"/>
      <c r="M177" s="64" t="n">
        <f aca="true">IF(OR(B177="",H177="",I177=""),0,IF(TODAY()&lt;H177,0,IF(TODAY()&gt;=I177,100,(TODAY()-H177)/(I177-H177)*100)))</f>
        <v>0</v>
      </c>
      <c r="N177" s="65" t="n">
        <v>0</v>
      </c>
      <c r="O177" s="66"/>
      <c r="P177" s="66"/>
      <c r="Q177" s="67" t="str">
        <f aca="true">IF(B177="","",IF(K177&lt;&gt;"",IF(K177&lt;=I177,"Terminé à temps","Terminé hors délai"),IF(N177=0,IF(TODAY()&lt;H177,"En attente",IF(TODAY()&gt;I177+30,"Critique","En retard")),IF(N177&gt;=M177,"À temps",IF(N177&gt;=M177*0.8,"À surveiller",IF(N177&gt;=M177*0.5,"En retard","Critique"))))))</f>
        <v/>
      </c>
      <c r="R177" s="68" t="n">
        <f aca="false">IFERROR(IF(Q177="Terminé à temps",100,IF(Q177="Terminé hors délai",75,IF(Q177="À temps",50,IF(Q177="À surveiller",40,IF(Q177="En retard",25,IF(Q177="Critique",10,IF(Q177="En attente",50,0))))))),0)</f>
        <v>0</v>
      </c>
      <c r="S177" s="11"/>
      <c r="T177" s="69"/>
      <c r="U177" s="70" t="n">
        <f aca="false">IFERROR(IF(T177="",0,T177*N177/100),0)</f>
        <v>0</v>
      </c>
      <c r="V177" s="11"/>
    </row>
    <row r="178" customFormat="false" ht="24" hidden="false" customHeight="true" outlineLevel="0" collapsed="false">
      <c r="B178" s="7"/>
      <c r="C178" s="7"/>
      <c r="D178" s="7"/>
      <c r="E178" s="7"/>
      <c r="F178" s="7"/>
      <c r="G178" s="7"/>
      <c r="H178" s="71"/>
      <c r="I178" s="71"/>
      <c r="J178" s="71"/>
      <c r="K178" s="71"/>
      <c r="L178" s="7"/>
      <c r="M178" s="64" t="n">
        <f aca="true">IF(OR(B178="",H178="",I178=""),0,IF(TODAY()&lt;H178,0,IF(TODAY()&gt;=I178,100,(TODAY()-H178)/(I178-H178)*100)))</f>
        <v>0</v>
      </c>
      <c r="N178" s="72" t="n">
        <v>0</v>
      </c>
      <c r="O178" s="73"/>
      <c r="P178" s="73"/>
      <c r="Q178" s="67" t="str">
        <f aca="true">IF(B178="","",IF(K178&lt;&gt;"",IF(K178&lt;=I178,"Terminé à temps","Terminé hors délai"),IF(N178=0,IF(TODAY()&lt;H178,"En attente",IF(TODAY()&gt;I178+30,"Critique","En retard")),IF(N178&gt;=M178,"À temps",IF(N178&gt;=M178*0.8,"À surveiller",IF(N178&gt;=M178*0.5,"En retard","Critique"))))))</f>
        <v/>
      </c>
      <c r="R178" s="68" t="n">
        <f aca="false">IFERROR(IF(Q178="Terminé à temps",100,IF(Q178="Terminé hors délai",75,IF(Q178="À temps",50,IF(Q178="À surveiller",40,IF(Q178="En retard",25,IF(Q178="Critique",10,IF(Q178="En attente",50,0))))))),0)</f>
        <v>0</v>
      </c>
      <c r="S178" s="7"/>
      <c r="T178" s="74"/>
      <c r="U178" s="70" t="n">
        <f aca="false">IFERROR(IF(T178="",0,T178*N178/100),0)</f>
        <v>0</v>
      </c>
      <c r="V178" s="7"/>
    </row>
    <row r="179" customFormat="false" ht="24" hidden="false" customHeight="true" outlineLevel="0" collapsed="false">
      <c r="B179" s="11"/>
      <c r="C179" s="11"/>
      <c r="D179" s="11"/>
      <c r="E179" s="11"/>
      <c r="F179" s="11"/>
      <c r="G179" s="11"/>
      <c r="H179" s="63"/>
      <c r="I179" s="63"/>
      <c r="J179" s="63"/>
      <c r="K179" s="63"/>
      <c r="L179" s="11"/>
      <c r="M179" s="64" t="n">
        <f aca="true">IF(OR(B179="",H179="",I179=""),0,IF(TODAY()&lt;H179,0,IF(TODAY()&gt;=I179,100,(TODAY()-H179)/(I179-H179)*100)))</f>
        <v>0</v>
      </c>
      <c r="N179" s="65" t="n">
        <v>0</v>
      </c>
      <c r="O179" s="66"/>
      <c r="P179" s="66"/>
      <c r="Q179" s="67" t="str">
        <f aca="true">IF(B179="","",IF(K179&lt;&gt;"",IF(K179&lt;=I179,"Terminé à temps","Terminé hors délai"),IF(N179=0,IF(TODAY()&lt;H179,"En attente",IF(TODAY()&gt;I179+30,"Critique","En retard")),IF(N179&gt;=M179,"À temps",IF(N179&gt;=M179*0.8,"À surveiller",IF(N179&gt;=M179*0.5,"En retard","Critique"))))))</f>
        <v/>
      </c>
      <c r="R179" s="68" t="n">
        <f aca="false">IFERROR(IF(Q179="Terminé à temps",100,IF(Q179="Terminé hors délai",75,IF(Q179="À temps",50,IF(Q179="À surveiller",40,IF(Q179="En retard",25,IF(Q179="Critique",10,IF(Q179="En attente",50,0))))))),0)</f>
        <v>0</v>
      </c>
      <c r="S179" s="11"/>
      <c r="T179" s="69"/>
      <c r="U179" s="70" t="n">
        <f aca="false">IFERROR(IF(T179="",0,T179*N179/100),0)</f>
        <v>0</v>
      </c>
      <c r="V179" s="11"/>
    </row>
    <row r="180" customFormat="false" ht="24" hidden="false" customHeight="true" outlineLevel="0" collapsed="false">
      <c r="B180" s="7"/>
      <c r="C180" s="7"/>
      <c r="D180" s="7"/>
      <c r="E180" s="7"/>
      <c r="F180" s="7"/>
      <c r="G180" s="7"/>
      <c r="H180" s="71"/>
      <c r="I180" s="71"/>
      <c r="J180" s="71"/>
      <c r="K180" s="71"/>
      <c r="L180" s="7"/>
      <c r="M180" s="64" t="n">
        <f aca="true">IF(OR(B180="",H180="",I180=""),0,IF(TODAY()&lt;H180,0,IF(TODAY()&gt;=I180,100,(TODAY()-H180)/(I180-H180)*100)))</f>
        <v>0</v>
      </c>
      <c r="N180" s="72" t="n">
        <v>0</v>
      </c>
      <c r="O180" s="73"/>
      <c r="P180" s="73"/>
      <c r="Q180" s="67" t="str">
        <f aca="true">IF(B180="","",IF(K180&lt;&gt;"",IF(K180&lt;=I180,"Terminé à temps","Terminé hors délai"),IF(N180=0,IF(TODAY()&lt;H180,"En attente",IF(TODAY()&gt;I180+30,"Critique","En retard")),IF(N180&gt;=M180,"À temps",IF(N180&gt;=M180*0.8,"À surveiller",IF(N180&gt;=M180*0.5,"En retard","Critique"))))))</f>
        <v/>
      </c>
      <c r="R180" s="68" t="n">
        <f aca="false">IFERROR(IF(Q180="Terminé à temps",100,IF(Q180="Terminé hors délai",75,IF(Q180="À temps",50,IF(Q180="À surveiller",40,IF(Q180="En retard",25,IF(Q180="Critique",10,IF(Q180="En attente",50,0))))))),0)</f>
        <v>0</v>
      </c>
      <c r="S180" s="7"/>
      <c r="T180" s="74"/>
      <c r="U180" s="70" t="n">
        <f aca="false">IFERROR(IF(T180="",0,T180*N180/100),0)</f>
        <v>0</v>
      </c>
      <c r="V180" s="7"/>
    </row>
    <row r="181" customFormat="false" ht="24" hidden="false" customHeight="true" outlineLevel="0" collapsed="false">
      <c r="B181" s="11"/>
      <c r="C181" s="11"/>
      <c r="D181" s="11"/>
      <c r="E181" s="11"/>
      <c r="F181" s="11"/>
      <c r="G181" s="11"/>
      <c r="H181" s="63"/>
      <c r="I181" s="63"/>
      <c r="J181" s="63"/>
      <c r="K181" s="63"/>
      <c r="L181" s="11"/>
      <c r="M181" s="64" t="n">
        <f aca="true">IF(OR(B181="",H181="",I181=""),0,IF(TODAY()&lt;H181,0,IF(TODAY()&gt;=I181,100,(TODAY()-H181)/(I181-H181)*100)))</f>
        <v>0</v>
      </c>
      <c r="N181" s="65" t="n">
        <v>0</v>
      </c>
      <c r="O181" s="66"/>
      <c r="P181" s="66"/>
      <c r="Q181" s="67" t="str">
        <f aca="true">IF(B181="","",IF(K181&lt;&gt;"",IF(K181&lt;=I181,"Terminé à temps","Terminé hors délai"),IF(N181=0,IF(TODAY()&lt;H181,"En attente",IF(TODAY()&gt;I181+30,"Critique","En retard")),IF(N181&gt;=M181,"À temps",IF(N181&gt;=M181*0.8,"À surveiller",IF(N181&gt;=M181*0.5,"En retard","Critique"))))))</f>
        <v/>
      </c>
      <c r="R181" s="68" t="n">
        <f aca="false">IFERROR(IF(Q181="Terminé à temps",100,IF(Q181="Terminé hors délai",75,IF(Q181="À temps",50,IF(Q181="À surveiller",40,IF(Q181="En retard",25,IF(Q181="Critique",10,IF(Q181="En attente",50,0))))))),0)</f>
        <v>0</v>
      </c>
      <c r="S181" s="11"/>
      <c r="T181" s="69"/>
      <c r="U181" s="70" t="n">
        <f aca="false">IFERROR(IF(T181="",0,T181*N181/100),0)</f>
        <v>0</v>
      </c>
      <c r="V181" s="11"/>
    </row>
    <row r="182" customFormat="false" ht="24" hidden="false" customHeight="true" outlineLevel="0" collapsed="false">
      <c r="B182" s="7"/>
      <c r="C182" s="7"/>
      <c r="D182" s="7"/>
      <c r="E182" s="7"/>
      <c r="F182" s="7"/>
      <c r="G182" s="7"/>
      <c r="H182" s="71"/>
      <c r="I182" s="71"/>
      <c r="J182" s="71"/>
      <c r="K182" s="71"/>
      <c r="L182" s="7"/>
      <c r="M182" s="64" t="n">
        <f aca="true">IF(OR(B182="",H182="",I182=""),0,IF(TODAY()&lt;H182,0,IF(TODAY()&gt;=I182,100,(TODAY()-H182)/(I182-H182)*100)))</f>
        <v>0</v>
      </c>
      <c r="N182" s="72" t="n">
        <v>0</v>
      </c>
      <c r="O182" s="73"/>
      <c r="P182" s="73"/>
      <c r="Q182" s="67" t="str">
        <f aca="true">IF(B182="","",IF(K182&lt;&gt;"",IF(K182&lt;=I182,"Terminé à temps","Terminé hors délai"),IF(N182=0,IF(TODAY()&lt;H182,"En attente",IF(TODAY()&gt;I182+30,"Critique","En retard")),IF(N182&gt;=M182,"À temps",IF(N182&gt;=M182*0.8,"À surveiller",IF(N182&gt;=M182*0.5,"En retard","Critique"))))))</f>
        <v/>
      </c>
      <c r="R182" s="68" t="n">
        <f aca="false">IFERROR(IF(Q182="Terminé à temps",100,IF(Q182="Terminé hors délai",75,IF(Q182="À temps",50,IF(Q182="À surveiller",40,IF(Q182="En retard",25,IF(Q182="Critique",10,IF(Q182="En attente",50,0))))))),0)</f>
        <v>0</v>
      </c>
      <c r="S182" s="7"/>
      <c r="T182" s="74"/>
      <c r="U182" s="70" t="n">
        <f aca="false">IFERROR(IF(T182="",0,T182*N182/100),0)</f>
        <v>0</v>
      </c>
      <c r="V182" s="7"/>
    </row>
    <row r="183" customFormat="false" ht="24" hidden="false" customHeight="true" outlineLevel="0" collapsed="false">
      <c r="B183" s="11"/>
      <c r="C183" s="11"/>
      <c r="D183" s="11"/>
      <c r="E183" s="11"/>
      <c r="F183" s="11"/>
      <c r="G183" s="11"/>
      <c r="H183" s="63"/>
      <c r="I183" s="63"/>
      <c r="J183" s="63"/>
      <c r="K183" s="63"/>
      <c r="L183" s="11"/>
      <c r="M183" s="64" t="n">
        <f aca="true">IF(OR(B183="",H183="",I183=""),0,IF(TODAY()&lt;H183,0,IF(TODAY()&gt;=I183,100,(TODAY()-H183)/(I183-H183)*100)))</f>
        <v>0</v>
      </c>
      <c r="N183" s="65" t="n">
        <v>0</v>
      </c>
      <c r="O183" s="66"/>
      <c r="P183" s="66"/>
      <c r="Q183" s="67" t="str">
        <f aca="true">IF(B183="","",IF(K183&lt;&gt;"",IF(K183&lt;=I183,"Terminé à temps","Terminé hors délai"),IF(N183=0,IF(TODAY()&lt;H183,"En attente",IF(TODAY()&gt;I183+30,"Critique","En retard")),IF(N183&gt;=M183,"À temps",IF(N183&gt;=M183*0.8,"À surveiller",IF(N183&gt;=M183*0.5,"En retard","Critique"))))))</f>
        <v/>
      </c>
      <c r="R183" s="68" t="n">
        <f aca="false">IFERROR(IF(Q183="Terminé à temps",100,IF(Q183="Terminé hors délai",75,IF(Q183="À temps",50,IF(Q183="À surveiller",40,IF(Q183="En retard",25,IF(Q183="Critique",10,IF(Q183="En attente",50,0))))))),0)</f>
        <v>0</v>
      </c>
      <c r="S183" s="11"/>
      <c r="T183" s="69"/>
      <c r="U183" s="70" t="n">
        <f aca="false">IFERROR(IF(T183="",0,T183*N183/100),0)</f>
        <v>0</v>
      </c>
      <c r="V183" s="11"/>
    </row>
    <row r="184" customFormat="false" ht="24" hidden="false" customHeight="true" outlineLevel="0" collapsed="false">
      <c r="B184" s="7"/>
      <c r="C184" s="7"/>
      <c r="D184" s="7"/>
      <c r="E184" s="7"/>
      <c r="F184" s="7"/>
      <c r="G184" s="7"/>
      <c r="H184" s="71"/>
      <c r="I184" s="71"/>
      <c r="J184" s="71"/>
      <c r="K184" s="71"/>
      <c r="L184" s="7"/>
      <c r="M184" s="64" t="n">
        <f aca="true">IF(OR(B184="",H184="",I184=""),0,IF(TODAY()&lt;H184,0,IF(TODAY()&gt;=I184,100,(TODAY()-H184)/(I184-H184)*100)))</f>
        <v>0</v>
      </c>
      <c r="N184" s="72" t="n">
        <v>0</v>
      </c>
      <c r="O184" s="73"/>
      <c r="P184" s="73"/>
      <c r="Q184" s="67" t="str">
        <f aca="true">IF(B184="","",IF(K184&lt;&gt;"",IF(K184&lt;=I184,"Terminé à temps","Terminé hors délai"),IF(N184=0,IF(TODAY()&lt;H184,"En attente",IF(TODAY()&gt;I184+30,"Critique","En retard")),IF(N184&gt;=M184,"À temps",IF(N184&gt;=M184*0.8,"À surveiller",IF(N184&gt;=M184*0.5,"En retard","Critique"))))))</f>
        <v/>
      </c>
      <c r="R184" s="68" t="n">
        <f aca="false">IFERROR(IF(Q184="Terminé à temps",100,IF(Q184="Terminé hors délai",75,IF(Q184="À temps",50,IF(Q184="À surveiller",40,IF(Q184="En retard",25,IF(Q184="Critique",10,IF(Q184="En attente",50,0))))))),0)</f>
        <v>0</v>
      </c>
      <c r="S184" s="7"/>
      <c r="T184" s="74"/>
      <c r="U184" s="70" t="n">
        <f aca="false">IFERROR(IF(T184="",0,T184*N184/100),0)</f>
        <v>0</v>
      </c>
      <c r="V184" s="7"/>
    </row>
    <row r="185" customFormat="false" ht="24" hidden="false" customHeight="true" outlineLevel="0" collapsed="false">
      <c r="B185" s="11"/>
      <c r="C185" s="11"/>
      <c r="D185" s="11"/>
      <c r="E185" s="11"/>
      <c r="F185" s="11"/>
      <c r="G185" s="11"/>
      <c r="H185" s="63"/>
      <c r="I185" s="63"/>
      <c r="J185" s="63"/>
      <c r="K185" s="63"/>
      <c r="L185" s="11"/>
      <c r="M185" s="64" t="n">
        <f aca="true">IF(OR(B185="",H185="",I185=""),0,IF(TODAY()&lt;H185,0,IF(TODAY()&gt;=I185,100,(TODAY()-H185)/(I185-H185)*100)))</f>
        <v>0</v>
      </c>
      <c r="N185" s="65" t="n">
        <v>0</v>
      </c>
      <c r="O185" s="66"/>
      <c r="P185" s="66"/>
      <c r="Q185" s="67" t="str">
        <f aca="true">IF(B185="","",IF(K185&lt;&gt;"",IF(K185&lt;=I185,"Terminé à temps","Terminé hors délai"),IF(N185=0,IF(TODAY()&lt;H185,"En attente",IF(TODAY()&gt;I185+30,"Critique","En retard")),IF(N185&gt;=M185,"À temps",IF(N185&gt;=M185*0.8,"À surveiller",IF(N185&gt;=M185*0.5,"En retard","Critique"))))))</f>
        <v/>
      </c>
      <c r="R185" s="68" t="n">
        <f aca="false">IFERROR(IF(Q185="Terminé à temps",100,IF(Q185="Terminé hors délai",75,IF(Q185="À temps",50,IF(Q185="À surveiller",40,IF(Q185="En retard",25,IF(Q185="Critique",10,IF(Q185="En attente",50,0))))))),0)</f>
        <v>0</v>
      </c>
      <c r="S185" s="11"/>
      <c r="T185" s="69"/>
      <c r="U185" s="70" t="n">
        <f aca="false">IFERROR(IF(T185="",0,T185*N185/100),0)</f>
        <v>0</v>
      </c>
      <c r="V185" s="11"/>
    </row>
    <row r="186" customFormat="false" ht="24" hidden="false" customHeight="true" outlineLevel="0" collapsed="false">
      <c r="B186" s="7"/>
      <c r="C186" s="7"/>
      <c r="D186" s="7"/>
      <c r="E186" s="7"/>
      <c r="F186" s="7"/>
      <c r="G186" s="7"/>
      <c r="H186" s="71"/>
      <c r="I186" s="71"/>
      <c r="J186" s="71"/>
      <c r="K186" s="71"/>
      <c r="L186" s="7"/>
      <c r="M186" s="64" t="n">
        <f aca="true">IF(OR(B186="",H186="",I186=""),0,IF(TODAY()&lt;H186,0,IF(TODAY()&gt;=I186,100,(TODAY()-H186)/(I186-H186)*100)))</f>
        <v>0</v>
      </c>
      <c r="N186" s="72" t="n">
        <v>0</v>
      </c>
      <c r="O186" s="73"/>
      <c r="P186" s="73"/>
      <c r="Q186" s="67" t="str">
        <f aca="true">IF(B186="","",IF(K186&lt;&gt;"",IF(K186&lt;=I186,"Terminé à temps","Terminé hors délai"),IF(N186=0,IF(TODAY()&lt;H186,"En attente",IF(TODAY()&gt;I186+30,"Critique","En retard")),IF(N186&gt;=M186,"À temps",IF(N186&gt;=M186*0.8,"À surveiller",IF(N186&gt;=M186*0.5,"En retard","Critique"))))))</f>
        <v/>
      </c>
      <c r="R186" s="68" t="n">
        <f aca="false">IFERROR(IF(Q186="Terminé à temps",100,IF(Q186="Terminé hors délai",75,IF(Q186="À temps",50,IF(Q186="À surveiller",40,IF(Q186="En retard",25,IF(Q186="Critique",10,IF(Q186="En attente",50,0))))))),0)</f>
        <v>0</v>
      </c>
      <c r="S186" s="7"/>
      <c r="T186" s="74"/>
      <c r="U186" s="70" t="n">
        <f aca="false">IFERROR(IF(T186="",0,T186*N186/100),0)</f>
        <v>0</v>
      </c>
      <c r="V186" s="7"/>
    </row>
    <row r="187" customFormat="false" ht="24" hidden="false" customHeight="true" outlineLevel="0" collapsed="false">
      <c r="B187" s="11"/>
      <c r="C187" s="11"/>
      <c r="D187" s="11"/>
      <c r="E187" s="11"/>
      <c r="F187" s="11"/>
      <c r="G187" s="11"/>
      <c r="H187" s="63"/>
      <c r="I187" s="63"/>
      <c r="J187" s="63"/>
      <c r="K187" s="63"/>
      <c r="L187" s="11"/>
      <c r="M187" s="64" t="n">
        <f aca="true">IF(OR(B187="",H187="",I187=""),0,IF(TODAY()&lt;H187,0,IF(TODAY()&gt;=I187,100,(TODAY()-H187)/(I187-H187)*100)))</f>
        <v>0</v>
      </c>
      <c r="N187" s="65" t="n">
        <v>0</v>
      </c>
      <c r="O187" s="66"/>
      <c r="P187" s="66"/>
      <c r="Q187" s="67" t="str">
        <f aca="true">IF(B187="","",IF(K187&lt;&gt;"",IF(K187&lt;=I187,"Terminé à temps","Terminé hors délai"),IF(N187=0,IF(TODAY()&lt;H187,"En attente",IF(TODAY()&gt;I187+30,"Critique","En retard")),IF(N187&gt;=M187,"À temps",IF(N187&gt;=M187*0.8,"À surveiller",IF(N187&gt;=M187*0.5,"En retard","Critique"))))))</f>
        <v/>
      </c>
      <c r="R187" s="68" t="n">
        <f aca="false">IFERROR(IF(Q187="Terminé à temps",100,IF(Q187="Terminé hors délai",75,IF(Q187="À temps",50,IF(Q187="À surveiller",40,IF(Q187="En retard",25,IF(Q187="Critique",10,IF(Q187="En attente",50,0))))))),0)</f>
        <v>0</v>
      </c>
      <c r="S187" s="11"/>
      <c r="T187" s="69"/>
      <c r="U187" s="70" t="n">
        <f aca="false">IFERROR(IF(T187="",0,T187*N187/100),0)</f>
        <v>0</v>
      </c>
      <c r="V187" s="11"/>
    </row>
    <row r="188" customFormat="false" ht="24" hidden="false" customHeight="true" outlineLevel="0" collapsed="false">
      <c r="B188" s="7"/>
      <c r="C188" s="7"/>
      <c r="D188" s="7"/>
      <c r="E188" s="7"/>
      <c r="F188" s="7"/>
      <c r="G188" s="7"/>
      <c r="H188" s="71"/>
      <c r="I188" s="71"/>
      <c r="J188" s="71"/>
      <c r="K188" s="71"/>
      <c r="L188" s="7"/>
      <c r="M188" s="64" t="n">
        <f aca="true">IF(OR(B188="",H188="",I188=""),0,IF(TODAY()&lt;H188,0,IF(TODAY()&gt;=I188,100,(TODAY()-H188)/(I188-H188)*100)))</f>
        <v>0</v>
      </c>
      <c r="N188" s="72" t="n">
        <v>0</v>
      </c>
      <c r="O188" s="73"/>
      <c r="P188" s="73"/>
      <c r="Q188" s="67" t="str">
        <f aca="true">IF(B188="","",IF(K188&lt;&gt;"",IF(K188&lt;=I188,"Terminé à temps","Terminé hors délai"),IF(N188=0,IF(TODAY()&lt;H188,"En attente",IF(TODAY()&gt;I188+30,"Critique","En retard")),IF(N188&gt;=M188,"À temps",IF(N188&gt;=M188*0.8,"À surveiller",IF(N188&gt;=M188*0.5,"En retard","Critique"))))))</f>
        <v/>
      </c>
      <c r="R188" s="68" t="n">
        <f aca="false">IFERROR(IF(Q188="Terminé à temps",100,IF(Q188="Terminé hors délai",75,IF(Q188="À temps",50,IF(Q188="À surveiller",40,IF(Q188="En retard",25,IF(Q188="Critique",10,IF(Q188="En attente",50,0))))))),0)</f>
        <v>0</v>
      </c>
      <c r="S188" s="7"/>
      <c r="T188" s="74"/>
      <c r="U188" s="70" t="n">
        <f aca="false">IFERROR(IF(T188="",0,T188*N188/100),0)</f>
        <v>0</v>
      </c>
      <c r="V188" s="7"/>
    </row>
    <row r="189" customFormat="false" ht="24" hidden="false" customHeight="true" outlineLevel="0" collapsed="false">
      <c r="B189" s="11"/>
      <c r="C189" s="11"/>
      <c r="D189" s="11"/>
      <c r="E189" s="11"/>
      <c r="F189" s="11"/>
      <c r="G189" s="11"/>
      <c r="H189" s="63"/>
      <c r="I189" s="63"/>
      <c r="J189" s="63"/>
      <c r="K189" s="63"/>
      <c r="L189" s="11"/>
      <c r="M189" s="64" t="n">
        <f aca="true">IF(OR(B189="",H189="",I189=""),0,IF(TODAY()&lt;H189,0,IF(TODAY()&gt;=I189,100,(TODAY()-H189)/(I189-H189)*100)))</f>
        <v>0</v>
      </c>
      <c r="N189" s="65" t="n">
        <v>0</v>
      </c>
      <c r="O189" s="66"/>
      <c r="P189" s="66"/>
      <c r="Q189" s="67" t="str">
        <f aca="true">IF(B189="","",IF(K189&lt;&gt;"",IF(K189&lt;=I189,"Terminé à temps","Terminé hors délai"),IF(N189=0,IF(TODAY()&lt;H189,"En attente",IF(TODAY()&gt;I189+30,"Critique","En retard")),IF(N189&gt;=M189,"À temps",IF(N189&gt;=M189*0.8,"À surveiller",IF(N189&gt;=M189*0.5,"En retard","Critique"))))))</f>
        <v/>
      </c>
      <c r="R189" s="68" t="n">
        <f aca="false">IFERROR(IF(Q189="Terminé à temps",100,IF(Q189="Terminé hors délai",75,IF(Q189="À temps",50,IF(Q189="À surveiller",40,IF(Q189="En retard",25,IF(Q189="Critique",10,IF(Q189="En attente",50,0))))))),0)</f>
        <v>0</v>
      </c>
      <c r="S189" s="11"/>
      <c r="T189" s="69"/>
      <c r="U189" s="70" t="n">
        <f aca="false">IFERROR(IF(T189="",0,T189*N189/100),0)</f>
        <v>0</v>
      </c>
      <c r="V189" s="11"/>
    </row>
    <row r="190" customFormat="false" ht="24" hidden="false" customHeight="true" outlineLevel="0" collapsed="false">
      <c r="B190" s="7"/>
      <c r="C190" s="7"/>
      <c r="D190" s="7"/>
      <c r="E190" s="7"/>
      <c r="F190" s="7"/>
      <c r="G190" s="7"/>
      <c r="H190" s="71"/>
      <c r="I190" s="71"/>
      <c r="J190" s="71"/>
      <c r="K190" s="71"/>
      <c r="L190" s="7"/>
      <c r="M190" s="64" t="n">
        <f aca="true">IF(OR(B190="",H190="",I190=""),0,IF(TODAY()&lt;H190,0,IF(TODAY()&gt;=I190,100,(TODAY()-H190)/(I190-H190)*100)))</f>
        <v>0</v>
      </c>
      <c r="N190" s="72" t="n">
        <v>0</v>
      </c>
      <c r="O190" s="73"/>
      <c r="P190" s="73"/>
      <c r="Q190" s="67" t="str">
        <f aca="true">IF(B190="","",IF(K190&lt;&gt;"",IF(K190&lt;=I190,"Terminé à temps","Terminé hors délai"),IF(N190=0,IF(TODAY()&lt;H190,"En attente",IF(TODAY()&gt;I190+30,"Critique","En retard")),IF(N190&gt;=M190,"À temps",IF(N190&gt;=M190*0.8,"À surveiller",IF(N190&gt;=M190*0.5,"En retard","Critique"))))))</f>
        <v/>
      </c>
      <c r="R190" s="68" t="n">
        <f aca="false">IFERROR(IF(Q190="Terminé à temps",100,IF(Q190="Terminé hors délai",75,IF(Q190="À temps",50,IF(Q190="À surveiller",40,IF(Q190="En retard",25,IF(Q190="Critique",10,IF(Q190="En attente",50,0))))))),0)</f>
        <v>0</v>
      </c>
      <c r="S190" s="7"/>
      <c r="T190" s="74"/>
      <c r="U190" s="70" t="n">
        <f aca="false">IFERROR(IF(T190="",0,T190*N190/100),0)</f>
        <v>0</v>
      </c>
      <c r="V190" s="7"/>
    </row>
    <row r="191" customFormat="false" ht="24" hidden="false" customHeight="true" outlineLevel="0" collapsed="false">
      <c r="B191" s="11"/>
      <c r="C191" s="11"/>
      <c r="D191" s="11"/>
      <c r="E191" s="11"/>
      <c r="F191" s="11"/>
      <c r="G191" s="11"/>
      <c r="H191" s="63"/>
      <c r="I191" s="63"/>
      <c r="J191" s="63"/>
      <c r="K191" s="63"/>
      <c r="L191" s="11"/>
      <c r="M191" s="64" t="n">
        <f aca="true">IF(OR(B191="",H191="",I191=""),0,IF(TODAY()&lt;H191,0,IF(TODAY()&gt;=I191,100,(TODAY()-H191)/(I191-H191)*100)))</f>
        <v>0</v>
      </c>
      <c r="N191" s="65" t="n">
        <v>0</v>
      </c>
      <c r="O191" s="66"/>
      <c r="P191" s="66"/>
      <c r="Q191" s="67" t="str">
        <f aca="true">IF(B191="","",IF(K191&lt;&gt;"",IF(K191&lt;=I191,"Terminé à temps","Terminé hors délai"),IF(N191=0,IF(TODAY()&lt;H191,"En attente",IF(TODAY()&gt;I191+30,"Critique","En retard")),IF(N191&gt;=M191,"À temps",IF(N191&gt;=M191*0.8,"À surveiller",IF(N191&gt;=M191*0.5,"En retard","Critique"))))))</f>
        <v/>
      </c>
      <c r="R191" s="68" t="n">
        <f aca="false">IFERROR(IF(Q191="Terminé à temps",100,IF(Q191="Terminé hors délai",75,IF(Q191="À temps",50,IF(Q191="À surveiller",40,IF(Q191="En retard",25,IF(Q191="Critique",10,IF(Q191="En attente",50,0))))))),0)</f>
        <v>0</v>
      </c>
      <c r="S191" s="11"/>
      <c r="T191" s="69"/>
      <c r="U191" s="70" t="n">
        <f aca="false">IFERROR(IF(T191="",0,T191*N191/100),0)</f>
        <v>0</v>
      </c>
      <c r="V191" s="11"/>
    </row>
    <row r="192" customFormat="false" ht="24" hidden="false" customHeight="true" outlineLevel="0" collapsed="false">
      <c r="B192" s="7"/>
      <c r="C192" s="7"/>
      <c r="D192" s="7"/>
      <c r="E192" s="7"/>
      <c r="F192" s="7"/>
      <c r="G192" s="7"/>
      <c r="H192" s="71"/>
      <c r="I192" s="71"/>
      <c r="J192" s="71"/>
      <c r="K192" s="71"/>
      <c r="L192" s="7"/>
      <c r="M192" s="64" t="n">
        <f aca="true">IF(OR(B192="",H192="",I192=""),0,IF(TODAY()&lt;H192,0,IF(TODAY()&gt;=I192,100,(TODAY()-H192)/(I192-H192)*100)))</f>
        <v>0</v>
      </c>
      <c r="N192" s="72" t="n">
        <v>0</v>
      </c>
      <c r="O192" s="73"/>
      <c r="P192" s="73"/>
      <c r="Q192" s="67" t="str">
        <f aca="true">IF(B192="","",IF(K192&lt;&gt;"",IF(K192&lt;=I192,"Terminé à temps","Terminé hors délai"),IF(N192=0,IF(TODAY()&lt;H192,"En attente",IF(TODAY()&gt;I192+30,"Critique","En retard")),IF(N192&gt;=M192,"À temps",IF(N192&gt;=M192*0.8,"À surveiller",IF(N192&gt;=M192*0.5,"En retard","Critique"))))))</f>
        <v/>
      </c>
      <c r="R192" s="68" t="n">
        <f aca="false">IFERROR(IF(Q192="Terminé à temps",100,IF(Q192="Terminé hors délai",75,IF(Q192="À temps",50,IF(Q192="À surveiller",40,IF(Q192="En retard",25,IF(Q192="Critique",10,IF(Q192="En attente",50,0))))))),0)</f>
        <v>0</v>
      </c>
      <c r="S192" s="7"/>
      <c r="T192" s="74"/>
      <c r="U192" s="70" t="n">
        <f aca="false">IFERROR(IF(T192="",0,T192*N192/100),0)</f>
        <v>0</v>
      </c>
      <c r="V192" s="7"/>
    </row>
    <row r="193" customFormat="false" ht="24" hidden="false" customHeight="true" outlineLevel="0" collapsed="false">
      <c r="B193" s="11"/>
      <c r="C193" s="11"/>
      <c r="D193" s="11"/>
      <c r="E193" s="11"/>
      <c r="F193" s="11"/>
      <c r="G193" s="11"/>
      <c r="H193" s="63"/>
      <c r="I193" s="63"/>
      <c r="J193" s="63"/>
      <c r="K193" s="63"/>
      <c r="L193" s="11"/>
      <c r="M193" s="64" t="n">
        <f aca="true">IF(OR(B193="",H193="",I193=""),0,IF(TODAY()&lt;H193,0,IF(TODAY()&gt;=I193,100,(TODAY()-H193)/(I193-H193)*100)))</f>
        <v>0</v>
      </c>
      <c r="N193" s="65" t="n">
        <v>0</v>
      </c>
      <c r="O193" s="66"/>
      <c r="P193" s="66"/>
      <c r="Q193" s="67" t="str">
        <f aca="true">IF(B193="","",IF(K193&lt;&gt;"",IF(K193&lt;=I193,"Terminé à temps","Terminé hors délai"),IF(N193=0,IF(TODAY()&lt;H193,"En attente",IF(TODAY()&gt;I193+30,"Critique","En retard")),IF(N193&gt;=M193,"À temps",IF(N193&gt;=M193*0.8,"À surveiller",IF(N193&gt;=M193*0.5,"En retard","Critique"))))))</f>
        <v/>
      </c>
      <c r="R193" s="68" t="n">
        <f aca="false">IFERROR(IF(Q193="Terminé à temps",100,IF(Q193="Terminé hors délai",75,IF(Q193="À temps",50,IF(Q193="À surveiller",40,IF(Q193="En retard",25,IF(Q193="Critique",10,IF(Q193="En attente",50,0))))))),0)</f>
        <v>0</v>
      </c>
      <c r="S193" s="11"/>
      <c r="T193" s="69"/>
      <c r="U193" s="70" t="n">
        <f aca="false">IFERROR(IF(T193="",0,T193*N193/100),0)</f>
        <v>0</v>
      </c>
      <c r="V193" s="11"/>
    </row>
    <row r="194" customFormat="false" ht="24" hidden="false" customHeight="true" outlineLevel="0" collapsed="false">
      <c r="B194" s="7"/>
      <c r="C194" s="7"/>
      <c r="D194" s="7"/>
      <c r="E194" s="7"/>
      <c r="F194" s="7"/>
      <c r="G194" s="7"/>
      <c r="H194" s="71"/>
      <c r="I194" s="71"/>
      <c r="J194" s="71"/>
      <c r="K194" s="71"/>
      <c r="L194" s="7"/>
      <c r="M194" s="64" t="n">
        <f aca="true">IF(OR(B194="",H194="",I194=""),0,IF(TODAY()&lt;H194,0,IF(TODAY()&gt;=I194,100,(TODAY()-H194)/(I194-H194)*100)))</f>
        <v>0</v>
      </c>
      <c r="N194" s="72" t="n">
        <v>0</v>
      </c>
      <c r="O194" s="73"/>
      <c r="P194" s="73"/>
      <c r="Q194" s="67" t="str">
        <f aca="true">IF(B194="","",IF(K194&lt;&gt;"",IF(K194&lt;=I194,"Terminé à temps","Terminé hors délai"),IF(N194=0,IF(TODAY()&lt;H194,"En attente",IF(TODAY()&gt;I194+30,"Critique","En retard")),IF(N194&gt;=M194,"À temps",IF(N194&gt;=M194*0.8,"À surveiller",IF(N194&gt;=M194*0.5,"En retard","Critique"))))))</f>
        <v/>
      </c>
      <c r="R194" s="68" t="n">
        <f aca="false">IFERROR(IF(Q194="Terminé à temps",100,IF(Q194="Terminé hors délai",75,IF(Q194="À temps",50,IF(Q194="À surveiller",40,IF(Q194="En retard",25,IF(Q194="Critique",10,IF(Q194="En attente",50,0))))))),0)</f>
        <v>0</v>
      </c>
      <c r="S194" s="7"/>
      <c r="T194" s="74"/>
      <c r="U194" s="70" t="n">
        <f aca="false">IFERROR(IF(T194="",0,T194*N194/100),0)</f>
        <v>0</v>
      </c>
      <c r="V194" s="7"/>
    </row>
    <row r="195" customFormat="false" ht="24" hidden="false" customHeight="true" outlineLevel="0" collapsed="false">
      <c r="B195" s="11"/>
      <c r="C195" s="11"/>
      <c r="D195" s="11"/>
      <c r="E195" s="11"/>
      <c r="F195" s="11"/>
      <c r="G195" s="11"/>
      <c r="H195" s="63"/>
      <c r="I195" s="63"/>
      <c r="J195" s="63"/>
      <c r="K195" s="63"/>
      <c r="L195" s="11"/>
      <c r="M195" s="64" t="n">
        <f aca="true">IF(OR(B195="",H195="",I195=""),0,IF(TODAY()&lt;H195,0,IF(TODAY()&gt;=I195,100,(TODAY()-H195)/(I195-H195)*100)))</f>
        <v>0</v>
      </c>
      <c r="N195" s="65" t="n">
        <v>0</v>
      </c>
      <c r="O195" s="66"/>
      <c r="P195" s="66"/>
      <c r="Q195" s="67" t="str">
        <f aca="true">IF(B195="","",IF(K195&lt;&gt;"",IF(K195&lt;=I195,"Terminé à temps","Terminé hors délai"),IF(N195=0,IF(TODAY()&lt;H195,"En attente",IF(TODAY()&gt;I195+30,"Critique","En retard")),IF(N195&gt;=M195,"À temps",IF(N195&gt;=M195*0.8,"À surveiller",IF(N195&gt;=M195*0.5,"En retard","Critique"))))))</f>
        <v/>
      </c>
      <c r="R195" s="68" t="n">
        <f aca="false">IFERROR(IF(Q195="Terminé à temps",100,IF(Q195="Terminé hors délai",75,IF(Q195="À temps",50,IF(Q195="À surveiller",40,IF(Q195="En retard",25,IF(Q195="Critique",10,IF(Q195="En attente",50,0))))))),0)</f>
        <v>0</v>
      </c>
      <c r="S195" s="11"/>
      <c r="T195" s="69"/>
      <c r="U195" s="70" t="n">
        <f aca="false">IFERROR(IF(T195="",0,T195*N195/100),0)</f>
        <v>0</v>
      </c>
      <c r="V195" s="11"/>
    </row>
    <row r="196" customFormat="false" ht="24" hidden="false" customHeight="true" outlineLevel="0" collapsed="false">
      <c r="B196" s="7"/>
      <c r="C196" s="7"/>
      <c r="D196" s="7"/>
      <c r="E196" s="7"/>
      <c r="F196" s="7"/>
      <c r="G196" s="7"/>
      <c r="H196" s="71"/>
      <c r="I196" s="71"/>
      <c r="J196" s="71"/>
      <c r="K196" s="71"/>
      <c r="L196" s="7"/>
      <c r="M196" s="64" t="n">
        <f aca="true">IF(OR(B196="",H196="",I196=""),0,IF(TODAY()&lt;H196,0,IF(TODAY()&gt;=I196,100,(TODAY()-H196)/(I196-H196)*100)))</f>
        <v>0</v>
      </c>
      <c r="N196" s="72" t="n">
        <v>0</v>
      </c>
      <c r="O196" s="73"/>
      <c r="P196" s="73"/>
      <c r="Q196" s="67" t="str">
        <f aca="true">IF(B196="","",IF(K196&lt;&gt;"",IF(K196&lt;=I196,"Terminé à temps","Terminé hors délai"),IF(N196=0,IF(TODAY()&lt;H196,"En attente",IF(TODAY()&gt;I196+30,"Critique","En retard")),IF(N196&gt;=M196,"À temps",IF(N196&gt;=M196*0.8,"À surveiller",IF(N196&gt;=M196*0.5,"En retard","Critique"))))))</f>
        <v/>
      </c>
      <c r="R196" s="68" t="n">
        <f aca="false">IFERROR(IF(Q196="Terminé à temps",100,IF(Q196="Terminé hors délai",75,IF(Q196="À temps",50,IF(Q196="À surveiller",40,IF(Q196="En retard",25,IF(Q196="Critique",10,IF(Q196="En attente",50,0))))))),0)</f>
        <v>0</v>
      </c>
      <c r="S196" s="7"/>
      <c r="T196" s="74"/>
      <c r="U196" s="70" t="n">
        <f aca="false">IFERROR(IF(T196="",0,T196*N196/100),0)</f>
        <v>0</v>
      </c>
      <c r="V196" s="7"/>
    </row>
    <row r="197" customFormat="false" ht="24" hidden="false" customHeight="true" outlineLevel="0" collapsed="false">
      <c r="B197" s="11"/>
      <c r="C197" s="11"/>
      <c r="D197" s="11"/>
      <c r="E197" s="11"/>
      <c r="F197" s="11"/>
      <c r="G197" s="11"/>
      <c r="H197" s="63"/>
      <c r="I197" s="63"/>
      <c r="J197" s="63"/>
      <c r="K197" s="63"/>
      <c r="L197" s="11"/>
      <c r="M197" s="64" t="n">
        <f aca="true">IF(OR(B197="",H197="",I197=""),0,IF(TODAY()&lt;H197,0,IF(TODAY()&gt;=I197,100,(TODAY()-H197)/(I197-H197)*100)))</f>
        <v>0</v>
      </c>
      <c r="N197" s="65" t="n">
        <v>0</v>
      </c>
      <c r="O197" s="66"/>
      <c r="P197" s="66"/>
      <c r="Q197" s="67" t="str">
        <f aca="true">IF(B197="","",IF(K197&lt;&gt;"",IF(K197&lt;=I197,"Terminé à temps","Terminé hors délai"),IF(N197=0,IF(TODAY()&lt;H197,"En attente",IF(TODAY()&gt;I197+30,"Critique","En retard")),IF(N197&gt;=M197,"À temps",IF(N197&gt;=M197*0.8,"À surveiller",IF(N197&gt;=M197*0.5,"En retard","Critique"))))))</f>
        <v/>
      </c>
      <c r="R197" s="68" t="n">
        <f aca="false">IFERROR(IF(Q197="Terminé à temps",100,IF(Q197="Terminé hors délai",75,IF(Q197="À temps",50,IF(Q197="À surveiller",40,IF(Q197="En retard",25,IF(Q197="Critique",10,IF(Q197="En attente",50,0))))))),0)</f>
        <v>0</v>
      </c>
      <c r="S197" s="11"/>
      <c r="T197" s="69"/>
      <c r="U197" s="70" t="n">
        <f aca="false">IFERROR(IF(T197="",0,T197*N197/100),0)</f>
        <v>0</v>
      </c>
      <c r="V197" s="11"/>
    </row>
    <row r="198" customFormat="false" ht="24" hidden="false" customHeight="true" outlineLevel="0" collapsed="false">
      <c r="B198" s="7"/>
      <c r="C198" s="7"/>
      <c r="D198" s="7"/>
      <c r="E198" s="7"/>
      <c r="F198" s="7"/>
      <c r="G198" s="7"/>
      <c r="H198" s="71"/>
      <c r="I198" s="71"/>
      <c r="J198" s="71"/>
      <c r="K198" s="71"/>
      <c r="L198" s="7"/>
      <c r="M198" s="64" t="n">
        <f aca="true">IF(OR(B198="",H198="",I198=""),0,IF(TODAY()&lt;H198,0,IF(TODAY()&gt;=I198,100,(TODAY()-H198)/(I198-H198)*100)))</f>
        <v>0</v>
      </c>
      <c r="N198" s="72" t="n">
        <v>0</v>
      </c>
      <c r="O198" s="73"/>
      <c r="P198" s="73"/>
      <c r="Q198" s="67" t="str">
        <f aca="true">IF(B198="","",IF(K198&lt;&gt;"",IF(K198&lt;=I198,"Terminé à temps","Terminé hors délai"),IF(N198=0,IF(TODAY()&lt;H198,"En attente",IF(TODAY()&gt;I198+30,"Critique","En retard")),IF(N198&gt;=M198,"À temps",IF(N198&gt;=M198*0.8,"À surveiller",IF(N198&gt;=M198*0.5,"En retard","Critique"))))))</f>
        <v/>
      </c>
      <c r="R198" s="68" t="n">
        <f aca="false">IFERROR(IF(Q198="Terminé à temps",100,IF(Q198="Terminé hors délai",75,IF(Q198="À temps",50,IF(Q198="À surveiller",40,IF(Q198="En retard",25,IF(Q198="Critique",10,IF(Q198="En attente",50,0))))))),0)</f>
        <v>0</v>
      </c>
      <c r="S198" s="7"/>
      <c r="T198" s="74"/>
      <c r="U198" s="70" t="n">
        <f aca="false">IFERROR(IF(T198="",0,T198*N198/100),0)</f>
        <v>0</v>
      </c>
      <c r="V198" s="7"/>
    </row>
    <row r="199" customFormat="false" ht="24" hidden="false" customHeight="true" outlineLevel="0" collapsed="false">
      <c r="B199" s="11"/>
      <c r="C199" s="11"/>
      <c r="D199" s="11"/>
      <c r="E199" s="11"/>
      <c r="F199" s="11"/>
      <c r="G199" s="11"/>
      <c r="H199" s="63"/>
      <c r="I199" s="63"/>
      <c r="J199" s="63"/>
      <c r="K199" s="63"/>
      <c r="L199" s="11"/>
      <c r="M199" s="64" t="n">
        <f aca="true">IF(OR(B199="",H199="",I199=""),0,IF(TODAY()&lt;H199,0,IF(TODAY()&gt;=I199,100,(TODAY()-H199)/(I199-H199)*100)))</f>
        <v>0</v>
      </c>
      <c r="N199" s="65" t="n">
        <v>0</v>
      </c>
      <c r="O199" s="66"/>
      <c r="P199" s="66"/>
      <c r="Q199" s="67" t="str">
        <f aca="true">IF(B199="","",IF(K199&lt;&gt;"",IF(K199&lt;=I199,"Terminé à temps","Terminé hors délai"),IF(N199=0,IF(TODAY()&lt;H199,"En attente",IF(TODAY()&gt;I199+30,"Critique","En retard")),IF(N199&gt;=M199,"À temps",IF(N199&gt;=M199*0.8,"À surveiller",IF(N199&gt;=M199*0.5,"En retard","Critique"))))))</f>
        <v/>
      </c>
      <c r="R199" s="68" t="n">
        <f aca="false">IFERROR(IF(Q199="Terminé à temps",100,IF(Q199="Terminé hors délai",75,IF(Q199="À temps",50,IF(Q199="À surveiller",40,IF(Q199="En retard",25,IF(Q199="Critique",10,IF(Q199="En attente",50,0))))))),0)</f>
        <v>0</v>
      </c>
      <c r="S199" s="11"/>
      <c r="T199" s="69"/>
      <c r="U199" s="70" t="n">
        <f aca="false">IFERROR(IF(T199="",0,T199*N199/100),0)</f>
        <v>0</v>
      </c>
      <c r="V199" s="11"/>
    </row>
    <row r="200" customFormat="false" ht="24" hidden="false" customHeight="true" outlineLevel="0" collapsed="false">
      <c r="B200" s="7"/>
      <c r="C200" s="7"/>
      <c r="D200" s="7"/>
      <c r="E200" s="7"/>
      <c r="F200" s="7"/>
      <c r="G200" s="7"/>
      <c r="H200" s="71"/>
      <c r="I200" s="71"/>
      <c r="J200" s="71"/>
      <c r="K200" s="71"/>
      <c r="L200" s="7"/>
      <c r="M200" s="64" t="n">
        <f aca="true">IF(OR(B200="",H200="",I200=""),0,IF(TODAY()&lt;H200,0,IF(TODAY()&gt;=I200,100,(TODAY()-H200)/(I200-H200)*100)))</f>
        <v>0</v>
      </c>
      <c r="N200" s="72" t="n">
        <v>0</v>
      </c>
      <c r="O200" s="73"/>
      <c r="P200" s="73"/>
      <c r="Q200" s="67" t="str">
        <f aca="true">IF(B200="","",IF(K200&lt;&gt;"",IF(K200&lt;=I200,"Terminé à temps","Terminé hors délai"),IF(N200=0,IF(TODAY()&lt;H200,"En attente",IF(TODAY()&gt;I200+30,"Critique","En retard")),IF(N200&gt;=M200,"À temps",IF(N200&gt;=M200*0.8,"À surveiller",IF(N200&gt;=M200*0.5,"En retard","Critique"))))))</f>
        <v/>
      </c>
      <c r="R200" s="68" t="n">
        <f aca="false">IFERROR(IF(Q200="Terminé à temps",100,IF(Q200="Terminé hors délai",75,IF(Q200="À temps",50,IF(Q200="À surveiller",40,IF(Q200="En retard",25,IF(Q200="Critique",10,IF(Q200="En attente",50,0))))))),0)</f>
        <v>0</v>
      </c>
      <c r="S200" s="7"/>
      <c r="T200" s="74"/>
      <c r="U200" s="70" t="n">
        <f aca="false">IFERROR(IF(T200="",0,T200*N200/100),0)</f>
        <v>0</v>
      </c>
      <c r="V200" s="7"/>
    </row>
  </sheetData>
  <mergeCells count="3">
    <mergeCell ref="B2:V2"/>
    <mergeCell ref="B3:V3"/>
    <mergeCell ref="B26:N26"/>
  </mergeCells>
  <conditionalFormatting sqref="Q6:Q200">
    <cfRule type="cellIs" priority="2" operator="equal" aboveAverage="0" equalAverage="0" bottom="0" percent="0" rank="0" text="" dxfId="0">
      <formula>"À temps"</formula>
    </cfRule>
    <cfRule type="cellIs" priority="3" operator="equal" aboveAverage="0" equalAverage="0" bottom="0" percent="0" rank="0" text="" dxfId="1">
      <formula>"À surveiller"</formula>
    </cfRule>
    <cfRule type="cellIs" priority="4" operator="equal" aboveAverage="0" equalAverage="0" bottom="0" percent="0" rank="0" text="" dxfId="2">
      <formula>"En retard"</formula>
    </cfRule>
    <cfRule type="cellIs" priority="5" operator="equal" aboveAverage="0" equalAverage="0" bottom="0" percent="0" rank="0" text="" dxfId="3">
      <formula>"Critique"</formula>
    </cfRule>
    <cfRule type="cellIs" priority="6" operator="equal" aboveAverage="0" equalAverage="0" bottom="0" percent="0" rank="0" text="" dxfId="4">
      <formula>"Terminé à temps"</formula>
    </cfRule>
    <cfRule type="cellIs" priority="7" operator="equal" aboveAverage="0" equalAverage="0" bottom="0" percent="0" rank="0" text="" dxfId="5">
      <formula>"Terminé hors délai"</formula>
    </cfRule>
    <cfRule type="cellIs" priority="8" operator="equal" aboveAverage="0" equalAverage="0" bottom="0" percent="0" rank="0" text="" dxfId="6">
      <formula>"Non réalisé"</formula>
    </cfRule>
    <cfRule type="cellIs" priority="9" operator="equal" aboveAverage="0" equalAverage="0" bottom="0" percent="0" rank="0" text="" dxfId="7">
      <formula>"En attente"</formula>
    </cfRule>
  </conditionalFormatting>
  <conditionalFormatting sqref="N6:N200">
    <cfRule type="colorScale" priority="10">
      <colorScale>
        <cfvo type="num" val="0"/>
        <cfvo type="num" val="50"/>
        <cfvo type="num" val="100"/>
        <color rgb="FFFFE6E6"/>
        <color rgb="FFFFF2CC"/>
        <color rgb="FFC6EFCE"/>
      </colorScale>
    </cfRule>
  </conditionalFormatting>
  <dataValidations count="1">
    <dataValidation allowBlank="true" errorStyle="stop" operator="between" showDropDown="false" showErrorMessage="false" showInputMessage="false" sqref="G6:G200"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1"/>
    <col collapsed="false" customWidth="true" hidden="false" outlineLevel="0" max="3" min="3" style="1" width="38"/>
    <col collapsed="false" customWidth="true" hidden="false" outlineLevel="0" max="5" min="4" style="1" width="10"/>
    <col collapsed="false" customWidth="true" hidden="false" outlineLevel="0" max="6" min="6" style="1" width="9"/>
    <col collapsed="false" customWidth="true" hidden="false" outlineLevel="0" max="7" min="7" style="1" width="11"/>
    <col collapsed="false" customWidth="true" hidden="false" outlineLevel="0" max="9" min="8" style="1" width="12"/>
    <col collapsed="false" customWidth="true" hidden="false" outlineLevel="0" max="10" min="10" style="1" width="10"/>
    <col collapsed="false" customWidth="true" hidden="false" outlineLevel="0" max="11" min="11" style="1" width="14"/>
    <col collapsed="false" customWidth="true" hidden="false" outlineLevel="0" max="12" min="12" style="1" width="22"/>
  </cols>
  <sheetData>
    <row r="2" customFormat="false" ht="27.75" hidden="false" customHeight="true" outlineLevel="0" collapsed="false">
      <c r="B2" s="75" t="s">
        <v>383</v>
      </c>
      <c r="C2" s="75"/>
      <c r="D2" s="75"/>
      <c r="E2" s="75"/>
      <c r="F2" s="75"/>
      <c r="G2" s="75"/>
      <c r="H2" s="75"/>
      <c r="I2" s="75"/>
      <c r="J2" s="75"/>
      <c r="K2" s="75"/>
    </row>
    <row r="3" customFormat="false" ht="36" hidden="false" customHeight="true" outlineLevel="0" collapsed="false">
      <c r="B3" s="76" t="s">
        <v>384</v>
      </c>
      <c r="C3" s="76"/>
      <c r="D3" s="76"/>
      <c r="E3" s="76"/>
      <c r="F3" s="76"/>
      <c r="G3" s="76"/>
      <c r="H3" s="76"/>
      <c r="I3" s="76"/>
      <c r="J3" s="76"/>
      <c r="K3" s="76"/>
    </row>
    <row r="5" customFormat="false" ht="37.5" hidden="false" customHeight="true" outlineLevel="0" collapsed="false">
      <c r="B5" s="77" t="s">
        <v>48</v>
      </c>
      <c r="C5" s="77" t="s">
        <v>18</v>
      </c>
      <c r="D5" s="77" t="s">
        <v>71</v>
      </c>
      <c r="E5" s="77" t="s">
        <v>208</v>
      </c>
      <c r="F5" s="77" t="s">
        <v>385</v>
      </c>
      <c r="G5" s="77" t="s">
        <v>386</v>
      </c>
      <c r="H5" s="77" t="s">
        <v>387</v>
      </c>
      <c r="I5" s="77" t="s">
        <v>388</v>
      </c>
      <c r="J5" s="77" t="s">
        <v>389</v>
      </c>
      <c r="K5" s="77" t="s">
        <v>30</v>
      </c>
      <c r="L5" s="77" t="s">
        <v>390</v>
      </c>
    </row>
    <row r="6" customFormat="false" ht="30" hidden="false" customHeight="true" outlineLevel="0" collapsed="false">
      <c r="B6" s="27" t="s">
        <v>213</v>
      </c>
      <c r="C6" s="11" t="s">
        <v>214</v>
      </c>
      <c r="D6" s="30" t="s">
        <v>391</v>
      </c>
      <c r="E6" s="27" t="n">
        <v>30</v>
      </c>
      <c r="F6" s="30" t="n">
        <v>0</v>
      </c>
      <c r="G6" s="52" t="n">
        <f aca="false">IFERROR(SUMIF('5. Gantt EQUIFILLES'!S6:S200,B6,'5. Gantt EQUIFILLES'!U6:U200),0)</f>
        <v>0</v>
      </c>
      <c r="H6" s="52" t="n">
        <f aca="false">IFERROR(VLOOKUP(B6,'7. Collecte EQUIFILLES'!B:I,8,FALSE()),0)</f>
        <v>0</v>
      </c>
      <c r="I6" s="52" t="n">
        <f aca="false">IF(H6&gt;0,H6,G6)</f>
        <v>0</v>
      </c>
      <c r="J6" s="78" t="n">
        <f aca="false">IFERROR(I6/E6,0)</f>
        <v>0</v>
      </c>
      <c r="K6" s="27" t="str">
        <f aca="false">IF(J6&gt;=1,"Atteint",IF(J6&gt;=0.75,"En bonne voie",IF(J6&gt;=0.5,"À surveiller",IF(J6&gt;0,"En retard","Non démarré"))))</f>
        <v>Non démarré</v>
      </c>
      <c r="L6" s="11" t="s">
        <v>216</v>
      </c>
    </row>
    <row r="7" customFormat="false" ht="30" hidden="false" customHeight="true" outlineLevel="0" collapsed="false">
      <c r="B7" s="38" t="s">
        <v>220</v>
      </c>
      <c r="C7" s="7" t="s">
        <v>221</v>
      </c>
      <c r="D7" s="28" t="s">
        <v>391</v>
      </c>
      <c r="E7" s="38" t="n">
        <v>75</v>
      </c>
      <c r="F7" s="28" t="n">
        <v>0</v>
      </c>
      <c r="G7" s="52" t="n">
        <f aca="false">IFERROR(SUMIF('5. Gantt EQUIFILLES'!S6:S200,B7,'5. Gantt EQUIFILLES'!U6:U200),0)</f>
        <v>0</v>
      </c>
      <c r="H7" s="52" t="n">
        <f aca="false">IFERROR(VLOOKUP(B7,'7. Collecte EQUIFILLES'!B:I,8,FALSE()),0)</f>
        <v>0</v>
      </c>
      <c r="I7" s="52" t="n">
        <f aca="false">IF(H7&gt;0,H7,G7)</f>
        <v>0</v>
      </c>
      <c r="J7" s="79" t="n">
        <f aca="false">IFERROR(I7/E7,0)</f>
        <v>0</v>
      </c>
      <c r="K7" s="38" t="str">
        <f aca="false">IF(J7&gt;=1,"Atteint",IF(J7&gt;=0.75,"En bonne voie",IF(J7&gt;=0.5,"À surveiller",IF(J7&gt;0,"En retard","Non démarré"))))</f>
        <v>Non démarré</v>
      </c>
      <c r="L7" s="7" t="s">
        <v>223</v>
      </c>
    </row>
    <row r="8" customFormat="false" ht="30" hidden="false" customHeight="true" outlineLevel="0" collapsed="false">
      <c r="B8" s="27" t="s">
        <v>229</v>
      </c>
      <c r="C8" s="11" t="s">
        <v>230</v>
      </c>
      <c r="D8" s="30" t="s">
        <v>318</v>
      </c>
      <c r="E8" s="27" t="n">
        <v>30</v>
      </c>
      <c r="F8" s="30" t="n">
        <v>0</v>
      </c>
      <c r="G8" s="52" t="n">
        <f aca="false">IFERROR(SUMIF('5. Gantt EQUIFILLES'!S6:S200,B8,'5. Gantt EQUIFILLES'!U6:U200),0)</f>
        <v>0</v>
      </c>
      <c r="H8" s="52" t="n">
        <f aca="false">IFERROR(VLOOKUP(B8,'7. Collecte EQUIFILLES'!B:I,8,FALSE()),0)</f>
        <v>0</v>
      </c>
      <c r="I8" s="52" t="n">
        <f aca="false">IF(H8&gt;0,H8,G8)</f>
        <v>0</v>
      </c>
      <c r="J8" s="78" t="n">
        <f aca="false">IFERROR(I8/E8,0)</f>
        <v>0</v>
      </c>
      <c r="K8" s="27" t="str">
        <f aca="false">IF(J8&gt;=1,"Atteint",IF(J8&gt;=0.75,"En bonne voie",IF(J8&gt;=0.5,"À surveiller",IF(J8&gt;0,"En retard","Non démarré"))))</f>
        <v>Non démarré</v>
      </c>
      <c r="L8" s="11" t="s">
        <v>392</v>
      </c>
    </row>
    <row r="9" customFormat="false" ht="30" hidden="false" customHeight="true" outlineLevel="0" collapsed="false">
      <c r="B9" s="38" t="s">
        <v>235</v>
      </c>
      <c r="C9" s="7" t="s">
        <v>236</v>
      </c>
      <c r="D9" s="28" t="s">
        <v>318</v>
      </c>
      <c r="E9" s="38" t="n">
        <v>80</v>
      </c>
      <c r="F9" s="28" t="n">
        <v>0</v>
      </c>
      <c r="G9" s="52" t="n">
        <f aca="false">IFERROR(SUMIF('5. Gantt EQUIFILLES'!S6:S200,B9,'5. Gantt EQUIFILLES'!U6:U200),0)</f>
        <v>0</v>
      </c>
      <c r="H9" s="52" t="n">
        <f aca="false">IFERROR(VLOOKUP(B9,'7. Collecte EQUIFILLES'!B:I,8,FALSE()),0)</f>
        <v>0</v>
      </c>
      <c r="I9" s="52" t="n">
        <f aca="false">IF(H9&gt;0,H9,G9)</f>
        <v>0</v>
      </c>
      <c r="J9" s="79" t="n">
        <f aca="false">IFERROR(I9/E9,0)</f>
        <v>0</v>
      </c>
      <c r="K9" s="38" t="str">
        <f aca="false">IF(J9&gt;=1,"Atteint",IF(J9&gt;=0.75,"En bonne voie",IF(J9&gt;=0.5,"À surveiller",IF(J9&gt;0,"En retard","Non démarré"))))</f>
        <v>Non démarré</v>
      </c>
      <c r="L9" s="7" t="s">
        <v>393</v>
      </c>
    </row>
    <row r="10" customFormat="false" ht="30" hidden="false" customHeight="true" outlineLevel="0" collapsed="false">
      <c r="B10" s="27" t="s">
        <v>241</v>
      </c>
      <c r="C10" s="11" t="s">
        <v>394</v>
      </c>
      <c r="D10" s="30" t="s">
        <v>318</v>
      </c>
      <c r="E10" s="27" t="n">
        <v>1</v>
      </c>
      <c r="F10" s="30" t="n">
        <v>0</v>
      </c>
      <c r="G10" s="52" t="n">
        <f aca="false">IFERROR(SUMIF('5. Gantt EQUIFILLES'!S6:S200,B10,'5. Gantt EQUIFILLES'!U6:U200),0)</f>
        <v>0</v>
      </c>
      <c r="H10" s="52" t="n">
        <f aca="false">IFERROR(VLOOKUP(B10,'7. Collecte EQUIFILLES'!B:I,8,FALSE()),0)</f>
        <v>0</v>
      </c>
      <c r="I10" s="52" t="n">
        <f aca="false">IF(H10&gt;0,H10,G10)</f>
        <v>0</v>
      </c>
      <c r="J10" s="78" t="n">
        <f aca="false">IFERROR(I10/E10,0)</f>
        <v>0</v>
      </c>
      <c r="K10" s="27" t="str">
        <f aca="false">IF(J10&gt;=1,"Atteint",IF(J10&gt;=0.75,"En bonne voie",IF(J10&gt;=0.5,"À surveiller",IF(J10&gt;0,"En retard","Non démarré"))))</f>
        <v>Non démarré</v>
      </c>
      <c r="L10" s="11" t="s">
        <v>395</v>
      </c>
    </row>
    <row r="11" customFormat="false" ht="30" hidden="false" customHeight="true" outlineLevel="0" collapsed="false">
      <c r="B11" s="38" t="s">
        <v>247</v>
      </c>
      <c r="C11" s="7" t="s">
        <v>396</v>
      </c>
      <c r="D11" s="28" t="s">
        <v>318</v>
      </c>
      <c r="E11" s="38" t="n">
        <v>15</v>
      </c>
      <c r="F11" s="28" t="n">
        <v>0</v>
      </c>
      <c r="G11" s="52" t="n">
        <f aca="false">IFERROR(SUMIF('5. Gantt EQUIFILLES'!S6:S200,B11,'5. Gantt EQUIFILLES'!U6:U200),0)</f>
        <v>0</v>
      </c>
      <c r="H11" s="52" t="n">
        <f aca="false">IFERROR(VLOOKUP(B11,'7. Collecte EQUIFILLES'!B:I,8,FALSE()),0)</f>
        <v>0</v>
      </c>
      <c r="I11" s="52" t="n">
        <f aca="false">IF(H11&gt;0,H11,G11)</f>
        <v>0</v>
      </c>
      <c r="J11" s="79" t="n">
        <f aca="false">IFERROR(I11/E11,0)</f>
        <v>0</v>
      </c>
      <c r="K11" s="38" t="str">
        <f aca="false">IF(J11&gt;=1,"Atteint",IF(J11&gt;=0.75,"En bonne voie",IF(J11&gt;=0.5,"À surveiller",IF(J11&gt;0,"En retard","Non démarré"))))</f>
        <v>Non démarré</v>
      </c>
      <c r="L11" s="7" t="s">
        <v>397</v>
      </c>
    </row>
    <row r="12" customFormat="false" ht="30" hidden="false" customHeight="true" outlineLevel="0" collapsed="false">
      <c r="B12" s="27" t="s">
        <v>254</v>
      </c>
      <c r="C12" s="11" t="s">
        <v>398</v>
      </c>
      <c r="D12" s="30" t="s">
        <v>318</v>
      </c>
      <c r="E12" s="27" t="n">
        <v>50</v>
      </c>
      <c r="F12" s="30" t="n">
        <v>0</v>
      </c>
      <c r="G12" s="52" t="n">
        <f aca="false">IFERROR(SUMIF('5. Gantt EQUIFILLES'!S6:S200,B12,'5. Gantt EQUIFILLES'!U6:U200),0)</f>
        <v>0</v>
      </c>
      <c r="H12" s="52" t="n">
        <f aca="false">IFERROR(VLOOKUP(B12,'7. Collecte EQUIFILLES'!B:I,8,FALSE()),0)</f>
        <v>0</v>
      </c>
      <c r="I12" s="52" t="n">
        <f aca="false">IF(H12&gt;0,H12,G12)</f>
        <v>0</v>
      </c>
      <c r="J12" s="78" t="n">
        <f aca="false">IFERROR(I12/E12,0)</f>
        <v>0</v>
      </c>
      <c r="K12" s="27" t="str">
        <f aca="false">IF(J12&gt;=1,"Atteint",IF(J12&gt;=0.75,"En bonne voie",IF(J12&gt;=0.5,"À surveiller",IF(J12&gt;0,"En retard","Non démarré"))))</f>
        <v>Non démarré</v>
      </c>
      <c r="L12" s="11" t="s">
        <v>399</v>
      </c>
    </row>
    <row r="13" customFormat="false" ht="30" hidden="false" customHeight="true" outlineLevel="0" collapsed="false">
      <c r="B13" s="38" t="s">
        <v>259</v>
      </c>
      <c r="C13" s="7" t="s">
        <v>400</v>
      </c>
      <c r="D13" s="28" t="s">
        <v>318</v>
      </c>
      <c r="E13" s="38" t="n">
        <v>15</v>
      </c>
      <c r="F13" s="28" t="n">
        <v>0</v>
      </c>
      <c r="G13" s="52" t="n">
        <f aca="false">IFERROR(SUMIF('5. Gantt EQUIFILLES'!S6:S200,B13,'5. Gantt EQUIFILLES'!U6:U200),0)</f>
        <v>0</v>
      </c>
      <c r="H13" s="52" t="n">
        <f aca="false">IFERROR(VLOOKUP(B13,'7. Collecte EQUIFILLES'!B:I,8,FALSE()),0)</f>
        <v>0</v>
      </c>
      <c r="I13" s="52" t="n">
        <f aca="false">IF(H13&gt;0,H13,G13)</f>
        <v>0</v>
      </c>
      <c r="J13" s="79" t="n">
        <f aca="false">IFERROR(I13/E13,0)</f>
        <v>0</v>
      </c>
      <c r="K13" s="38" t="str">
        <f aca="false">IF(J13&gt;=1,"Atteint",IF(J13&gt;=0.75,"En bonne voie",IF(J13&gt;=0.5,"À surveiller",IF(J13&gt;0,"En retard","Non démarré"))))</f>
        <v>Non démarré</v>
      </c>
      <c r="L13" s="7" t="s">
        <v>401</v>
      </c>
    </row>
    <row r="14" customFormat="false" ht="30" hidden="false" customHeight="true" outlineLevel="0" collapsed="false">
      <c r="B14" s="27" t="s">
        <v>264</v>
      </c>
      <c r="C14" s="11" t="s">
        <v>402</v>
      </c>
      <c r="D14" s="30" t="s">
        <v>349</v>
      </c>
      <c r="E14" s="27" t="n">
        <v>75</v>
      </c>
      <c r="F14" s="30" t="n">
        <v>0</v>
      </c>
      <c r="G14" s="52" t="n">
        <f aca="false">IFERROR(SUMIF('5. Gantt EQUIFILLES'!S6:S200,B14,'5. Gantt EQUIFILLES'!U6:U200),0)</f>
        <v>0</v>
      </c>
      <c r="H14" s="52" t="n">
        <f aca="false">IFERROR(VLOOKUP(B14,'7. Collecte EQUIFILLES'!B:I,8,FALSE()),0)</f>
        <v>0</v>
      </c>
      <c r="I14" s="52" t="n">
        <f aca="false">IF(H14&gt;0,H14,G14)</f>
        <v>0</v>
      </c>
      <c r="J14" s="78" t="n">
        <f aca="false">IFERROR(I14/E14,0)</f>
        <v>0</v>
      </c>
      <c r="K14" s="27" t="str">
        <f aca="false">IF(J14&gt;=1,"Atteint",IF(J14&gt;=0.75,"En bonne voie",IF(J14&gt;=0.5,"À surveiller",IF(J14&gt;0,"En retard","Non démarré"))))</f>
        <v>Non démarré</v>
      </c>
      <c r="L14" s="11" t="s">
        <v>403</v>
      </c>
    </row>
    <row r="15" customFormat="false" ht="30" hidden="false" customHeight="true" outlineLevel="0" collapsed="false">
      <c r="B15" s="38" t="s">
        <v>269</v>
      </c>
      <c r="C15" s="7" t="s">
        <v>404</v>
      </c>
      <c r="D15" s="28" t="s">
        <v>349</v>
      </c>
      <c r="E15" s="38" t="n">
        <v>70</v>
      </c>
      <c r="F15" s="28" t="n">
        <v>0</v>
      </c>
      <c r="G15" s="52" t="n">
        <f aca="false">IFERROR(SUMIF('5. Gantt EQUIFILLES'!S6:S200,B15,'5. Gantt EQUIFILLES'!U6:U200),0)</f>
        <v>0</v>
      </c>
      <c r="H15" s="52" t="n">
        <f aca="false">IFERROR(VLOOKUP(B15,'7. Collecte EQUIFILLES'!B:I,8,FALSE()),0)</f>
        <v>0</v>
      </c>
      <c r="I15" s="52" t="n">
        <f aca="false">IF(H15&gt;0,H15,G15)</f>
        <v>0</v>
      </c>
      <c r="J15" s="79" t="n">
        <f aca="false">IFERROR(I15/E15,0)</f>
        <v>0</v>
      </c>
      <c r="K15" s="38" t="str">
        <f aca="false">IF(J15&gt;=1,"Atteint",IF(J15&gt;=0.75,"En bonne voie",IF(J15&gt;=0.5,"À surveiller",IF(J15&gt;0,"En retard","Non démarré"))))</f>
        <v>Non démarré</v>
      </c>
      <c r="L15" s="7" t="s">
        <v>405</v>
      </c>
    </row>
    <row r="16" customFormat="false" ht="30" hidden="false" customHeight="true" outlineLevel="0" collapsed="false">
      <c r="B16" s="27" t="s">
        <v>276</v>
      </c>
      <c r="C16" s="11" t="s">
        <v>406</v>
      </c>
      <c r="D16" s="30" t="s">
        <v>356</v>
      </c>
      <c r="E16" s="27" t="n">
        <v>75</v>
      </c>
      <c r="F16" s="30" t="n">
        <v>0</v>
      </c>
      <c r="G16" s="52" t="n">
        <f aca="false">IFERROR(SUMIF('5. Gantt EQUIFILLES'!S6:S200,B16,'5. Gantt EQUIFILLES'!U6:U200),0)</f>
        <v>0</v>
      </c>
      <c r="H16" s="52" t="n">
        <f aca="false">IFERROR(VLOOKUP(B16,'7. Collecte EQUIFILLES'!B:I,8,FALSE()),0)</f>
        <v>0</v>
      </c>
      <c r="I16" s="52" t="n">
        <f aca="false">IF(H16&gt;0,H16,G16)</f>
        <v>0</v>
      </c>
      <c r="J16" s="78" t="n">
        <f aca="false">IFERROR(I16/E16,0)</f>
        <v>0</v>
      </c>
      <c r="K16" s="27" t="str">
        <f aca="false">IF(J16&gt;=1,"Atteint",IF(J16&gt;=0.75,"En bonne voie",IF(J16&gt;=0.5,"À surveiller",IF(J16&gt;0,"En retard","Non démarré"))))</f>
        <v>Non démarré</v>
      </c>
      <c r="L16" s="11" t="s">
        <v>407</v>
      </c>
    </row>
    <row r="17" customFormat="false" ht="30" hidden="false" customHeight="true" outlineLevel="0" collapsed="false">
      <c r="B17" s="38" t="s">
        <v>280</v>
      </c>
      <c r="C17" s="7" t="s">
        <v>408</v>
      </c>
      <c r="D17" s="28" t="s">
        <v>356</v>
      </c>
      <c r="E17" s="38" t="n">
        <v>6</v>
      </c>
      <c r="F17" s="28" t="n">
        <v>0</v>
      </c>
      <c r="G17" s="52" t="n">
        <f aca="false">IFERROR(SUMIF('5. Gantt EQUIFILLES'!S6:S200,B17,'5. Gantt EQUIFILLES'!U6:U200),0)</f>
        <v>0</v>
      </c>
      <c r="H17" s="52" t="n">
        <f aca="false">IFERROR(VLOOKUP(B17,'7. Collecte EQUIFILLES'!B:I,8,FALSE()),0)</f>
        <v>0</v>
      </c>
      <c r="I17" s="52" t="n">
        <f aca="false">IF(H17&gt;0,H17,G17)</f>
        <v>0</v>
      </c>
      <c r="J17" s="79" t="n">
        <f aca="false">IFERROR(I17/E17,0)</f>
        <v>0</v>
      </c>
      <c r="K17" s="38" t="str">
        <f aca="false">IF(J17&gt;=1,"Atteint",IF(J17&gt;=0.75,"En bonne voie",IF(J17&gt;=0.5,"À surveiller",IF(J17&gt;0,"En retard","Non démarré"))))</f>
        <v>Non démarré</v>
      </c>
      <c r="L17" s="7" t="s">
        <v>409</v>
      </c>
    </row>
    <row r="18" customFormat="false" ht="30" hidden="false" customHeight="true" outlineLevel="0" collapsed="false">
      <c r="B18" s="27" t="s">
        <v>285</v>
      </c>
      <c r="C18" s="11" t="s">
        <v>410</v>
      </c>
      <c r="D18" s="30" t="s">
        <v>356</v>
      </c>
      <c r="E18" s="27" t="n">
        <v>3</v>
      </c>
      <c r="F18" s="30" t="n">
        <v>0</v>
      </c>
      <c r="G18" s="52" t="n">
        <f aca="false">IFERROR(SUMIF('5. Gantt EQUIFILLES'!S6:S200,B18,'5. Gantt EQUIFILLES'!U6:U200),0)</f>
        <v>0</v>
      </c>
      <c r="H18" s="52" t="n">
        <f aca="false">IFERROR(VLOOKUP(B18,'7. Collecte EQUIFILLES'!B:I,8,FALSE()),0)</f>
        <v>0</v>
      </c>
      <c r="I18" s="52" t="n">
        <f aca="false">IF(H18&gt;0,H18,G18)</f>
        <v>0</v>
      </c>
      <c r="J18" s="78" t="n">
        <f aca="false">IFERROR(I18/E18,0)</f>
        <v>0</v>
      </c>
      <c r="K18" s="27" t="str">
        <f aca="false">IF(J18&gt;=1,"Atteint",IF(J18&gt;=0.75,"En bonne voie",IF(J18&gt;=0.5,"À surveiller",IF(J18&gt;0,"En retard","Non démarré"))))</f>
        <v>Non démarré</v>
      </c>
      <c r="L18" s="11" t="s">
        <v>411</v>
      </c>
    </row>
    <row r="19" customFormat="false" ht="25.5" hidden="false" customHeight="true" outlineLevel="0" collapsed="false">
      <c r="B19" s="77" t="s">
        <v>412</v>
      </c>
      <c r="C19" s="77"/>
      <c r="D19" s="77"/>
      <c r="E19" s="77"/>
      <c r="F19" s="77"/>
      <c r="G19" s="77"/>
      <c r="H19" s="77"/>
      <c r="I19" s="77"/>
      <c r="J19" s="80" t="n">
        <f aca="false">AVERAGE(J6:J18)</f>
        <v>0</v>
      </c>
      <c r="K19" s="81" t="str">
        <f aca="false">COUNTIF(K6:K18,"Atteint")&amp;"/"&amp;13</f>
        <v>0/13</v>
      </c>
      <c r="L19" s="77" t="s">
        <v>413</v>
      </c>
    </row>
  </sheetData>
  <mergeCells count="3">
    <mergeCell ref="B2:K2"/>
    <mergeCell ref="B3:K3"/>
    <mergeCell ref="B19:I19"/>
  </mergeCells>
  <conditionalFormatting sqref="K6:K18">
    <cfRule type="cellIs" priority="2" operator="equal" aboveAverage="0" equalAverage="0" bottom="0" percent="0" rank="0" text="" dxfId="4">
      <formula>"Atteint"</formula>
    </cfRule>
    <cfRule type="cellIs" priority="3" operator="equal" aboveAverage="0" equalAverage="0" bottom="0" percent="0" rank="0" text="" dxfId="0">
      <formula>"En bonne voie"</formula>
    </cfRule>
    <cfRule type="cellIs" priority="4" operator="equal" aboveAverage="0" equalAverage="0" bottom="0" percent="0" rank="0" text="" dxfId="1">
      <formula>"À surveiller"</formula>
    </cfRule>
    <cfRule type="cellIs" priority="5" operator="equal" aboveAverage="0" equalAverage="0" bottom="0" percent="0" rank="0" text="" dxfId="2">
      <formula>"En retard"</formula>
    </cfRule>
    <cfRule type="cellIs" priority="6" operator="equal" aboveAverage="0" equalAverage="0" bottom="0" percent="0" rank="0" text="" dxfId="6">
      <formula>"Non démarré"</formula>
    </cfRule>
  </conditionalFormatting>
  <conditionalFormatting sqref="J6:J18">
    <cfRule type="colorScale" priority="7">
      <colorScale>
        <cfvo type="num" val="0"/>
        <cfvo type="num" val="0.5"/>
        <cfvo type="num" val="1"/>
        <color rgb="FFF8CBAD"/>
        <color rgb="FFFFF2CC"/>
        <color rgb="FFC6EFC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M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1"/>
    <col collapsed="false" customWidth="true" hidden="false" outlineLevel="0" max="3" min="3" style="1" width="30"/>
    <col collapsed="false" customWidth="true" hidden="false" outlineLevel="0" max="4" min="4" style="1" width="18"/>
    <col collapsed="false" customWidth="true" hidden="false" outlineLevel="0" max="5" min="5" style="1" width="14"/>
    <col collapsed="false" customWidth="true" hidden="false" outlineLevel="0" max="9" min="6" style="1" width="13"/>
    <col collapsed="false" customWidth="true" hidden="false" outlineLevel="0" max="10" min="10" style="1" width="9"/>
    <col collapsed="false" customWidth="true" hidden="false" outlineLevel="0" max="12" min="11" style="1" width="14"/>
    <col collapsed="false" customWidth="true" hidden="false" outlineLevel="0" max="13" min="13" style="1" width="22"/>
  </cols>
  <sheetData>
    <row r="2" customFormat="false" ht="27.75" hidden="false" customHeight="true" outlineLevel="0" collapsed="false">
      <c r="B2" s="39" t="s">
        <v>414</v>
      </c>
      <c r="C2" s="39"/>
      <c r="D2" s="39"/>
      <c r="E2" s="39"/>
      <c r="F2" s="39"/>
      <c r="G2" s="39"/>
      <c r="H2" s="39"/>
      <c r="I2" s="39"/>
      <c r="J2" s="39"/>
      <c r="K2" s="39"/>
      <c r="L2" s="39"/>
      <c r="M2" s="39"/>
    </row>
    <row r="3" customFormat="false" ht="36" hidden="false" customHeight="true" outlineLevel="0" collapsed="false">
      <c r="B3" s="82" t="s">
        <v>415</v>
      </c>
      <c r="C3" s="82"/>
      <c r="D3" s="82"/>
      <c r="E3" s="82"/>
      <c r="F3" s="82"/>
      <c r="G3" s="82"/>
      <c r="H3" s="82"/>
      <c r="I3" s="82"/>
      <c r="J3" s="82"/>
      <c r="K3" s="82"/>
      <c r="L3" s="82"/>
      <c r="M3" s="82"/>
    </row>
    <row r="5" customFormat="false" ht="37.5" hidden="false" customHeight="true" outlineLevel="0" collapsed="false">
      <c r="B5" s="41" t="s">
        <v>416</v>
      </c>
      <c r="C5" s="41" t="s">
        <v>18</v>
      </c>
      <c r="D5" s="41" t="s">
        <v>417</v>
      </c>
      <c r="E5" s="41" t="s">
        <v>418</v>
      </c>
      <c r="F5" s="41" t="s">
        <v>102</v>
      </c>
      <c r="G5" s="41" t="s">
        <v>419</v>
      </c>
      <c r="H5" s="41" t="s">
        <v>420</v>
      </c>
      <c r="I5" s="41" t="s">
        <v>421</v>
      </c>
      <c r="J5" s="41" t="s">
        <v>81</v>
      </c>
      <c r="K5" s="41" t="s">
        <v>422</v>
      </c>
      <c r="L5" s="41" t="s">
        <v>423</v>
      </c>
      <c r="M5" s="41" t="s">
        <v>311</v>
      </c>
    </row>
    <row r="6" customFormat="false" ht="30" hidden="false" customHeight="true" outlineLevel="0" collapsed="false">
      <c r="B6" s="27" t="s">
        <v>213</v>
      </c>
      <c r="C6" s="11" t="s">
        <v>424</v>
      </c>
      <c r="D6" s="30" t="s">
        <v>425</v>
      </c>
      <c r="E6" s="30" t="s">
        <v>426</v>
      </c>
      <c r="F6" s="30" t="s">
        <v>225</v>
      </c>
      <c r="G6" s="52" t="n">
        <f aca="false">COUNTIF('K1. Données Kobo EQUIFILLES'!$C$13:$C$500,B6)</f>
        <v>0</v>
      </c>
      <c r="H6" s="52" t="n">
        <f aca="false">IF(E6="Somme",SUMIF('K1. Données Kobo EQUIFILLES'!$C$13:$C$500,B6,'K1. Données Kobo EQUIFILLES'!$I$13:$I$500),IF(E6="Comptage",COUNTIF('K1. Données Kobo EQUIFILLES'!$C$13:$C$500,B6),IF(E6="Moyenne",IFERROR(AVERAGEIF('K1. Données Kobo EQUIFILLES'!$C$13:$C$500,B6,'K1. Données Kobo EQUIFILLES'!$I$13:$I$500),0),0)))</f>
        <v>0</v>
      </c>
      <c r="I6" s="83" t="n">
        <f aca="false">IF(L6&lt;&gt;"",L6,H6)</f>
        <v>0</v>
      </c>
      <c r="J6" s="30" t="s">
        <v>88</v>
      </c>
      <c r="K6" s="84" t="str">
        <f aca="false">IFERROR(maxifs('K1. Données Kobo EQUIFILLES'!$E$13:$E$500,'K1. Données Kobo EQUIFILLES'!$C$13:$C$500,B6),"")</f>
        <v/>
      </c>
      <c r="L6" s="85"/>
      <c r="M6" s="11"/>
    </row>
    <row r="7" customFormat="false" ht="30" hidden="false" customHeight="true" outlineLevel="0" collapsed="false">
      <c r="B7" s="38" t="s">
        <v>220</v>
      </c>
      <c r="C7" s="7" t="s">
        <v>427</v>
      </c>
      <c r="D7" s="28" t="s">
        <v>428</v>
      </c>
      <c r="E7" s="28" t="s">
        <v>426</v>
      </c>
      <c r="F7" s="28" t="s">
        <v>120</v>
      </c>
      <c r="G7" s="52" t="n">
        <f aca="false">COUNTIF('K1. Données Kobo EQUIFILLES'!$C$13:$C$500,B7)</f>
        <v>0</v>
      </c>
      <c r="H7" s="52" t="n">
        <f aca="false">IF(E7="Somme",SUMIF('K1. Données Kobo EQUIFILLES'!$C$13:$C$500,B7,'K1. Données Kobo EQUIFILLES'!$I$13:$I$500),IF(E7="Comptage",COUNTIF('K1. Données Kobo EQUIFILLES'!$C$13:$C$500,B7),IF(E7="Moyenne",IFERROR(AVERAGEIF('K1. Données Kobo EQUIFILLES'!$C$13:$C$500,B7,'K1. Données Kobo EQUIFILLES'!$I$13:$I$500),0),0)))</f>
        <v>0</v>
      </c>
      <c r="I7" s="83" t="n">
        <f aca="false">IF(L7&lt;&gt;"",L7,H7)</f>
        <v>0</v>
      </c>
      <c r="J7" s="28" t="s">
        <v>88</v>
      </c>
      <c r="K7" s="84" t="str">
        <f aca="false">IFERROR(maxifs('K1. Données Kobo EQUIFILLES'!$E$13:$E$500,'K1. Données Kobo EQUIFILLES'!$C$13:$C$500,B7),"")</f>
        <v/>
      </c>
      <c r="L7" s="85"/>
      <c r="M7" s="7"/>
    </row>
    <row r="8" customFormat="false" ht="30" hidden="false" customHeight="true" outlineLevel="0" collapsed="false">
      <c r="B8" s="27" t="s">
        <v>235</v>
      </c>
      <c r="C8" s="11" t="s">
        <v>429</v>
      </c>
      <c r="D8" s="30" t="s">
        <v>430</v>
      </c>
      <c r="E8" s="30" t="s">
        <v>431</v>
      </c>
      <c r="F8" s="30" t="s">
        <v>117</v>
      </c>
      <c r="G8" s="52" t="n">
        <f aca="false">COUNTIF('K1. Données Kobo EQUIFILLES'!$C$13:$C$500,B8)</f>
        <v>0</v>
      </c>
      <c r="H8" s="52" t="n">
        <f aca="false">IF(E8="Somme",SUMIF('K1. Données Kobo EQUIFILLES'!$C$13:$C$500,B8,'K1. Données Kobo EQUIFILLES'!$I$13:$I$500),IF(E8="Comptage",COUNTIF('K1. Données Kobo EQUIFILLES'!$C$13:$C$500,B8),IF(E8="Moyenne",IFERROR(AVERAGEIF('K1. Données Kobo EQUIFILLES'!$C$13:$C$500,B8,'K1. Données Kobo EQUIFILLES'!$I$13:$I$500),0),0)))</f>
        <v>0</v>
      </c>
      <c r="I8" s="83" t="n">
        <f aca="false">IF(L8&lt;&gt;"",L8,H8)</f>
        <v>0</v>
      </c>
      <c r="J8" s="30" t="s">
        <v>432</v>
      </c>
      <c r="K8" s="84" t="str">
        <f aca="false">IFERROR(maxifs('K1. Données Kobo EQUIFILLES'!$E$13:$E$500,'K1. Données Kobo EQUIFILLES'!$C$13:$C$500,B8),"")</f>
        <v/>
      </c>
      <c r="L8" s="85"/>
      <c r="M8" s="11"/>
    </row>
    <row r="9" customFormat="false" ht="30" hidden="false" customHeight="true" outlineLevel="0" collapsed="false">
      <c r="B9" s="38" t="s">
        <v>254</v>
      </c>
      <c r="C9" s="7" t="s">
        <v>398</v>
      </c>
      <c r="D9" s="28" t="s">
        <v>430</v>
      </c>
      <c r="E9" s="28" t="s">
        <v>431</v>
      </c>
      <c r="F9" s="28" t="s">
        <v>124</v>
      </c>
      <c r="G9" s="52" t="n">
        <f aca="false">COUNTIF('K1. Données Kobo EQUIFILLES'!$C$13:$C$500,B9)</f>
        <v>0</v>
      </c>
      <c r="H9" s="52" t="n">
        <f aca="false">IF(E9="Somme",SUMIF('K1. Données Kobo EQUIFILLES'!$C$13:$C$500,B9,'K1. Données Kobo EQUIFILLES'!$I$13:$I$500),IF(E9="Comptage",COUNTIF('K1. Données Kobo EQUIFILLES'!$C$13:$C$500,B9),IF(E9="Moyenne",IFERROR(AVERAGEIF('K1. Données Kobo EQUIFILLES'!$C$13:$C$500,B9,'K1. Données Kobo EQUIFILLES'!$I$13:$I$500),0),0)))</f>
        <v>0</v>
      </c>
      <c r="I9" s="83" t="n">
        <f aca="false">IF(L9&lt;&gt;"",L9,H9)</f>
        <v>0</v>
      </c>
      <c r="J9" s="28" t="s">
        <v>432</v>
      </c>
      <c r="K9" s="84" t="str">
        <f aca="false">IFERROR(maxifs('K1. Données Kobo EQUIFILLES'!$E$13:$E$500,'K1. Données Kobo EQUIFILLES'!$C$13:$C$500,B9),"")</f>
        <v/>
      </c>
      <c r="L9" s="85"/>
      <c r="M9" s="7"/>
    </row>
    <row r="10" customFormat="false" ht="30" hidden="false" customHeight="true" outlineLevel="0" collapsed="false">
      <c r="B10" s="27" t="s">
        <v>269</v>
      </c>
      <c r="C10" s="11" t="s">
        <v>433</v>
      </c>
      <c r="D10" s="30" t="s">
        <v>434</v>
      </c>
      <c r="E10" s="30" t="s">
        <v>426</v>
      </c>
      <c r="F10" s="30" t="s">
        <v>117</v>
      </c>
      <c r="G10" s="52" t="n">
        <f aca="false">COUNTIF('K1. Données Kobo EQUIFILLES'!$C$13:$C$500,B10)</f>
        <v>0</v>
      </c>
      <c r="H10" s="52" t="n">
        <f aca="false">IF(E10="Somme",SUMIF('K1. Données Kobo EQUIFILLES'!$C$13:$C$500,B10,'K1. Données Kobo EQUIFILLES'!$I$13:$I$500),IF(E10="Comptage",COUNTIF('K1. Données Kobo EQUIFILLES'!$C$13:$C$500,B10),IF(E10="Moyenne",IFERROR(AVERAGEIF('K1. Données Kobo EQUIFILLES'!$C$13:$C$500,B10,'K1. Données Kobo EQUIFILLES'!$I$13:$I$500),0),0)))</f>
        <v>0</v>
      </c>
      <c r="I10" s="83" t="n">
        <f aca="false">IF(L10&lt;&gt;"",L10,H10)</f>
        <v>0</v>
      </c>
      <c r="J10" s="30" t="s">
        <v>88</v>
      </c>
      <c r="K10" s="84" t="str">
        <f aca="false">IFERROR(maxifs('K1. Données Kobo EQUIFILLES'!$E$13:$E$500,'K1. Données Kobo EQUIFILLES'!$C$13:$C$500,B10),"")</f>
        <v/>
      </c>
      <c r="L10" s="85"/>
      <c r="M10" s="11"/>
    </row>
    <row r="11" customFormat="false" ht="30" hidden="false" customHeight="true" outlineLevel="0" collapsed="false">
      <c r="B11" s="38" t="s">
        <v>276</v>
      </c>
      <c r="C11" s="7" t="s">
        <v>435</v>
      </c>
      <c r="D11" s="28" t="s">
        <v>430</v>
      </c>
      <c r="E11" s="28" t="s">
        <v>431</v>
      </c>
      <c r="F11" s="28" t="s">
        <v>124</v>
      </c>
      <c r="G11" s="52" t="n">
        <f aca="false">COUNTIF('K1. Données Kobo EQUIFILLES'!$C$13:$C$500,B11)</f>
        <v>0</v>
      </c>
      <c r="H11" s="52" t="n">
        <f aca="false">IF(E11="Somme",SUMIF('K1. Données Kobo EQUIFILLES'!$C$13:$C$500,B11,'K1. Données Kobo EQUIFILLES'!$I$13:$I$500),IF(E11="Comptage",COUNTIF('K1. Données Kobo EQUIFILLES'!$C$13:$C$500,B11),IF(E11="Moyenne",IFERROR(AVERAGEIF('K1. Données Kobo EQUIFILLES'!$C$13:$C$500,B11,'K1. Données Kobo EQUIFILLES'!$I$13:$I$500),0),0)))</f>
        <v>0</v>
      </c>
      <c r="I11" s="83" t="n">
        <f aca="false">IF(L11&lt;&gt;"",L11,H11)</f>
        <v>0</v>
      </c>
      <c r="J11" s="28" t="s">
        <v>432</v>
      </c>
      <c r="K11" s="84" t="str">
        <f aca="false">IFERROR(maxifs('K1. Données Kobo EQUIFILLES'!$E$13:$E$500,'K1. Données Kobo EQUIFILLES'!$C$13:$C$500,B11),"")</f>
        <v/>
      </c>
      <c r="L11" s="85"/>
      <c r="M11" s="7"/>
    </row>
    <row r="12" customFormat="false" ht="30" hidden="false" customHeight="true" outlineLevel="0" collapsed="false">
      <c r="B12" s="27" t="s">
        <v>285</v>
      </c>
      <c r="C12" s="11" t="s">
        <v>436</v>
      </c>
      <c r="D12" s="30" t="s">
        <v>437</v>
      </c>
      <c r="E12" s="30" t="s">
        <v>431</v>
      </c>
      <c r="F12" s="30" t="s">
        <v>123</v>
      </c>
      <c r="G12" s="52" t="n">
        <f aca="false">COUNTIF('K1. Données Kobo EQUIFILLES'!$C$13:$C$500,B12)</f>
        <v>0</v>
      </c>
      <c r="H12" s="52" t="n">
        <f aca="false">IF(E12="Somme",SUMIF('K1. Données Kobo EQUIFILLES'!$C$13:$C$500,B12,'K1. Données Kobo EQUIFILLES'!$I$13:$I$500),IF(E12="Comptage",COUNTIF('K1. Données Kobo EQUIFILLES'!$C$13:$C$500,B12),IF(E12="Moyenne",IFERROR(AVERAGEIF('K1. Données Kobo EQUIFILLES'!$C$13:$C$500,B12,'K1. Données Kobo EQUIFILLES'!$I$13:$I$500),0),0)))</f>
        <v>0</v>
      </c>
      <c r="I12" s="83" t="n">
        <f aca="false">IF(L12&lt;&gt;"",L12,H12)</f>
        <v>0</v>
      </c>
      <c r="J12" s="30" t="s">
        <v>432</v>
      </c>
      <c r="K12" s="84" t="str">
        <f aca="false">IFERROR(maxifs('K1. Données Kobo EQUIFILLES'!$E$13:$E$500,'K1. Données Kobo EQUIFILLES'!$C$13:$C$500,B12),"")</f>
        <v/>
      </c>
      <c r="L12" s="85"/>
      <c r="M12" s="11"/>
    </row>
    <row r="13" customFormat="false" ht="24" hidden="false" customHeight="true" outlineLevel="0" collapsed="false">
      <c r="B13" s="11"/>
      <c r="C13" s="11"/>
      <c r="D13" s="11"/>
      <c r="E13" s="11"/>
      <c r="F13" s="11"/>
      <c r="G13" s="68" t="str">
        <f aca="false">IF(B13="","",COUNTIF('K1. Données Kobo EQUIFILLES'!$C$13:$C$500,B13))</f>
        <v/>
      </c>
      <c r="H13" s="68" t="str">
        <f aca="false">IF(B13="","",IF(E13="Somme",SUMIF('K1. Données Kobo EQUIFILLES'!$C$13:$C$500,B13,'K1. Données Kobo EQUIFILLES'!$I$13:$I$500),IF(E13="Comptage",COUNTIF('K1. Données Kobo EQUIFILLES'!$C$13:$C$500,B13),IF(E13="Moyenne",IFERROR(AVERAGEIF('K1. Données Kobo EQUIFILLES'!$C$13:$C$500,B13,'K1. Données Kobo EQUIFILLES'!$I$13:$I$500),0),0))))</f>
        <v/>
      </c>
      <c r="I13" s="68" t="str">
        <f aca="false">IF(B13="","",IF(L13&lt;&gt;"",L13,H13))</f>
        <v/>
      </c>
      <c r="J13" s="11"/>
      <c r="K13" s="86" t="str">
        <f aca="false">IF(B13="","",IFERROR(maxifs('K1. Données Kobo EQUIFILLES'!$E$13:$E$500,'K1. Données Kobo EQUIFILLES'!$C$13:$C$500,B13),""))</f>
        <v/>
      </c>
      <c r="L13" s="87"/>
      <c r="M13" s="11"/>
    </row>
    <row r="14" customFormat="false" ht="24" hidden="false" customHeight="true" outlineLevel="0" collapsed="false">
      <c r="B14" s="7"/>
      <c r="C14" s="7"/>
      <c r="D14" s="7"/>
      <c r="E14" s="7"/>
      <c r="F14" s="7"/>
      <c r="G14" s="68" t="str">
        <f aca="false">IF(B14="","",COUNTIF('K1. Données Kobo EQUIFILLES'!$C$13:$C$500,B14))</f>
        <v/>
      </c>
      <c r="H14" s="68" t="str">
        <f aca="false">IF(B14="","",IF(E14="Somme",SUMIF('K1. Données Kobo EQUIFILLES'!$C$13:$C$500,B14,'K1. Données Kobo EQUIFILLES'!$I$13:$I$500),IF(E14="Comptage",COUNTIF('K1. Données Kobo EQUIFILLES'!$C$13:$C$500,B14),IF(E14="Moyenne",IFERROR(AVERAGEIF('K1. Données Kobo EQUIFILLES'!$C$13:$C$500,B14,'K1. Données Kobo EQUIFILLES'!$I$13:$I$500),0),0))))</f>
        <v/>
      </c>
      <c r="I14" s="68" t="str">
        <f aca="false">IF(B14="","",IF(L14&lt;&gt;"",L14,H14))</f>
        <v/>
      </c>
      <c r="J14" s="7"/>
      <c r="K14" s="86" t="str">
        <f aca="false">IF(B14="","",IFERROR(maxifs('K1. Données Kobo EQUIFILLES'!$E$13:$E$500,'K1. Données Kobo EQUIFILLES'!$C$13:$C$500,B14),""))</f>
        <v/>
      </c>
      <c r="L14" s="87"/>
      <c r="M14" s="7"/>
    </row>
    <row r="15" customFormat="false" ht="24" hidden="false" customHeight="true" outlineLevel="0" collapsed="false">
      <c r="B15" s="11"/>
      <c r="C15" s="11"/>
      <c r="D15" s="11"/>
      <c r="E15" s="11"/>
      <c r="F15" s="11"/>
      <c r="G15" s="68" t="str">
        <f aca="false">IF(B15="","",COUNTIF('K1. Données Kobo EQUIFILLES'!$C$13:$C$500,B15))</f>
        <v/>
      </c>
      <c r="H15" s="68" t="str">
        <f aca="false">IF(B15="","",IF(E15="Somme",SUMIF('K1. Données Kobo EQUIFILLES'!$C$13:$C$500,B15,'K1. Données Kobo EQUIFILLES'!$I$13:$I$500),IF(E15="Comptage",COUNTIF('K1. Données Kobo EQUIFILLES'!$C$13:$C$500,B15),IF(E15="Moyenne",IFERROR(AVERAGEIF('K1. Données Kobo EQUIFILLES'!$C$13:$C$500,B15,'K1. Données Kobo EQUIFILLES'!$I$13:$I$500),0),0))))</f>
        <v/>
      </c>
      <c r="I15" s="68" t="str">
        <f aca="false">IF(B15="","",IF(L15&lt;&gt;"",L15,H15))</f>
        <v/>
      </c>
      <c r="J15" s="11"/>
      <c r="K15" s="86" t="str">
        <f aca="false">IF(B15="","",IFERROR(maxifs('K1. Données Kobo EQUIFILLES'!$E$13:$E$500,'K1. Données Kobo EQUIFILLES'!$C$13:$C$500,B15),""))</f>
        <v/>
      </c>
      <c r="L15" s="87"/>
      <c r="M15" s="11"/>
    </row>
    <row r="16" customFormat="false" ht="24" hidden="false" customHeight="true" outlineLevel="0" collapsed="false">
      <c r="B16" s="7"/>
      <c r="C16" s="7"/>
      <c r="D16" s="7"/>
      <c r="E16" s="7"/>
      <c r="F16" s="7"/>
      <c r="G16" s="68" t="str">
        <f aca="false">IF(B16="","",COUNTIF('K1. Données Kobo EQUIFILLES'!$C$13:$C$500,B16))</f>
        <v/>
      </c>
      <c r="H16" s="68" t="str">
        <f aca="false">IF(B16="","",IF(E16="Somme",SUMIF('K1. Données Kobo EQUIFILLES'!$C$13:$C$500,B16,'K1. Données Kobo EQUIFILLES'!$I$13:$I$500),IF(E16="Comptage",COUNTIF('K1. Données Kobo EQUIFILLES'!$C$13:$C$500,B16),IF(E16="Moyenne",IFERROR(AVERAGEIF('K1. Données Kobo EQUIFILLES'!$C$13:$C$500,B16,'K1. Données Kobo EQUIFILLES'!$I$13:$I$500),0),0))))</f>
        <v/>
      </c>
      <c r="I16" s="68" t="str">
        <f aca="false">IF(B16="","",IF(L16&lt;&gt;"",L16,H16))</f>
        <v/>
      </c>
      <c r="J16" s="7"/>
      <c r="K16" s="86" t="str">
        <f aca="false">IF(B16="","",IFERROR(maxifs('K1. Données Kobo EQUIFILLES'!$E$13:$E$500,'K1. Données Kobo EQUIFILLES'!$C$13:$C$500,B16),""))</f>
        <v/>
      </c>
      <c r="L16" s="87"/>
      <c r="M16" s="7"/>
    </row>
    <row r="17" customFormat="false" ht="24" hidden="false" customHeight="true" outlineLevel="0" collapsed="false">
      <c r="B17" s="11"/>
      <c r="C17" s="11"/>
      <c r="D17" s="11"/>
      <c r="E17" s="11"/>
      <c r="F17" s="11"/>
      <c r="G17" s="68" t="str">
        <f aca="false">IF(B17="","",COUNTIF('K1. Données Kobo EQUIFILLES'!$C$13:$C$500,B17))</f>
        <v/>
      </c>
      <c r="H17" s="68" t="str">
        <f aca="false">IF(B17="","",IF(E17="Somme",SUMIF('K1. Données Kobo EQUIFILLES'!$C$13:$C$500,B17,'K1. Données Kobo EQUIFILLES'!$I$13:$I$500),IF(E17="Comptage",COUNTIF('K1. Données Kobo EQUIFILLES'!$C$13:$C$500,B17),IF(E17="Moyenne",IFERROR(AVERAGEIF('K1. Données Kobo EQUIFILLES'!$C$13:$C$500,B17,'K1. Données Kobo EQUIFILLES'!$I$13:$I$500),0),0))))</f>
        <v/>
      </c>
      <c r="I17" s="68" t="str">
        <f aca="false">IF(B17="","",IF(L17&lt;&gt;"",L17,H17))</f>
        <v/>
      </c>
      <c r="J17" s="11"/>
      <c r="K17" s="86" t="str">
        <f aca="false">IF(B17="","",IFERROR(maxifs('K1. Données Kobo EQUIFILLES'!$E$13:$E$500,'K1. Données Kobo EQUIFILLES'!$C$13:$C$500,B17),""))</f>
        <v/>
      </c>
      <c r="L17" s="87"/>
      <c r="M17" s="11"/>
    </row>
    <row r="18" customFormat="false" ht="24" hidden="false" customHeight="true" outlineLevel="0" collapsed="false">
      <c r="B18" s="7"/>
      <c r="C18" s="7"/>
      <c r="D18" s="7"/>
      <c r="E18" s="7"/>
      <c r="F18" s="7"/>
      <c r="G18" s="68" t="str">
        <f aca="false">IF(B18="","",COUNTIF('K1. Données Kobo EQUIFILLES'!$C$13:$C$500,B18))</f>
        <v/>
      </c>
      <c r="H18" s="68" t="str">
        <f aca="false">IF(B18="","",IF(E18="Somme",SUMIF('K1. Données Kobo EQUIFILLES'!$C$13:$C$500,B18,'K1. Données Kobo EQUIFILLES'!$I$13:$I$500),IF(E18="Comptage",COUNTIF('K1. Données Kobo EQUIFILLES'!$C$13:$C$500,B18),IF(E18="Moyenne",IFERROR(AVERAGEIF('K1. Données Kobo EQUIFILLES'!$C$13:$C$500,B18,'K1. Données Kobo EQUIFILLES'!$I$13:$I$500),0),0))))</f>
        <v/>
      </c>
      <c r="I18" s="68" t="str">
        <f aca="false">IF(B18="","",IF(L18&lt;&gt;"",L18,H18))</f>
        <v/>
      </c>
      <c r="J18" s="7"/>
      <c r="K18" s="86" t="str">
        <f aca="false">IF(B18="","",IFERROR(maxifs('K1. Données Kobo EQUIFILLES'!$E$13:$E$500,'K1. Données Kobo EQUIFILLES'!$C$13:$C$500,B18),""))</f>
        <v/>
      </c>
      <c r="L18" s="87"/>
      <c r="M18" s="7"/>
    </row>
    <row r="19" customFormat="false" ht="24" hidden="false" customHeight="true" outlineLevel="0" collapsed="false">
      <c r="B19" s="11"/>
      <c r="C19" s="11"/>
      <c r="D19" s="11"/>
      <c r="E19" s="11"/>
      <c r="F19" s="11"/>
      <c r="G19" s="68" t="str">
        <f aca="false">IF(B19="","",COUNTIF('K1. Données Kobo EQUIFILLES'!$C$13:$C$500,B19))</f>
        <v/>
      </c>
      <c r="H19" s="68" t="str">
        <f aca="false">IF(B19="","",IF(E19="Somme",SUMIF('K1. Données Kobo EQUIFILLES'!$C$13:$C$500,B19,'K1. Données Kobo EQUIFILLES'!$I$13:$I$500),IF(E19="Comptage",COUNTIF('K1. Données Kobo EQUIFILLES'!$C$13:$C$500,B19),IF(E19="Moyenne",IFERROR(AVERAGEIF('K1. Données Kobo EQUIFILLES'!$C$13:$C$500,B19,'K1. Données Kobo EQUIFILLES'!$I$13:$I$500),0),0))))</f>
        <v/>
      </c>
      <c r="I19" s="68" t="str">
        <f aca="false">IF(B19="","",IF(L19&lt;&gt;"",L19,H19))</f>
        <v/>
      </c>
      <c r="J19" s="11"/>
      <c r="K19" s="86" t="str">
        <f aca="false">IF(B19="","",IFERROR(maxifs('K1. Données Kobo EQUIFILLES'!$E$13:$E$500,'K1. Données Kobo EQUIFILLES'!$C$13:$C$500,B19),""))</f>
        <v/>
      </c>
      <c r="L19" s="87"/>
      <c r="M19" s="11"/>
    </row>
    <row r="20" customFormat="false" ht="24" hidden="false" customHeight="true" outlineLevel="0" collapsed="false">
      <c r="B20" s="7"/>
      <c r="C20" s="7"/>
      <c r="D20" s="7"/>
      <c r="E20" s="7"/>
      <c r="F20" s="7"/>
      <c r="G20" s="68" t="str">
        <f aca="false">IF(B20="","",COUNTIF('K1. Données Kobo EQUIFILLES'!$C$13:$C$500,B20))</f>
        <v/>
      </c>
      <c r="H20" s="68" t="str">
        <f aca="false">IF(B20="","",IF(E20="Somme",SUMIF('K1. Données Kobo EQUIFILLES'!$C$13:$C$500,B20,'K1. Données Kobo EQUIFILLES'!$I$13:$I$500),IF(E20="Comptage",COUNTIF('K1. Données Kobo EQUIFILLES'!$C$13:$C$500,B20),IF(E20="Moyenne",IFERROR(AVERAGEIF('K1. Données Kobo EQUIFILLES'!$C$13:$C$500,B20,'K1. Données Kobo EQUIFILLES'!$I$13:$I$500),0),0))))</f>
        <v/>
      </c>
      <c r="I20" s="68" t="str">
        <f aca="false">IF(B20="","",IF(L20&lt;&gt;"",L20,H20))</f>
        <v/>
      </c>
      <c r="J20" s="7"/>
      <c r="K20" s="86" t="str">
        <f aca="false">IF(B20="","",IFERROR(maxifs('K1. Données Kobo EQUIFILLES'!$E$13:$E$500,'K1. Données Kobo EQUIFILLES'!$C$13:$C$500,B20),""))</f>
        <v/>
      </c>
      <c r="L20" s="87"/>
      <c r="M20" s="7"/>
    </row>
    <row r="21" customFormat="false" ht="24" hidden="false" customHeight="true" outlineLevel="0" collapsed="false">
      <c r="B21" s="11"/>
      <c r="C21" s="11"/>
      <c r="D21" s="11"/>
      <c r="E21" s="11"/>
      <c r="F21" s="11"/>
      <c r="G21" s="68" t="str">
        <f aca="false">IF(B21="","",COUNTIF('K1. Données Kobo EQUIFILLES'!$C$13:$C$500,B21))</f>
        <v/>
      </c>
      <c r="H21" s="68" t="str">
        <f aca="false">IF(B21="","",IF(E21="Somme",SUMIF('K1. Données Kobo EQUIFILLES'!$C$13:$C$500,B21,'K1. Données Kobo EQUIFILLES'!$I$13:$I$500),IF(E21="Comptage",COUNTIF('K1. Données Kobo EQUIFILLES'!$C$13:$C$500,B21),IF(E21="Moyenne",IFERROR(AVERAGEIF('K1. Données Kobo EQUIFILLES'!$C$13:$C$500,B21,'K1. Données Kobo EQUIFILLES'!$I$13:$I$500),0),0))))</f>
        <v/>
      </c>
      <c r="I21" s="68" t="str">
        <f aca="false">IF(B21="","",IF(L21&lt;&gt;"",L21,H21))</f>
        <v/>
      </c>
      <c r="J21" s="11"/>
      <c r="K21" s="86" t="str">
        <f aca="false">IF(B21="","",IFERROR(maxifs('K1. Données Kobo EQUIFILLES'!$E$13:$E$500,'K1. Données Kobo EQUIFILLES'!$C$13:$C$500,B21),""))</f>
        <v/>
      </c>
      <c r="L21" s="87"/>
      <c r="M21" s="11"/>
    </row>
    <row r="22" customFormat="false" ht="24" hidden="false" customHeight="true" outlineLevel="0" collapsed="false">
      <c r="B22" s="7"/>
      <c r="C22" s="7"/>
      <c r="D22" s="7"/>
      <c r="E22" s="7"/>
      <c r="F22" s="7"/>
      <c r="G22" s="68" t="str">
        <f aca="false">IF(B22="","",COUNTIF('K1. Données Kobo EQUIFILLES'!$C$13:$C$500,B22))</f>
        <v/>
      </c>
      <c r="H22" s="68" t="str">
        <f aca="false">IF(B22="","",IF(E22="Somme",SUMIF('K1. Données Kobo EQUIFILLES'!$C$13:$C$500,B22,'K1. Données Kobo EQUIFILLES'!$I$13:$I$500),IF(E22="Comptage",COUNTIF('K1. Données Kobo EQUIFILLES'!$C$13:$C$500,B22),IF(E22="Moyenne",IFERROR(AVERAGEIF('K1. Données Kobo EQUIFILLES'!$C$13:$C$500,B22,'K1. Données Kobo EQUIFILLES'!$I$13:$I$500),0),0))))</f>
        <v/>
      </c>
      <c r="I22" s="68" t="str">
        <f aca="false">IF(B22="","",IF(L22&lt;&gt;"",L22,H22))</f>
        <v/>
      </c>
      <c r="J22" s="7"/>
      <c r="K22" s="86" t="str">
        <f aca="false">IF(B22="","",IFERROR(maxifs('K1. Données Kobo EQUIFILLES'!$E$13:$E$500,'K1. Données Kobo EQUIFILLES'!$C$13:$C$500,B22),""))</f>
        <v/>
      </c>
      <c r="L22" s="87"/>
      <c r="M22" s="7"/>
    </row>
    <row r="23" customFormat="false" ht="24" hidden="false" customHeight="true" outlineLevel="0" collapsed="false">
      <c r="B23" s="11"/>
      <c r="C23" s="11"/>
      <c r="D23" s="11"/>
      <c r="E23" s="11"/>
      <c r="F23" s="11"/>
      <c r="G23" s="68" t="str">
        <f aca="false">IF(B23="","",COUNTIF('K1. Données Kobo EQUIFILLES'!$C$13:$C$500,B23))</f>
        <v/>
      </c>
      <c r="H23" s="68" t="str">
        <f aca="false">IF(B23="","",IF(E23="Somme",SUMIF('K1. Données Kobo EQUIFILLES'!$C$13:$C$500,B23,'K1. Données Kobo EQUIFILLES'!$I$13:$I$500),IF(E23="Comptage",COUNTIF('K1. Données Kobo EQUIFILLES'!$C$13:$C$500,B23),IF(E23="Moyenne",IFERROR(AVERAGEIF('K1. Données Kobo EQUIFILLES'!$C$13:$C$500,B23,'K1. Données Kobo EQUIFILLES'!$I$13:$I$500),0),0))))</f>
        <v/>
      </c>
      <c r="I23" s="68" t="str">
        <f aca="false">IF(B23="","",IF(L23&lt;&gt;"",L23,H23))</f>
        <v/>
      </c>
      <c r="J23" s="11"/>
      <c r="K23" s="86" t="str">
        <f aca="false">IF(B23="","",IFERROR(maxifs('K1. Données Kobo EQUIFILLES'!$E$13:$E$500,'K1. Données Kobo EQUIFILLES'!$C$13:$C$500,B23),""))</f>
        <v/>
      </c>
      <c r="L23" s="87"/>
      <c r="M23" s="11"/>
    </row>
    <row r="24" customFormat="false" ht="24" hidden="false" customHeight="true" outlineLevel="0" collapsed="false">
      <c r="B24" s="7"/>
      <c r="C24" s="7"/>
      <c r="D24" s="7"/>
      <c r="E24" s="7"/>
      <c r="F24" s="7"/>
      <c r="G24" s="68" t="str">
        <f aca="false">IF(B24="","",COUNTIF('K1. Données Kobo EQUIFILLES'!$C$13:$C$500,B24))</f>
        <v/>
      </c>
      <c r="H24" s="68" t="str">
        <f aca="false">IF(B24="","",IF(E24="Somme",SUMIF('K1. Données Kobo EQUIFILLES'!$C$13:$C$500,B24,'K1. Données Kobo EQUIFILLES'!$I$13:$I$500),IF(E24="Comptage",COUNTIF('K1. Données Kobo EQUIFILLES'!$C$13:$C$500,B24),IF(E24="Moyenne",IFERROR(AVERAGEIF('K1. Données Kobo EQUIFILLES'!$C$13:$C$500,B24,'K1. Données Kobo EQUIFILLES'!$I$13:$I$500),0),0))))</f>
        <v/>
      </c>
      <c r="I24" s="68" t="str">
        <f aca="false">IF(B24="","",IF(L24&lt;&gt;"",L24,H24))</f>
        <v/>
      </c>
      <c r="J24" s="7"/>
      <c r="K24" s="86" t="str">
        <f aca="false">IF(B24="","",IFERROR(maxifs('K1. Données Kobo EQUIFILLES'!$E$13:$E$500,'K1. Données Kobo EQUIFILLES'!$C$13:$C$500,B24),""))</f>
        <v/>
      </c>
      <c r="L24" s="87"/>
      <c r="M24" s="7"/>
    </row>
  </sheetData>
  <mergeCells count="2">
    <mergeCell ref="B2:M2"/>
    <mergeCell ref="B3:M3"/>
  </mergeCells>
  <dataValidations count="1">
    <dataValidation allowBlank="true" errorStyle="stop" operator="between" showDropDown="false" showErrorMessage="false" showInputMessage="false" sqref="E6:E23" type="list">
      <formula1>"Somme,Comptage,Moyenne"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1"/>
    <col collapsed="false" customWidth="true" hidden="false" outlineLevel="0" max="4" min="4" style="1" width="9"/>
    <col collapsed="false" customWidth="true" hidden="false" outlineLevel="0" max="5" min="5" style="1" width="11"/>
    <col collapsed="false" customWidth="true" hidden="false" outlineLevel="0" max="7" min="6" style="1" width="9"/>
    <col collapsed="false" customWidth="true" hidden="false" outlineLevel="0" max="9" min="8" style="1" width="12"/>
    <col collapsed="false" customWidth="true" hidden="false" outlineLevel="0" max="10" min="10" style="1" width="10"/>
    <col collapsed="false" customWidth="true" hidden="false" outlineLevel="0" max="11" min="11" style="1" width="12"/>
    <col collapsed="false" customWidth="true" hidden="false" outlineLevel="0" max="12" min="12" style="1" width="14"/>
  </cols>
  <sheetData>
    <row r="2" customFormat="false" ht="27.75" hidden="false" customHeight="true" outlineLevel="0" collapsed="false">
      <c r="B2" s="88" t="s">
        <v>438</v>
      </c>
      <c r="C2" s="88"/>
      <c r="D2" s="88"/>
      <c r="E2" s="88"/>
      <c r="F2" s="88"/>
      <c r="G2" s="88"/>
      <c r="H2" s="88"/>
      <c r="I2" s="88"/>
      <c r="J2" s="88"/>
      <c r="K2" s="88"/>
      <c r="L2" s="88"/>
    </row>
    <row r="3" customFormat="false" ht="21.75" hidden="false" customHeight="true" outlineLevel="0" collapsed="false">
      <c r="B3" s="89" t="s">
        <v>439</v>
      </c>
      <c r="C3" s="89"/>
      <c r="D3" s="89"/>
      <c r="E3" s="89"/>
      <c r="F3" s="89"/>
      <c r="G3" s="89"/>
      <c r="H3" s="89"/>
      <c r="I3" s="89"/>
      <c r="J3" s="89"/>
      <c r="K3" s="89"/>
      <c r="L3" s="89"/>
    </row>
    <row r="5" customFormat="false" ht="36" hidden="false" customHeight="true" outlineLevel="0" collapsed="false">
      <c r="B5" s="90" t="s">
        <v>440</v>
      </c>
      <c r="C5" s="90" t="s">
        <v>441</v>
      </c>
      <c r="D5" s="90" t="s">
        <v>34</v>
      </c>
      <c r="E5" s="90" t="s">
        <v>35</v>
      </c>
      <c r="F5" s="90" t="s">
        <v>36</v>
      </c>
      <c r="G5" s="90" t="s">
        <v>37</v>
      </c>
      <c r="H5" s="90" t="s">
        <v>32</v>
      </c>
      <c r="I5" s="90" t="s">
        <v>33</v>
      </c>
      <c r="J5" s="90" t="s">
        <v>442</v>
      </c>
      <c r="K5" s="90" t="s">
        <v>443</v>
      </c>
      <c r="L5" s="90" t="s">
        <v>71</v>
      </c>
    </row>
    <row r="6" customFormat="false" ht="24" hidden="false" customHeight="true" outlineLevel="0" collapsed="false">
      <c r="B6" s="10" t="str">
        <f aca="false">IF('3. Équipe'!C6="","",'3. Équipe'!C6)</f>
        <v>KASSIMOU Mountarou</v>
      </c>
      <c r="C6" s="52" t="n">
        <f aca="false">IF(B6="","",COUNTIF('5. Gantt EQUIFILLES'!E$6:E$200,"*"&amp;B6&amp;"*")+COUNTIF('5. Gantt EQUIFILLES'!F$6:F$200,"*"&amp;B6&amp;"*"))</f>
        <v>3</v>
      </c>
      <c r="D6" s="52" t="n">
        <f aca="false">IF(B6="","",COUNTIFS('5. Gantt EQUIFILLES'!E$6:E$200,"*"&amp;B6&amp;"*",'5. Gantt EQUIFILLES'!Q$6:Q$200,"À temps"))</f>
        <v>0</v>
      </c>
      <c r="E6" s="52" t="n">
        <f aca="false">IF(B6="","",COUNTIFS('5. Gantt EQUIFILLES'!E$6:E$200,"*"&amp;B6&amp;"*",'5. Gantt EQUIFILLES'!Q$6:Q$200,"À surveiller"))</f>
        <v>0</v>
      </c>
      <c r="F6" s="52" t="n">
        <f aca="false">IF(B6="","",COUNTIFS('5. Gantt EQUIFILLES'!E$6:E$200,"*"&amp;B6&amp;"*",'5. Gantt EQUIFILLES'!Q$6:Q$200,"En retard"))</f>
        <v>1</v>
      </c>
      <c r="G6" s="52" t="n">
        <f aca="false">IF(B6="","",COUNTIFS('5. Gantt EQUIFILLES'!E$6:E$200,"*"&amp;B6&amp;"*",'5. Gantt EQUIFILLES'!Q$6:Q$200,"Critique"))</f>
        <v>1</v>
      </c>
      <c r="H6" s="52" t="n">
        <f aca="false">IF(B6="","",COUNTIFS('5. Gantt EQUIFILLES'!E$6:E$200,"*"&amp;B6&amp;"*",'5. Gantt EQUIFILLES'!Q$6:Q$200,"Terminé à temps"))</f>
        <v>0</v>
      </c>
      <c r="I6" s="52" t="n">
        <f aca="false">IF(B6="","",COUNTIFS('5. Gantt EQUIFILLES'!E$6:E$200,"*"&amp;B6&amp;"*",'5. Gantt EQUIFILLES'!Q$6:Q$200,"Terminé hors délai"))</f>
        <v>0</v>
      </c>
      <c r="J6" s="55" t="n">
        <f aca="false">IF(B6="","",IFERROR(SUMPRODUCT(('5. Gantt EQUIFILLES'!E$6:E$200=B6)*('5. Gantt EQUIFILLES'!R$6:R$200))/SUMPRODUCT(--('5. Gantt EQUIFILLES'!E$6:E$200=B6)),0))</f>
        <v>28.3333333333333</v>
      </c>
      <c r="K6" s="91" t="n">
        <f aca="false">IF(B6="","",IFERROR(SUMPRODUCT(('5. Gantt EQUIFILLES'!E$6:E$200=B6)*('5. Gantt EQUIFILLES'!R$6:R$200)*('5. Gantt EQUIFILLES'!G$6:G$200))/SUMPRODUCT(--('5. Gantt EQUIFILLES'!E$6:E$200=B6)*('5. Gantt EQUIFILLES'!G$6:G$200))/100,0))</f>
        <v>0.314285714285714</v>
      </c>
      <c r="L6" s="27" t="str">
        <f aca="false">IF(B6="","",IF(K6&gt;=0.85,"Excellent",IF(K6&gt;=0.65,"Satisfaisant",IF(K6&gt;=0.4,"À améliorer",IF(K6&gt;0,"Insuffisant","Non évalué")))))</f>
        <v>Insuffisant</v>
      </c>
    </row>
    <row r="7" customFormat="false" ht="24" hidden="false" customHeight="true" outlineLevel="0" collapsed="false">
      <c r="B7" s="6" t="str">
        <f aca="false">IF('3. Équipe'!C7="","",'3. Équipe'!C7)</f>
        <v>OLOMONCHIN Francis</v>
      </c>
      <c r="C7" s="52" t="n">
        <f aca="false">IF(B7="","",COUNTIF('5. Gantt EQUIFILLES'!E$6:E$200,"*"&amp;B7&amp;"*")+COUNTIF('5. Gantt EQUIFILLES'!F$6:F$200,"*"&amp;B7&amp;"*"))</f>
        <v>0</v>
      </c>
      <c r="D7" s="52" t="n">
        <f aca="false">IF(B7="","",COUNTIFS('5. Gantt EQUIFILLES'!E$6:E$200,"*"&amp;B7&amp;"*",'5. Gantt EQUIFILLES'!Q$6:Q$200,"À temps"))</f>
        <v>0</v>
      </c>
      <c r="E7" s="52" t="n">
        <f aca="false">IF(B7="","",COUNTIFS('5. Gantt EQUIFILLES'!E$6:E$200,"*"&amp;B7&amp;"*",'5. Gantt EQUIFILLES'!Q$6:Q$200,"À surveiller"))</f>
        <v>0</v>
      </c>
      <c r="F7" s="52" t="n">
        <f aca="false">IF(B7="","",COUNTIFS('5. Gantt EQUIFILLES'!E$6:E$200,"*"&amp;B7&amp;"*",'5. Gantt EQUIFILLES'!Q$6:Q$200,"En retard"))</f>
        <v>0</v>
      </c>
      <c r="G7" s="52" t="n">
        <f aca="false">IF(B7="","",COUNTIFS('5. Gantt EQUIFILLES'!E$6:E$200,"*"&amp;B7&amp;"*",'5. Gantt EQUIFILLES'!Q$6:Q$200,"Critique"))</f>
        <v>0</v>
      </c>
      <c r="H7" s="52" t="n">
        <f aca="false">IF(B7="","",COUNTIFS('5. Gantt EQUIFILLES'!E$6:E$200,"*"&amp;B7&amp;"*",'5. Gantt EQUIFILLES'!Q$6:Q$200,"Terminé à temps"))</f>
        <v>0</v>
      </c>
      <c r="I7" s="52" t="n">
        <f aca="false">IF(B7="","",COUNTIFS('5. Gantt EQUIFILLES'!E$6:E$200,"*"&amp;B7&amp;"*",'5. Gantt EQUIFILLES'!Q$6:Q$200,"Terminé hors délai"))</f>
        <v>0</v>
      </c>
      <c r="J7" s="55" t="n">
        <f aca="false">IF(B7="","",IFERROR(SUMPRODUCT(('5. Gantt EQUIFILLES'!E$6:E$200=B7)*('5. Gantt EQUIFILLES'!R$6:R$200))/SUMPRODUCT(--('5. Gantt EQUIFILLES'!E$6:E$200=B7)),0))</f>
        <v>0</v>
      </c>
      <c r="K7" s="91" t="n">
        <f aca="false">IF(B7="","",IFERROR(SUMPRODUCT(('5. Gantt EQUIFILLES'!E$6:E$200=B7)*('5. Gantt EQUIFILLES'!R$6:R$200)*('5. Gantt EQUIFILLES'!G$6:G$200))/SUMPRODUCT(--('5. Gantt EQUIFILLES'!E$6:E$200=B7)*('5. Gantt EQUIFILLES'!G$6:G$200))/100,0))</f>
        <v>0</v>
      </c>
      <c r="L7" s="38" t="str">
        <f aca="false">IF(B7="","",IF(K7&gt;=0.85,"Excellent",IF(K7&gt;=0.65,"Satisfaisant",IF(K7&gt;=0.4,"À améliorer",IF(K7&gt;0,"Insuffisant","Non évalué")))))</f>
        <v>Non évalué</v>
      </c>
    </row>
    <row r="8" customFormat="false" ht="24" hidden="false" customHeight="true" outlineLevel="0" collapsed="false">
      <c r="B8" s="10" t="str">
        <f aca="false">IF('3. Équipe'!C8="","",'3. Équipe'!C8)</f>
        <v>INOUSSA Ousmanou</v>
      </c>
      <c r="C8" s="52" t="n">
        <f aca="false">IF(B8="","",COUNTIF('5. Gantt EQUIFILLES'!E$6:E$200,"*"&amp;B8&amp;"*")+COUNTIF('5. Gantt EQUIFILLES'!F$6:F$200,"*"&amp;B8&amp;"*"))</f>
        <v>0</v>
      </c>
      <c r="D8" s="52" t="n">
        <f aca="false">IF(B8="","",COUNTIFS('5. Gantt EQUIFILLES'!E$6:E$200,"*"&amp;B8&amp;"*",'5. Gantt EQUIFILLES'!Q$6:Q$200,"À temps"))</f>
        <v>0</v>
      </c>
      <c r="E8" s="52" t="n">
        <f aca="false">IF(B8="","",COUNTIFS('5. Gantt EQUIFILLES'!E$6:E$200,"*"&amp;B8&amp;"*",'5. Gantt EQUIFILLES'!Q$6:Q$200,"À surveiller"))</f>
        <v>0</v>
      </c>
      <c r="F8" s="52" t="n">
        <f aca="false">IF(B8="","",COUNTIFS('5. Gantt EQUIFILLES'!E$6:E$200,"*"&amp;B8&amp;"*",'5. Gantt EQUIFILLES'!Q$6:Q$200,"En retard"))</f>
        <v>0</v>
      </c>
      <c r="G8" s="52" t="n">
        <f aca="false">IF(B8="","",COUNTIFS('5. Gantt EQUIFILLES'!E$6:E$200,"*"&amp;B8&amp;"*",'5. Gantt EQUIFILLES'!Q$6:Q$200,"Critique"))</f>
        <v>0</v>
      </c>
      <c r="H8" s="52" t="n">
        <f aca="false">IF(B8="","",COUNTIFS('5. Gantt EQUIFILLES'!E$6:E$200,"*"&amp;B8&amp;"*",'5. Gantt EQUIFILLES'!Q$6:Q$200,"Terminé à temps"))</f>
        <v>0</v>
      </c>
      <c r="I8" s="52" t="n">
        <f aca="false">IF(B8="","",COUNTIFS('5. Gantt EQUIFILLES'!E$6:E$200,"*"&amp;B8&amp;"*",'5. Gantt EQUIFILLES'!Q$6:Q$200,"Terminé hors délai"))</f>
        <v>0</v>
      </c>
      <c r="J8" s="55" t="n">
        <f aca="false">IF(B8="","",IFERROR(SUMPRODUCT(('5. Gantt EQUIFILLES'!E$6:E$200=B8)*('5. Gantt EQUIFILLES'!R$6:R$200))/SUMPRODUCT(--('5. Gantt EQUIFILLES'!E$6:E$200=B8)),0))</f>
        <v>0</v>
      </c>
      <c r="K8" s="91" t="n">
        <f aca="false">IF(B8="","",IFERROR(SUMPRODUCT(('5. Gantt EQUIFILLES'!E$6:E$200=B8)*('5. Gantt EQUIFILLES'!R$6:R$200)*('5. Gantt EQUIFILLES'!G$6:G$200))/SUMPRODUCT(--('5. Gantt EQUIFILLES'!E$6:E$200=B8)*('5. Gantt EQUIFILLES'!G$6:G$200))/100,0))</f>
        <v>0</v>
      </c>
      <c r="L8" s="27" t="str">
        <f aca="false">IF(B8="","",IF(K8&gt;=0.85,"Excellent",IF(K8&gt;=0.65,"Satisfaisant",IF(K8&gt;=0.4,"À améliorer",IF(K8&gt;0,"Insuffisant","Non évalué")))))</f>
        <v>Non évalué</v>
      </c>
    </row>
    <row r="9" customFormat="false" ht="24" hidden="false" customHeight="true" outlineLevel="0" collapsed="false">
      <c r="B9" s="6" t="str">
        <f aca="false">IF('3. Équipe'!C9="","",'3. Équipe'!C9)</f>
        <v>BOUKARI AROUNA Rafiou</v>
      </c>
      <c r="C9" s="52" t="n">
        <f aca="false">IF(B9="","",COUNTIF('5. Gantt EQUIFILLES'!E$6:E$200,"*"&amp;B9&amp;"*")+COUNTIF('5. Gantt EQUIFILLES'!F$6:F$200,"*"&amp;B9&amp;"*"))</f>
        <v>15</v>
      </c>
      <c r="D9" s="52" t="n">
        <f aca="false">IF(B9="","",COUNTIFS('5. Gantt EQUIFILLES'!E$6:E$200,"*"&amp;B9&amp;"*",'5. Gantt EQUIFILLES'!Q$6:Q$200,"À temps"))</f>
        <v>0</v>
      </c>
      <c r="E9" s="52" t="n">
        <f aca="false">IF(B9="","",COUNTIFS('5. Gantt EQUIFILLES'!E$6:E$200,"*"&amp;B9&amp;"*",'5. Gantt EQUIFILLES'!Q$6:Q$200,"À surveiller"))</f>
        <v>0</v>
      </c>
      <c r="F9" s="52" t="n">
        <f aca="false">IF(B9="","",COUNTIFS('5. Gantt EQUIFILLES'!E$6:E$200,"*"&amp;B9&amp;"*",'5. Gantt EQUIFILLES'!Q$6:Q$200,"En retard"))</f>
        <v>6</v>
      </c>
      <c r="G9" s="52" t="n">
        <f aca="false">IF(B9="","",COUNTIFS('5. Gantt EQUIFILLES'!E$6:E$200,"*"&amp;B9&amp;"*",'5. Gantt EQUIFILLES'!Q$6:Q$200,"Critique"))</f>
        <v>1</v>
      </c>
      <c r="H9" s="52" t="n">
        <f aca="false">IF(B9="","",COUNTIFS('5. Gantt EQUIFILLES'!E$6:E$200,"*"&amp;B9&amp;"*",'5. Gantt EQUIFILLES'!Q$6:Q$200,"Terminé à temps"))</f>
        <v>0</v>
      </c>
      <c r="I9" s="52" t="n">
        <f aca="false">IF(B9="","",COUNTIFS('5. Gantt EQUIFILLES'!E$6:E$200,"*"&amp;B9&amp;"*",'5. Gantt EQUIFILLES'!Q$6:Q$200,"Terminé hors délai"))</f>
        <v>0</v>
      </c>
      <c r="J9" s="55" t="n">
        <f aca="false">IF(B9="","",IFERROR(SUMPRODUCT(('5. Gantt EQUIFILLES'!E$6:E$200=B9)*('5. Gantt EQUIFILLES'!R$6:R$200))/SUMPRODUCT(--('5. Gantt EQUIFILLES'!E$6:E$200=B9)),0))</f>
        <v>36.4285714285714</v>
      </c>
      <c r="K9" s="91" t="n">
        <f aca="false">IF(B9="","",IFERROR(SUMPRODUCT(('5. Gantt EQUIFILLES'!E$6:E$200=B9)*('5. Gantt EQUIFILLES'!R$6:R$200)*('5. Gantt EQUIFILLES'!G$6:G$200))/SUMPRODUCT(--('5. Gantt EQUIFILLES'!E$6:E$200=B9)*('5. Gantt EQUIFILLES'!G$6:G$200))/100,0))</f>
        <v>0.377272727272727</v>
      </c>
      <c r="L9" s="38" t="str">
        <f aca="false">IF(B9="","",IF(K9&gt;=0.85,"Excellent",IF(K9&gt;=0.65,"Satisfaisant",IF(K9&gt;=0.4,"À améliorer",IF(K9&gt;0,"Insuffisant","Non évalué")))))</f>
        <v>Insuffisant</v>
      </c>
    </row>
    <row r="10" customFormat="false" ht="24" hidden="false" customHeight="true" outlineLevel="0" collapsed="false">
      <c r="B10" s="10" t="str">
        <f aca="false">IF('3. Équipe'!C10="","",'3. Équipe'!C10)</f>
        <v>BA KOTO Bona Sinani Rebecca</v>
      </c>
      <c r="C10" s="52" t="n">
        <f aca="false">IF(B10="","",COUNTIF('5. Gantt EQUIFILLES'!E$6:E$200,"*"&amp;B10&amp;"*")+COUNTIF('5. Gantt EQUIFILLES'!F$6:F$200,"*"&amp;B10&amp;"*"))</f>
        <v>14</v>
      </c>
      <c r="D10" s="52" t="n">
        <f aca="false">IF(B10="","",COUNTIFS('5. Gantt EQUIFILLES'!E$6:E$200,"*"&amp;B10&amp;"*",'5. Gantt EQUIFILLES'!Q$6:Q$200,"À temps"))</f>
        <v>0</v>
      </c>
      <c r="E10" s="52" t="n">
        <f aca="false">IF(B10="","",COUNTIFS('5. Gantt EQUIFILLES'!E$6:E$200,"*"&amp;B10&amp;"*",'5. Gantt EQUIFILLES'!Q$6:Q$200,"À surveiller"))</f>
        <v>0</v>
      </c>
      <c r="F10" s="52" t="n">
        <f aca="false">IF(B10="","",COUNTIFS('5. Gantt EQUIFILLES'!E$6:E$200,"*"&amp;B10&amp;"*",'5. Gantt EQUIFILLES'!Q$6:Q$200,"En retard"))</f>
        <v>2</v>
      </c>
      <c r="G10" s="52" t="n">
        <f aca="false">IF(B10="","",COUNTIFS('5. Gantt EQUIFILLES'!E$6:E$200,"*"&amp;B10&amp;"*",'5. Gantt EQUIFILLES'!Q$6:Q$200,"Critique"))</f>
        <v>0</v>
      </c>
      <c r="H10" s="52" t="n">
        <f aca="false">IF(B10="","",COUNTIFS('5. Gantt EQUIFILLES'!E$6:E$200,"*"&amp;B10&amp;"*",'5. Gantt EQUIFILLES'!Q$6:Q$200,"Terminé à temps"))</f>
        <v>0</v>
      </c>
      <c r="I10" s="52" t="n">
        <f aca="false">IF(B10="","",COUNTIFS('5. Gantt EQUIFILLES'!E$6:E$200,"*"&amp;B10&amp;"*",'5. Gantt EQUIFILLES'!Q$6:Q$200,"Terminé hors délai"))</f>
        <v>0</v>
      </c>
      <c r="J10" s="55" t="n">
        <f aca="false">IF(B10="","",IFERROR(SUMPRODUCT(('5. Gantt EQUIFILLES'!E$6:E$200=B10)*('5. Gantt EQUIFILLES'!R$6:R$200))/SUMPRODUCT(--('5. Gantt EQUIFILLES'!E$6:E$200=B10)),0))</f>
        <v>33.3333333333333</v>
      </c>
      <c r="K10" s="91" t="n">
        <f aca="false">IF(B10="","",IFERROR(SUMPRODUCT(('5. Gantt EQUIFILLES'!E$6:E$200=B10)*('5. Gantt EQUIFILLES'!R$6:R$200)*('5. Gantt EQUIFILLES'!G$6:G$200))/SUMPRODUCT(--('5. Gantt EQUIFILLES'!E$6:E$200=B10)*('5. Gantt EQUIFILLES'!G$6:G$200))/100,0))</f>
        <v>0.34375</v>
      </c>
      <c r="L10" s="27" t="str">
        <f aca="false">IF(B10="","",IF(K10&gt;=0.85,"Excellent",IF(K10&gt;=0.65,"Satisfaisant",IF(K10&gt;=0.4,"À améliorer",IF(K10&gt;0,"Insuffisant","Non évalué")))))</f>
        <v>Insuffisant</v>
      </c>
    </row>
    <row r="11" customFormat="false" ht="24" hidden="false" customHeight="true" outlineLevel="0" collapsed="false">
      <c r="B11" s="6" t="str">
        <f aca="false">IF('3. Équipe'!C11="","",'3. Équipe'!C11)</f>
        <v>ASSOUMA Nadjibatou</v>
      </c>
      <c r="C11" s="52" t="n">
        <f aca="false">IF(B11="","",COUNTIF('5. Gantt EQUIFILLES'!E$6:E$200,"*"&amp;B11&amp;"*")+COUNTIF('5. Gantt EQUIFILLES'!F$6:F$200,"*"&amp;B11&amp;"*"))</f>
        <v>1</v>
      </c>
      <c r="D11" s="52" t="n">
        <f aca="false">IF(B11="","",COUNTIFS('5. Gantt EQUIFILLES'!E$6:E$200,"*"&amp;B11&amp;"*",'5. Gantt EQUIFILLES'!Q$6:Q$200,"À temps"))</f>
        <v>0</v>
      </c>
      <c r="E11" s="52" t="n">
        <f aca="false">IF(B11="","",COUNTIFS('5. Gantt EQUIFILLES'!E$6:E$200,"*"&amp;B11&amp;"*",'5. Gantt EQUIFILLES'!Q$6:Q$200,"À surveiller"))</f>
        <v>0</v>
      </c>
      <c r="F11" s="52" t="n">
        <f aca="false">IF(B11="","",COUNTIFS('5. Gantt EQUIFILLES'!E$6:E$200,"*"&amp;B11&amp;"*",'5. Gantt EQUIFILLES'!Q$6:Q$200,"En retard"))</f>
        <v>0</v>
      </c>
      <c r="G11" s="52" t="n">
        <f aca="false">IF(B11="","",COUNTIFS('5. Gantt EQUIFILLES'!E$6:E$200,"*"&amp;B11&amp;"*",'5. Gantt EQUIFILLES'!Q$6:Q$200,"Critique"))</f>
        <v>0</v>
      </c>
      <c r="H11" s="52" t="n">
        <f aca="false">IF(B11="","",COUNTIFS('5. Gantt EQUIFILLES'!E$6:E$200,"*"&amp;B11&amp;"*",'5. Gantt EQUIFILLES'!Q$6:Q$200,"Terminé à temps"))</f>
        <v>0</v>
      </c>
      <c r="I11" s="52" t="n">
        <f aca="false">IF(B11="","",COUNTIFS('5. Gantt EQUIFILLES'!E$6:E$200,"*"&amp;B11&amp;"*",'5. Gantt EQUIFILLES'!Q$6:Q$200,"Terminé hors délai"))</f>
        <v>0</v>
      </c>
      <c r="J11" s="55" t="n">
        <f aca="false">IF(B11="","",IFERROR(SUMPRODUCT(('5. Gantt EQUIFILLES'!E$6:E$200=B11)*('5. Gantt EQUIFILLES'!R$6:R$200))/SUMPRODUCT(--('5. Gantt EQUIFILLES'!E$6:E$200=B11)),0))</f>
        <v>0</v>
      </c>
      <c r="K11" s="91" t="n">
        <f aca="false">IF(B11="","",IFERROR(SUMPRODUCT(('5. Gantt EQUIFILLES'!E$6:E$200=B11)*('5. Gantt EQUIFILLES'!R$6:R$200)*('5. Gantt EQUIFILLES'!G$6:G$200))/SUMPRODUCT(--('5. Gantt EQUIFILLES'!E$6:E$200=B11)*('5. Gantt EQUIFILLES'!G$6:G$200))/100,0))</f>
        <v>0</v>
      </c>
      <c r="L11" s="38" t="str">
        <f aca="false">IF(B11="","",IF(K11&gt;=0.85,"Excellent",IF(K11&gt;=0.65,"Satisfaisant",IF(K11&gt;=0.4,"À améliorer",IF(K11&gt;0,"Insuffisant","Non évalué")))))</f>
        <v>Non évalué</v>
      </c>
    </row>
    <row r="12" customFormat="false" ht="24" hidden="false" customHeight="true" outlineLevel="0" collapsed="false">
      <c r="B12" s="10" t="str">
        <f aca="false">IF('3. Équipe'!C12="","",'3. Équipe'!C12)</f>
        <v>BOUANDI Pierre</v>
      </c>
      <c r="C12" s="52" t="n">
        <f aca="false">IF(B12="","",COUNTIF('5. Gantt EQUIFILLES'!E$6:E$200,"*"&amp;B12&amp;"*")+COUNTIF('5. Gantt EQUIFILLES'!F$6:F$200,"*"&amp;B12&amp;"*"))</f>
        <v>0</v>
      </c>
      <c r="D12" s="52" t="n">
        <f aca="false">IF(B12="","",COUNTIFS('5. Gantt EQUIFILLES'!E$6:E$200,"*"&amp;B12&amp;"*",'5. Gantt EQUIFILLES'!Q$6:Q$200,"À temps"))</f>
        <v>0</v>
      </c>
      <c r="E12" s="52" t="n">
        <f aca="false">IF(B12="","",COUNTIFS('5. Gantt EQUIFILLES'!E$6:E$200,"*"&amp;B12&amp;"*",'5. Gantt EQUIFILLES'!Q$6:Q$200,"À surveiller"))</f>
        <v>0</v>
      </c>
      <c r="F12" s="52" t="n">
        <f aca="false">IF(B12="","",COUNTIFS('5. Gantt EQUIFILLES'!E$6:E$200,"*"&amp;B12&amp;"*",'5. Gantt EQUIFILLES'!Q$6:Q$200,"En retard"))</f>
        <v>0</v>
      </c>
      <c r="G12" s="52" t="n">
        <f aca="false">IF(B12="","",COUNTIFS('5. Gantt EQUIFILLES'!E$6:E$200,"*"&amp;B12&amp;"*",'5. Gantt EQUIFILLES'!Q$6:Q$200,"Critique"))</f>
        <v>0</v>
      </c>
      <c r="H12" s="52" t="n">
        <f aca="false">IF(B12="","",COUNTIFS('5. Gantt EQUIFILLES'!E$6:E$200,"*"&amp;B12&amp;"*",'5. Gantt EQUIFILLES'!Q$6:Q$200,"Terminé à temps"))</f>
        <v>0</v>
      </c>
      <c r="I12" s="52" t="n">
        <f aca="false">IF(B12="","",COUNTIFS('5. Gantt EQUIFILLES'!E$6:E$200,"*"&amp;B12&amp;"*",'5. Gantt EQUIFILLES'!Q$6:Q$200,"Terminé hors délai"))</f>
        <v>0</v>
      </c>
      <c r="J12" s="55" t="n">
        <f aca="false">IF(B12="","",IFERROR(SUMPRODUCT(('5. Gantt EQUIFILLES'!E$6:E$200=B12)*('5. Gantt EQUIFILLES'!R$6:R$200))/SUMPRODUCT(--('5. Gantt EQUIFILLES'!E$6:E$200=B12)),0))</f>
        <v>0</v>
      </c>
      <c r="K12" s="91" t="n">
        <f aca="false">IF(B12="","",IFERROR(SUMPRODUCT(('5. Gantt EQUIFILLES'!E$6:E$200=B12)*('5. Gantt EQUIFILLES'!R$6:R$200)*('5. Gantt EQUIFILLES'!G$6:G$200))/SUMPRODUCT(--('5. Gantt EQUIFILLES'!E$6:E$200=B12)*('5. Gantt EQUIFILLES'!G$6:G$200))/100,0))</f>
        <v>0</v>
      </c>
      <c r="L12" s="27" t="str">
        <f aca="false">IF(B12="","",IF(K12&gt;=0.85,"Excellent",IF(K12&gt;=0.65,"Satisfaisant",IF(K12&gt;=0.4,"À améliorer",IF(K12&gt;0,"Insuffisant","Non évalué")))))</f>
        <v>Non évalué</v>
      </c>
    </row>
    <row r="13" customFormat="false" ht="24" hidden="false" customHeight="true" outlineLevel="0" collapsed="false">
      <c r="B13" s="6" t="str">
        <f aca="false">IF('3. Équipe'!C13="","",'3. Équipe'!C13)</f>
        <v>MAMA Adou Razak</v>
      </c>
      <c r="C13" s="52" t="n">
        <f aca="false">IF(B13="","",COUNTIF('5. Gantt EQUIFILLES'!E$6:E$200,"*"&amp;B13&amp;"*")+COUNTIF('5. Gantt EQUIFILLES'!F$6:F$200,"*"&amp;B13&amp;"*"))</f>
        <v>0</v>
      </c>
      <c r="D13" s="52" t="n">
        <f aca="false">IF(B13="","",COUNTIFS('5. Gantt EQUIFILLES'!E$6:E$200,"*"&amp;B13&amp;"*",'5. Gantt EQUIFILLES'!Q$6:Q$200,"À temps"))</f>
        <v>0</v>
      </c>
      <c r="E13" s="52" t="n">
        <f aca="false">IF(B13="","",COUNTIFS('5. Gantt EQUIFILLES'!E$6:E$200,"*"&amp;B13&amp;"*",'5. Gantt EQUIFILLES'!Q$6:Q$200,"À surveiller"))</f>
        <v>0</v>
      </c>
      <c r="F13" s="52" t="n">
        <f aca="false">IF(B13="","",COUNTIFS('5. Gantt EQUIFILLES'!E$6:E$200,"*"&amp;B13&amp;"*",'5. Gantt EQUIFILLES'!Q$6:Q$200,"En retard"))</f>
        <v>0</v>
      </c>
      <c r="G13" s="52" t="n">
        <f aca="false">IF(B13="","",COUNTIFS('5. Gantt EQUIFILLES'!E$6:E$200,"*"&amp;B13&amp;"*",'5. Gantt EQUIFILLES'!Q$6:Q$200,"Critique"))</f>
        <v>0</v>
      </c>
      <c r="H13" s="52" t="n">
        <f aca="false">IF(B13="","",COUNTIFS('5. Gantt EQUIFILLES'!E$6:E$200,"*"&amp;B13&amp;"*",'5. Gantt EQUIFILLES'!Q$6:Q$200,"Terminé à temps"))</f>
        <v>0</v>
      </c>
      <c r="I13" s="52" t="n">
        <f aca="false">IF(B13="","",COUNTIFS('5. Gantt EQUIFILLES'!E$6:E$200,"*"&amp;B13&amp;"*",'5. Gantt EQUIFILLES'!Q$6:Q$200,"Terminé hors délai"))</f>
        <v>0</v>
      </c>
      <c r="J13" s="55" t="n">
        <f aca="false">IF(B13="","",IFERROR(SUMPRODUCT(('5. Gantt EQUIFILLES'!E$6:E$200=B13)*('5. Gantt EQUIFILLES'!R$6:R$200))/SUMPRODUCT(--('5. Gantt EQUIFILLES'!E$6:E$200=B13)),0))</f>
        <v>0</v>
      </c>
      <c r="K13" s="91" t="n">
        <f aca="false">IF(B13="","",IFERROR(SUMPRODUCT(('5. Gantt EQUIFILLES'!E$6:E$200=B13)*('5. Gantt EQUIFILLES'!R$6:R$200)*('5. Gantt EQUIFILLES'!G$6:G$200))/SUMPRODUCT(--('5. Gantt EQUIFILLES'!E$6:E$200=B13)*('5. Gantt EQUIFILLES'!G$6:G$200))/100,0))</f>
        <v>0</v>
      </c>
      <c r="L13" s="38" t="str">
        <f aca="false">IF(B13="","",IF(K13&gt;=0.85,"Excellent",IF(K13&gt;=0.65,"Satisfaisant",IF(K13&gt;=0.4,"À améliorer",IF(K13&gt;0,"Insuffisant","Non évalué")))))</f>
        <v>Non évalué</v>
      </c>
    </row>
    <row r="14" customFormat="false" ht="24" hidden="false" customHeight="true" outlineLevel="0" collapsed="false">
      <c r="B14" s="10" t="str">
        <f aca="false">IF('3. Équipe'!C14="","",'3. Équipe'!C14)</f>
        <v>ASSOUMA Amida</v>
      </c>
      <c r="C14" s="52" t="n">
        <f aca="false">IF(B14="","",COUNTIF('5. Gantt EQUIFILLES'!E$6:E$200,"*"&amp;B14&amp;"*")+COUNTIF('5. Gantt EQUIFILLES'!F$6:F$200,"*"&amp;B14&amp;"*"))</f>
        <v>0</v>
      </c>
      <c r="D14" s="52" t="n">
        <f aca="false">IF(B14="","",COUNTIFS('5. Gantt EQUIFILLES'!E$6:E$200,"*"&amp;B14&amp;"*",'5. Gantt EQUIFILLES'!Q$6:Q$200,"À temps"))</f>
        <v>0</v>
      </c>
      <c r="E14" s="52" t="n">
        <f aca="false">IF(B14="","",COUNTIFS('5. Gantt EQUIFILLES'!E$6:E$200,"*"&amp;B14&amp;"*",'5. Gantt EQUIFILLES'!Q$6:Q$200,"À surveiller"))</f>
        <v>0</v>
      </c>
      <c r="F14" s="52" t="n">
        <f aca="false">IF(B14="","",COUNTIFS('5. Gantt EQUIFILLES'!E$6:E$200,"*"&amp;B14&amp;"*",'5. Gantt EQUIFILLES'!Q$6:Q$200,"En retard"))</f>
        <v>0</v>
      </c>
      <c r="G14" s="52" t="n">
        <f aca="false">IF(B14="","",COUNTIFS('5. Gantt EQUIFILLES'!E$6:E$200,"*"&amp;B14&amp;"*",'5. Gantt EQUIFILLES'!Q$6:Q$200,"Critique"))</f>
        <v>0</v>
      </c>
      <c r="H14" s="52" t="n">
        <f aca="false">IF(B14="","",COUNTIFS('5. Gantt EQUIFILLES'!E$6:E$200,"*"&amp;B14&amp;"*",'5. Gantt EQUIFILLES'!Q$6:Q$200,"Terminé à temps"))</f>
        <v>0</v>
      </c>
      <c r="I14" s="52" t="n">
        <f aca="false">IF(B14="","",COUNTIFS('5. Gantt EQUIFILLES'!E$6:E$200,"*"&amp;B14&amp;"*",'5. Gantt EQUIFILLES'!Q$6:Q$200,"Terminé hors délai"))</f>
        <v>0</v>
      </c>
      <c r="J14" s="55" t="n">
        <f aca="false">IF(B14="","",IFERROR(SUMPRODUCT(('5. Gantt EQUIFILLES'!E$6:E$200=B14)*('5. Gantt EQUIFILLES'!R$6:R$200))/SUMPRODUCT(--('5. Gantt EQUIFILLES'!E$6:E$200=B14)),0))</f>
        <v>0</v>
      </c>
      <c r="K14" s="91" t="n">
        <f aca="false">IF(B14="","",IFERROR(SUMPRODUCT(('5. Gantt EQUIFILLES'!E$6:E$200=B14)*('5. Gantt EQUIFILLES'!R$6:R$200)*('5. Gantt EQUIFILLES'!G$6:G$200))/SUMPRODUCT(--('5. Gantt EQUIFILLES'!E$6:E$200=B14)*('5. Gantt EQUIFILLES'!G$6:G$200))/100,0))</f>
        <v>0</v>
      </c>
      <c r="L14" s="27" t="str">
        <f aca="false">IF(B14="","",IF(K14&gt;=0.85,"Excellent",IF(K14&gt;=0.65,"Satisfaisant",IF(K14&gt;=0.4,"À améliorer",IF(K14&gt;0,"Insuffisant","Non évalué")))))</f>
        <v>Non évalué</v>
      </c>
    </row>
    <row r="15" customFormat="false" ht="24" hidden="false" customHeight="true" outlineLevel="0" collapsed="false">
      <c r="B15" s="6" t="str">
        <f aca="false">IF('3. Équipe'!C15="","",'3. Équipe'!C15)</f>
        <v>AGONNOUDE Murielle</v>
      </c>
      <c r="C15" s="52" t="n">
        <f aca="false">IF(B15="","",COUNTIF('5. Gantt EQUIFILLES'!E$6:E$200,"*"&amp;B15&amp;"*")+COUNTIF('5. Gantt EQUIFILLES'!F$6:F$200,"*"&amp;B15&amp;"*"))</f>
        <v>0</v>
      </c>
      <c r="D15" s="52" t="n">
        <f aca="false">IF(B15="","",COUNTIFS('5. Gantt EQUIFILLES'!E$6:E$200,"*"&amp;B15&amp;"*",'5. Gantt EQUIFILLES'!Q$6:Q$200,"À temps"))</f>
        <v>0</v>
      </c>
      <c r="E15" s="52" t="n">
        <f aca="false">IF(B15="","",COUNTIFS('5. Gantt EQUIFILLES'!E$6:E$200,"*"&amp;B15&amp;"*",'5. Gantt EQUIFILLES'!Q$6:Q$200,"À surveiller"))</f>
        <v>0</v>
      </c>
      <c r="F15" s="52" t="n">
        <f aca="false">IF(B15="","",COUNTIFS('5. Gantt EQUIFILLES'!E$6:E$200,"*"&amp;B15&amp;"*",'5. Gantt EQUIFILLES'!Q$6:Q$200,"En retard"))</f>
        <v>0</v>
      </c>
      <c r="G15" s="52" t="n">
        <f aca="false">IF(B15="","",COUNTIFS('5. Gantt EQUIFILLES'!E$6:E$200,"*"&amp;B15&amp;"*",'5. Gantt EQUIFILLES'!Q$6:Q$200,"Critique"))</f>
        <v>0</v>
      </c>
      <c r="H15" s="52" t="n">
        <f aca="false">IF(B15="","",COUNTIFS('5. Gantt EQUIFILLES'!E$6:E$200,"*"&amp;B15&amp;"*",'5. Gantt EQUIFILLES'!Q$6:Q$200,"Terminé à temps"))</f>
        <v>0</v>
      </c>
      <c r="I15" s="52" t="n">
        <f aca="false">IF(B15="","",COUNTIFS('5. Gantt EQUIFILLES'!E$6:E$200,"*"&amp;B15&amp;"*",'5. Gantt EQUIFILLES'!Q$6:Q$200,"Terminé hors délai"))</f>
        <v>0</v>
      </c>
      <c r="J15" s="55" t="n">
        <f aca="false">IF(B15="","",IFERROR(SUMPRODUCT(('5. Gantt EQUIFILLES'!E$6:E$200=B15)*('5. Gantt EQUIFILLES'!R$6:R$200))/SUMPRODUCT(--('5. Gantt EQUIFILLES'!E$6:E$200=B15)),0))</f>
        <v>0</v>
      </c>
      <c r="K15" s="91" t="n">
        <f aca="false">IF(B15="","",IFERROR(SUMPRODUCT(('5. Gantt EQUIFILLES'!E$6:E$200=B15)*('5. Gantt EQUIFILLES'!R$6:R$200)*('5. Gantt EQUIFILLES'!G$6:G$200))/SUMPRODUCT(--('5. Gantt EQUIFILLES'!E$6:E$200=B15)*('5. Gantt EQUIFILLES'!G$6:G$200))/100,0))</f>
        <v>0</v>
      </c>
      <c r="L15" s="38" t="str">
        <f aca="false">IF(B15="","",IF(K15&gt;=0.85,"Excellent",IF(K15&gt;=0.65,"Satisfaisant",IF(K15&gt;=0.4,"À améliorer",IF(K15&gt;0,"Insuffisant","Non évalué")))))</f>
        <v>Non évalué</v>
      </c>
    </row>
    <row r="16" customFormat="false" ht="24" hidden="false" customHeight="true" outlineLevel="0" collapsed="false">
      <c r="B16" s="10" t="str">
        <f aca="false">IF('3. Équipe'!C16="","",'3. Équipe'!C16)</f>
        <v>AMADOU Nafissatou</v>
      </c>
      <c r="C16" s="52" t="n">
        <f aca="false">IF(B16="","",COUNTIF('5. Gantt EQUIFILLES'!E$6:E$200,"*"&amp;B16&amp;"*")+COUNTIF('5. Gantt EQUIFILLES'!F$6:F$200,"*"&amp;B16&amp;"*"))</f>
        <v>2</v>
      </c>
      <c r="D16" s="52" t="n">
        <f aca="false">IF(B16="","",COUNTIFS('5. Gantt EQUIFILLES'!E$6:E$200,"*"&amp;B16&amp;"*",'5. Gantt EQUIFILLES'!Q$6:Q$200,"À temps"))</f>
        <v>0</v>
      </c>
      <c r="E16" s="52" t="n">
        <f aca="false">IF(B16="","",COUNTIFS('5. Gantt EQUIFILLES'!E$6:E$200,"*"&amp;B16&amp;"*",'5. Gantt EQUIFILLES'!Q$6:Q$200,"À surveiller"))</f>
        <v>0</v>
      </c>
      <c r="F16" s="52" t="n">
        <f aca="false">IF(B16="","",COUNTIFS('5. Gantt EQUIFILLES'!E$6:E$200,"*"&amp;B16&amp;"*",'5. Gantt EQUIFILLES'!Q$6:Q$200,"En retard"))</f>
        <v>0</v>
      </c>
      <c r="G16" s="52" t="n">
        <f aca="false">IF(B16="","",COUNTIFS('5. Gantt EQUIFILLES'!E$6:E$200,"*"&amp;B16&amp;"*",'5. Gantt EQUIFILLES'!Q$6:Q$200,"Critique"))</f>
        <v>0</v>
      </c>
      <c r="H16" s="52" t="n">
        <f aca="false">IF(B16="","",COUNTIFS('5. Gantt EQUIFILLES'!E$6:E$200,"*"&amp;B16&amp;"*",'5. Gantt EQUIFILLES'!Q$6:Q$200,"Terminé à temps"))</f>
        <v>0</v>
      </c>
      <c r="I16" s="52" t="n">
        <f aca="false">IF(B16="","",COUNTIFS('5. Gantt EQUIFILLES'!E$6:E$200,"*"&amp;B16&amp;"*",'5. Gantt EQUIFILLES'!Q$6:Q$200,"Terminé hors délai"))</f>
        <v>0</v>
      </c>
      <c r="J16" s="55" t="n">
        <f aca="false">IF(B16="","",IFERROR(SUMPRODUCT(('5. Gantt EQUIFILLES'!E$6:E$200=B16)*('5. Gantt EQUIFILLES'!R$6:R$200))/SUMPRODUCT(--('5. Gantt EQUIFILLES'!E$6:E$200=B16)),0))</f>
        <v>0</v>
      </c>
      <c r="K16" s="91" t="n">
        <f aca="false">IF(B16="","",IFERROR(SUMPRODUCT(('5. Gantt EQUIFILLES'!E$6:E$200=B16)*('5. Gantt EQUIFILLES'!R$6:R$200)*('5. Gantt EQUIFILLES'!G$6:G$200))/SUMPRODUCT(--('5. Gantt EQUIFILLES'!E$6:E$200=B16)*('5. Gantt EQUIFILLES'!G$6:G$200))/100,0))</f>
        <v>0</v>
      </c>
      <c r="L16" s="27" t="str">
        <f aca="false">IF(B16="","",IF(K16&gt;=0.85,"Excellent",IF(K16&gt;=0.65,"Satisfaisant",IF(K16&gt;=0.4,"À améliorer",IF(K16&gt;0,"Insuffisant","Non évalué")))))</f>
        <v>Non évalué</v>
      </c>
    </row>
    <row r="17" customFormat="false" ht="24" hidden="false" customHeight="true" outlineLevel="0" collapsed="false">
      <c r="B17" s="6" t="str">
        <f aca="false">IF('3. Équipe'!C17="","",'3. Équipe'!C17)</f>
        <v>SARE KOMME Joséphine</v>
      </c>
      <c r="C17" s="52" t="n">
        <f aca="false">IF(B17="","",COUNTIF('5. Gantt EQUIFILLES'!E$6:E$200,"*"&amp;B17&amp;"*")+COUNTIF('5. Gantt EQUIFILLES'!F$6:F$200,"*"&amp;B17&amp;"*"))</f>
        <v>0</v>
      </c>
      <c r="D17" s="52" t="n">
        <f aca="false">IF(B17="","",COUNTIFS('5. Gantt EQUIFILLES'!E$6:E$200,"*"&amp;B17&amp;"*",'5. Gantt EQUIFILLES'!Q$6:Q$200,"À temps"))</f>
        <v>0</v>
      </c>
      <c r="E17" s="52" t="n">
        <f aca="false">IF(B17="","",COUNTIFS('5. Gantt EQUIFILLES'!E$6:E$200,"*"&amp;B17&amp;"*",'5. Gantt EQUIFILLES'!Q$6:Q$200,"À surveiller"))</f>
        <v>0</v>
      </c>
      <c r="F17" s="52" t="n">
        <f aca="false">IF(B17="","",COUNTIFS('5. Gantt EQUIFILLES'!E$6:E$200,"*"&amp;B17&amp;"*",'5. Gantt EQUIFILLES'!Q$6:Q$200,"En retard"))</f>
        <v>0</v>
      </c>
      <c r="G17" s="52" t="n">
        <f aca="false">IF(B17="","",COUNTIFS('5. Gantt EQUIFILLES'!E$6:E$200,"*"&amp;B17&amp;"*",'5. Gantt EQUIFILLES'!Q$6:Q$200,"Critique"))</f>
        <v>0</v>
      </c>
      <c r="H17" s="52" t="n">
        <f aca="false">IF(B17="","",COUNTIFS('5. Gantt EQUIFILLES'!E$6:E$200,"*"&amp;B17&amp;"*",'5. Gantt EQUIFILLES'!Q$6:Q$200,"Terminé à temps"))</f>
        <v>0</v>
      </c>
      <c r="I17" s="52" t="n">
        <f aca="false">IF(B17="","",COUNTIFS('5. Gantt EQUIFILLES'!E$6:E$200,"*"&amp;B17&amp;"*",'5. Gantt EQUIFILLES'!Q$6:Q$200,"Terminé hors délai"))</f>
        <v>0</v>
      </c>
      <c r="J17" s="55" t="n">
        <f aca="false">IF(B17="","",IFERROR(SUMPRODUCT(('5. Gantt EQUIFILLES'!E$6:E$200=B17)*('5. Gantt EQUIFILLES'!R$6:R$200))/SUMPRODUCT(--('5. Gantt EQUIFILLES'!E$6:E$200=B17)),0))</f>
        <v>0</v>
      </c>
      <c r="K17" s="91" t="n">
        <f aca="false">IF(B17="","",IFERROR(SUMPRODUCT(('5. Gantt EQUIFILLES'!E$6:E$200=B17)*('5. Gantt EQUIFILLES'!R$6:R$200)*('5. Gantt EQUIFILLES'!G$6:G$200))/SUMPRODUCT(--('5. Gantt EQUIFILLES'!E$6:E$200=B17)*('5. Gantt EQUIFILLES'!G$6:G$200))/100,0))</f>
        <v>0</v>
      </c>
      <c r="L17" s="38" t="str">
        <f aca="false">IF(B17="","",IF(K17&gt;=0.85,"Excellent",IF(K17&gt;=0.65,"Satisfaisant",IF(K17&gt;=0.4,"À améliorer",IF(K17&gt;0,"Insuffisant","Non évalué")))))</f>
        <v>Non évalué</v>
      </c>
    </row>
    <row r="18" customFormat="false" ht="24" hidden="false" customHeight="true" outlineLevel="0" collapsed="false">
      <c r="B18" s="10" t="str">
        <f aca="false">IF('3. Équipe'!C18="","",'3. Équipe'!C18)</f>
        <v>GOUDI Simoni</v>
      </c>
      <c r="C18" s="52" t="n">
        <f aca="false">IF(B18="","",COUNTIF('5. Gantt EQUIFILLES'!E$6:E$200,"*"&amp;B18&amp;"*")+COUNTIF('5. Gantt EQUIFILLES'!F$6:F$200,"*"&amp;B18&amp;"*"))</f>
        <v>0</v>
      </c>
      <c r="D18" s="52" t="n">
        <f aca="false">IF(B18="","",COUNTIFS('5. Gantt EQUIFILLES'!E$6:E$200,"*"&amp;B18&amp;"*",'5. Gantt EQUIFILLES'!Q$6:Q$200,"À temps"))</f>
        <v>0</v>
      </c>
      <c r="E18" s="52" t="n">
        <f aca="false">IF(B18="","",COUNTIFS('5. Gantt EQUIFILLES'!E$6:E$200,"*"&amp;B18&amp;"*",'5. Gantt EQUIFILLES'!Q$6:Q$200,"À surveiller"))</f>
        <v>0</v>
      </c>
      <c r="F18" s="52" t="n">
        <f aca="false">IF(B18="","",COUNTIFS('5. Gantt EQUIFILLES'!E$6:E$200,"*"&amp;B18&amp;"*",'5. Gantt EQUIFILLES'!Q$6:Q$200,"En retard"))</f>
        <v>0</v>
      </c>
      <c r="G18" s="52" t="n">
        <f aca="false">IF(B18="","",COUNTIFS('5. Gantt EQUIFILLES'!E$6:E$200,"*"&amp;B18&amp;"*",'5. Gantt EQUIFILLES'!Q$6:Q$200,"Critique"))</f>
        <v>0</v>
      </c>
      <c r="H18" s="52" t="n">
        <f aca="false">IF(B18="","",COUNTIFS('5. Gantt EQUIFILLES'!E$6:E$200,"*"&amp;B18&amp;"*",'5. Gantt EQUIFILLES'!Q$6:Q$200,"Terminé à temps"))</f>
        <v>0</v>
      </c>
      <c r="I18" s="52" t="n">
        <f aca="false">IF(B18="","",COUNTIFS('5. Gantt EQUIFILLES'!E$6:E$200,"*"&amp;B18&amp;"*",'5. Gantt EQUIFILLES'!Q$6:Q$200,"Terminé hors délai"))</f>
        <v>0</v>
      </c>
      <c r="J18" s="55" t="n">
        <f aca="false">IF(B18="","",IFERROR(SUMPRODUCT(('5. Gantt EQUIFILLES'!E$6:E$200=B18)*('5. Gantt EQUIFILLES'!R$6:R$200))/SUMPRODUCT(--('5. Gantt EQUIFILLES'!E$6:E$200=B18)),0))</f>
        <v>0</v>
      </c>
      <c r="K18" s="91" t="n">
        <f aca="false">IF(B18="","",IFERROR(SUMPRODUCT(('5. Gantt EQUIFILLES'!E$6:E$200=B18)*('5. Gantt EQUIFILLES'!R$6:R$200)*('5. Gantt EQUIFILLES'!G$6:G$200))/SUMPRODUCT(--('5. Gantt EQUIFILLES'!E$6:E$200=B18)*('5. Gantt EQUIFILLES'!G$6:G$200))/100,0))</f>
        <v>0</v>
      </c>
      <c r="L18" s="27" t="str">
        <f aca="false">IF(B18="","",IF(K18&gt;=0.85,"Excellent",IF(K18&gt;=0.65,"Satisfaisant",IF(K18&gt;=0.4,"À améliorer",IF(K18&gt;0,"Insuffisant","Non évalué")))))</f>
        <v>Non évalué</v>
      </c>
    </row>
    <row r="19" customFormat="false" ht="24" hidden="false" customHeight="true" outlineLevel="0" collapsed="false">
      <c r="B19" s="6" t="str">
        <f aca="false">IF('3. Équipe'!C19="","",'3. Équipe'!C19)</f>
        <v/>
      </c>
      <c r="C19" s="52" t="str">
        <f aca="false">IF(B19="","",COUNTIF('5. Gantt EQUIFILLES'!E$6:E$200,"*"&amp;B19&amp;"*")+COUNTIF('5. Gantt EQUIFILLES'!F$6:F$200,"*"&amp;B19&amp;"*"))</f>
        <v/>
      </c>
      <c r="D19" s="52" t="str">
        <f aca="false">IF(B19="","",COUNTIFS('5. Gantt EQUIFILLES'!E$6:E$200,"*"&amp;B19&amp;"*",'5. Gantt EQUIFILLES'!Q$6:Q$200,"À temps"))</f>
        <v/>
      </c>
      <c r="E19" s="52" t="str">
        <f aca="false">IF(B19="","",COUNTIFS('5. Gantt EQUIFILLES'!E$6:E$200,"*"&amp;B19&amp;"*",'5. Gantt EQUIFILLES'!Q$6:Q$200,"À surveiller"))</f>
        <v/>
      </c>
      <c r="F19" s="52" t="str">
        <f aca="false">IF(B19="","",COUNTIFS('5. Gantt EQUIFILLES'!E$6:E$200,"*"&amp;B19&amp;"*",'5. Gantt EQUIFILLES'!Q$6:Q$200,"En retard"))</f>
        <v/>
      </c>
      <c r="G19" s="52" t="str">
        <f aca="false">IF(B19="","",COUNTIFS('5. Gantt EQUIFILLES'!E$6:E$200,"*"&amp;B19&amp;"*",'5. Gantt EQUIFILLES'!Q$6:Q$200,"Critique"))</f>
        <v/>
      </c>
      <c r="H19" s="52" t="str">
        <f aca="false">IF(B19="","",COUNTIFS('5. Gantt EQUIFILLES'!E$6:E$200,"*"&amp;B19&amp;"*",'5. Gantt EQUIFILLES'!Q$6:Q$200,"Terminé à temps"))</f>
        <v/>
      </c>
      <c r="I19" s="52" t="str">
        <f aca="false">IF(B19="","",COUNTIFS('5. Gantt EQUIFILLES'!E$6:E$200,"*"&amp;B19&amp;"*",'5. Gantt EQUIFILLES'!Q$6:Q$200,"Terminé hors délai"))</f>
        <v/>
      </c>
      <c r="J19" s="55" t="str">
        <f aca="false">IF(B19="","",IFERROR(SUMPRODUCT(('5. Gantt EQUIFILLES'!E$6:E$200=B19)*('5. Gantt EQUIFILLES'!R$6:R$200))/SUMPRODUCT(--('5. Gantt EQUIFILLES'!E$6:E$200=B19)),0))</f>
        <v/>
      </c>
      <c r="K19" s="91" t="str">
        <f aca="false">IF(B19="","",IFERROR(SUMPRODUCT(('5. Gantt EQUIFILLES'!E$6:E$200=B19)*('5. Gantt EQUIFILLES'!R$6:R$200)*('5. Gantt EQUIFILLES'!G$6:G$200))/SUMPRODUCT(--('5. Gantt EQUIFILLES'!E$6:E$200=B19)*('5. Gantt EQUIFILLES'!G$6:G$200))/100,0))</f>
        <v/>
      </c>
      <c r="L19" s="38" t="str">
        <f aca="false">IF(B19="","",IF(K19&gt;=0.85,"Excellent",IF(K19&gt;=0.65,"Satisfaisant",IF(K19&gt;=0.4,"À améliorer",IF(K19&gt;0,"Insuffisant","Non évalué")))))</f>
        <v/>
      </c>
    </row>
    <row r="20" customFormat="false" ht="24" hidden="false" customHeight="true" outlineLevel="0" collapsed="false">
      <c r="B20" s="10" t="str">
        <f aca="false">IF('3. Équipe'!C20="","",'3. Équipe'!C20)</f>
        <v/>
      </c>
      <c r="C20" s="52" t="str">
        <f aca="false">IF(B20="","",COUNTIF('5. Gantt EQUIFILLES'!E$6:E$200,"*"&amp;B20&amp;"*")+COUNTIF('5. Gantt EQUIFILLES'!F$6:F$200,"*"&amp;B20&amp;"*"))</f>
        <v/>
      </c>
      <c r="D20" s="52" t="str">
        <f aca="false">IF(B20="","",COUNTIFS('5. Gantt EQUIFILLES'!E$6:E$200,"*"&amp;B20&amp;"*",'5. Gantt EQUIFILLES'!Q$6:Q$200,"À temps"))</f>
        <v/>
      </c>
      <c r="E20" s="52" t="str">
        <f aca="false">IF(B20="","",COUNTIFS('5. Gantt EQUIFILLES'!E$6:E$200,"*"&amp;B20&amp;"*",'5. Gantt EQUIFILLES'!Q$6:Q$200,"À surveiller"))</f>
        <v/>
      </c>
      <c r="F20" s="52" t="str">
        <f aca="false">IF(B20="","",COUNTIFS('5. Gantt EQUIFILLES'!E$6:E$200,"*"&amp;B20&amp;"*",'5. Gantt EQUIFILLES'!Q$6:Q$200,"En retard"))</f>
        <v/>
      </c>
      <c r="G20" s="52" t="str">
        <f aca="false">IF(B20="","",COUNTIFS('5. Gantt EQUIFILLES'!E$6:E$200,"*"&amp;B20&amp;"*",'5. Gantt EQUIFILLES'!Q$6:Q$200,"Critique"))</f>
        <v/>
      </c>
      <c r="H20" s="52" t="str">
        <f aca="false">IF(B20="","",COUNTIFS('5. Gantt EQUIFILLES'!E$6:E$200,"*"&amp;B20&amp;"*",'5. Gantt EQUIFILLES'!Q$6:Q$200,"Terminé à temps"))</f>
        <v/>
      </c>
      <c r="I20" s="52" t="str">
        <f aca="false">IF(B20="","",COUNTIFS('5. Gantt EQUIFILLES'!E$6:E$200,"*"&amp;B20&amp;"*",'5. Gantt EQUIFILLES'!Q$6:Q$200,"Terminé hors délai"))</f>
        <v/>
      </c>
      <c r="J20" s="55" t="str">
        <f aca="false">IF(B20="","",IFERROR(SUMPRODUCT(('5. Gantt EQUIFILLES'!E$6:E$200=B20)*('5. Gantt EQUIFILLES'!R$6:R$200))/SUMPRODUCT(--('5. Gantt EQUIFILLES'!E$6:E$200=B20)),0))</f>
        <v/>
      </c>
      <c r="K20" s="91" t="str">
        <f aca="false">IF(B20="","",IFERROR(SUMPRODUCT(('5. Gantt EQUIFILLES'!E$6:E$200=B20)*('5. Gantt EQUIFILLES'!R$6:R$200)*('5. Gantt EQUIFILLES'!G$6:G$200))/SUMPRODUCT(--('5. Gantt EQUIFILLES'!E$6:E$200=B20)*('5. Gantt EQUIFILLES'!G$6:G$200))/100,0))</f>
        <v/>
      </c>
      <c r="L20" s="27" t="str">
        <f aca="false">IF(B20="","",IF(K20&gt;=0.85,"Excellent",IF(K20&gt;=0.65,"Satisfaisant",IF(K20&gt;=0.4,"À améliorer",IF(K20&gt;0,"Insuffisant","Non évalué")))))</f>
        <v/>
      </c>
    </row>
    <row r="21" customFormat="false" ht="24" hidden="false" customHeight="true" outlineLevel="0" collapsed="false">
      <c r="B21" s="6" t="str">
        <f aca="false">IF('3. Équipe'!C21="","",'3. Équipe'!C21)</f>
        <v/>
      </c>
      <c r="C21" s="52" t="str">
        <f aca="false">IF(B21="","",COUNTIF('5. Gantt EQUIFILLES'!E$6:E$200,"*"&amp;B21&amp;"*")+COUNTIF('5. Gantt EQUIFILLES'!F$6:F$200,"*"&amp;B21&amp;"*"))</f>
        <v/>
      </c>
      <c r="D21" s="52" t="str">
        <f aca="false">IF(B21="","",COUNTIFS('5. Gantt EQUIFILLES'!E$6:E$200,"*"&amp;B21&amp;"*",'5. Gantt EQUIFILLES'!Q$6:Q$200,"À temps"))</f>
        <v/>
      </c>
      <c r="E21" s="52" t="str">
        <f aca="false">IF(B21="","",COUNTIFS('5. Gantt EQUIFILLES'!E$6:E$200,"*"&amp;B21&amp;"*",'5. Gantt EQUIFILLES'!Q$6:Q$200,"À surveiller"))</f>
        <v/>
      </c>
      <c r="F21" s="52" t="str">
        <f aca="false">IF(B21="","",COUNTIFS('5. Gantt EQUIFILLES'!E$6:E$200,"*"&amp;B21&amp;"*",'5. Gantt EQUIFILLES'!Q$6:Q$200,"En retard"))</f>
        <v/>
      </c>
      <c r="G21" s="52" t="str">
        <f aca="false">IF(B21="","",COUNTIFS('5. Gantt EQUIFILLES'!E$6:E$200,"*"&amp;B21&amp;"*",'5. Gantt EQUIFILLES'!Q$6:Q$200,"Critique"))</f>
        <v/>
      </c>
      <c r="H21" s="52" t="str">
        <f aca="false">IF(B21="","",COUNTIFS('5. Gantt EQUIFILLES'!E$6:E$200,"*"&amp;B21&amp;"*",'5. Gantt EQUIFILLES'!Q$6:Q$200,"Terminé à temps"))</f>
        <v/>
      </c>
      <c r="I21" s="52" t="str">
        <f aca="false">IF(B21="","",COUNTIFS('5. Gantt EQUIFILLES'!E$6:E$200,"*"&amp;B21&amp;"*",'5. Gantt EQUIFILLES'!Q$6:Q$200,"Terminé hors délai"))</f>
        <v/>
      </c>
      <c r="J21" s="55" t="str">
        <f aca="false">IF(B21="","",IFERROR(SUMPRODUCT(('5. Gantt EQUIFILLES'!E$6:E$200=B21)*('5. Gantt EQUIFILLES'!R$6:R$200))/SUMPRODUCT(--('5. Gantt EQUIFILLES'!E$6:E$200=B21)),0))</f>
        <v/>
      </c>
      <c r="K21" s="91" t="str">
        <f aca="false">IF(B21="","",IFERROR(SUMPRODUCT(('5. Gantt EQUIFILLES'!E$6:E$200=B21)*('5. Gantt EQUIFILLES'!R$6:R$200)*('5. Gantt EQUIFILLES'!G$6:G$200))/SUMPRODUCT(--('5. Gantt EQUIFILLES'!E$6:E$200=B21)*('5. Gantt EQUIFILLES'!G$6:G$200))/100,0))</f>
        <v/>
      </c>
      <c r="L21" s="38" t="str">
        <f aca="false">IF(B21="","",IF(K21&gt;=0.85,"Excellent",IF(K21&gt;=0.65,"Satisfaisant",IF(K21&gt;=0.4,"À améliorer",IF(K21&gt;0,"Insuffisant","Non évalué")))))</f>
        <v/>
      </c>
    </row>
    <row r="22" customFormat="false" ht="24" hidden="false" customHeight="true" outlineLevel="0" collapsed="false">
      <c r="B22" s="10" t="str">
        <f aca="false">IF('3. Équipe'!C22="","",'3. Équipe'!C22)</f>
        <v/>
      </c>
      <c r="C22" s="52" t="str">
        <f aca="false">IF(B22="","",COUNTIF('5. Gantt EQUIFILLES'!E$6:E$200,"*"&amp;B22&amp;"*")+COUNTIF('5. Gantt EQUIFILLES'!F$6:F$200,"*"&amp;B22&amp;"*"))</f>
        <v/>
      </c>
      <c r="D22" s="52" t="str">
        <f aca="false">IF(B22="","",COUNTIFS('5. Gantt EQUIFILLES'!E$6:E$200,"*"&amp;B22&amp;"*",'5. Gantt EQUIFILLES'!Q$6:Q$200,"À temps"))</f>
        <v/>
      </c>
      <c r="E22" s="52" t="str">
        <f aca="false">IF(B22="","",COUNTIFS('5. Gantt EQUIFILLES'!E$6:E$200,"*"&amp;B22&amp;"*",'5. Gantt EQUIFILLES'!Q$6:Q$200,"À surveiller"))</f>
        <v/>
      </c>
      <c r="F22" s="52" t="str">
        <f aca="false">IF(B22="","",COUNTIFS('5. Gantt EQUIFILLES'!E$6:E$200,"*"&amp;B22&amp;"*",'5. Gantt EQUIFILLES'!Q$6:Q$200,"En retard"))</f>
        <v/>
      </c>
      <c r="G22" s="52" t="str">
        <f aca="false">IF(B22="","",COUNTIFS('5. Gantt EQUIFILLES'!E$6:E$200,"*"&amp;B22&amp;"*",'5. Gantt EQUIFILLES'!Q$6:Q$200,"Critique"))</f>
        <v/>
      </c>
      <c r="H22" s="52" t="str">
        <f aca="false">IF(B22="","",COUNTIFS('5. Gantt EQUIFILLES'!E$6:E$200,"*"&amp;B22&amp;"*",'5. Gantt EQUIFILLES'!Q$6:Q$200,"Terminé à temps"))</f>
        <v/>
      </c>
      <c r="I22" s="52" t="str">
        <f aca="false">IF(B22="","",COUNTIFS('5. Gantt EQUIFILLES'!E$6:E$200,"*"&amp;B22&amp;"*",'5. Gantt EQUIFILLES'!Q$6:Q$200,"Terminé hors délai"))</f>
        <v/>
      </c>
      <c r="J22" s="55" t="str">
        <f aca="false">IF(B22="","",IFERROR(SUMPRODUCT(('5. Gantt EQUIFILLES'!E$6:E$200=B22)*('5. Gantt EQUIFILLES'!R$6:R$200))/SUMPRODUCT(--('5. Gantt EQUIFILLES'!E$6:E$200=B22)),0))</f>
        <v/>
      </c>
      <c r="K22" s="91" t="str">
        <f aca="false">IF(B22="","",IFERROR(SUMPRODUCT(('5. Gantt EQUIFILLES'!E$6:E$200=B22)*('5. Gantt EQUIFILLES'!R$6:R$200)*('5. Gantt EQUIFILLES'!G$6:G$200))/SUMPRODUCT(--('5. Gantt EQUIFILLES'!E$6:E$200=B22)*('5. Gantt EQUIFILLES'!G$6:G$200))/100,0))</f>
        <v/>
      </c>
      <c r="L22" s="27" t="str">
        <f aca="false">IF(B22="","",IF(K22&gt;=0.85,"Excellent",IF(K22&gt;=0.65,"Satisfaisant",IF(K22&gt;=0.4,"À améliorer",IF(K22&gt;0,"Insuffisant","Non évalué")))))</f>
        <v/>
      </c>
    </row>
    <row r="23" customFormat="false" ht="24" hidden="false" customHeight="true" outlineLevel="0" collapsed="false">
      <c r="B23" s="6" t="str">
        <f aca="false">IF('3. Équipe'!C23="","",'3. Équipe'!C23)</f>
        <v/>
      </c>
      <c r="C23" s="52" t="str">
        <f aca="false">IF(B23="","",COUNTIF('5. Gantt EQUIFILLES'!E$6:E$200,"*"&amp;B23&amp;"*")+COUNTIF('5. Gantt EQUIFILLES'!F$6:F$200,"*"&amp;B23&amp;"*"))</f>
        <v/>
      </c>
      <c r="D23" s="52" t="str">
        <f aca="false">IF(B23="","",COUNTIFS('5. Gantt EQUIFILLES'!E$6:E$200,"*"&amp;B23&amp;"*",'5. Gantt EQUIFILLES'!Q$6:Q$200,"À temps"))</f>
        <v/>
      </c>
      <c r="E23" s="52" t="str">
        <f aca="false">IF(B23="","",COUNTIFS('5. Gantt EQUIFILLES'!E$6:E$200,"*"&amp;B23&amp;"*",'5. Gantt EQUIFILLES'!Q$6:Q$200,"À surveiller"))</f>
        <v/>
      </c>
      <c r="F23" s="52" t="str">
        <f aca="false">IF(B23="","",COUNTIFS('5. Gantt EQUIFILLES'!E$6:E$200,"*"&amp;B23&amp;"*",'5. Gantt EQUIFILLES'!Q$6:Q$200,"En retard"))</f>
        <v/>
      </c>
      <c r="G23" s="52" t="str">
        <f aca="false">IF(B23="","",COUNTIFS('5. Gantt EQUIFILLES'!E$6:E$200,"*"&amp;B23&amp;"*",'5. Gantt EQUIFILLES'!Q$6:Q$200,"Critique"))</f>
        <v/>
      </c>
      <c r="H23" s="52" t="str">
        <f aca="false">IF(B23="","",COUNTIFS('5. Gantt EQUIFILLES'!E$6:E$200,"*"&amp;B23&amp;"*",'5. Gantt EQUIFILLES'!Q$6:Q$200,"Terminé à temps"))</f>
        <v/>
      </c>
      <c r="I23" s="52" t="str">
        <f aca="false">IF(B23="","",COUNTIFS('5. Gantt EQUIFILLES'!E$6:E$200,"*"&amp;B23&amp;"*",'5. Gantt EQUIFILLES'!Q$6:Q$200,"Terminé hors délai"))</f>
        <v/>
      </c>
      <c r="J23" s="55" t="str">
        <f aca="false">IF(B23="","",IFERROR(SUMPRODUCT(('5. Gantt EQUIFILLES'!E$6:E$200=B23)*('5. Gantt EQUIFILLES'!R$6:R$200))/SUMPRODUCT(--('5. Gantt EQUIFILLES'!E$6:E$200=B23)),0))</f>
        <v/>
      </c>
      <c r="K23" s="91" t="str">
        <f aca="false">IF(B23="","",IFERROR(SUMPRODUCT(('5. Gantt EQUIFILLES'!E$6:E$200=B23)*('5. Gantt EQUIFILLES'!R$6:R$200)*('5. Gantt EQUIFILLES'!G$6:G$200))/SUMPRODUCT(--('5. Gantt EQUIFILLES'!E$6:E$200=B23)*('5. Gantt EQUIFILLES'!G$6:G$200))/100,0))</f>
        <v/>
      </c>
      <c r="L23" s="38" t="str">
        <f aca="false">IF(B23="","",IF(K23&gt;=0.85,"Excellent",IF(K23&gt;=0.65,"Satisfaisant",IF(K23&gt;=0.4,"À améliorer",IF(K23&gt;0,"Insuffisant","Non évalué")))))</f>
        <v/>
      </c>
    </row>
    <row r="24" customFormat="false" ht="24" hidden="false" customHeight="true" outlineLevel="0" collapsed="false">
      <c r="B24" s="10" t="str">
        <f aca="false">IF('3. Équipe'!C24="","",'3. Équipe'!C24)</f>
        <v/>
      </c>
      <c r="C24" s="52" t="str">
        <f aca="false">IF(B24="","",COUNTIF('5. Gantt EQUIFILLES'!E$6:E$200,"*"&amp;B24&amp;"*")+COUNTIF('5. Gantt EQUIFILLES'!F$6:F$200,"*"&amp;B24&amp;"*"))</f>
        <v/>
      </c>
      <c r="D24" s="52" t="str">
        <f aca="false">IF(B24="","",COUNTIFS('5. Gantt EQUIFILLES'!E$6:E$200,"*"&amp;B24&amp;"*",'5. Gantt EQUIFILLES'!Q$6:Q$200,"À temps"))</f>
        <v/>
      </c>
      <c r="E24" s="52" t="str">
        <f aca="false">IF(B24="","",COUNTIFS('5. Gantt EQUIFILLES'!E$6:E$200,"*"&amp;B24&amp;"*",'5. Gantt EQUIFILLES'!Q$6:Q$200,"À surveiller"))</f>
        <v/>
      </c>
      <c r="F24" s="52" t="str">
        <f aca="false">IF(B24="","",COUNTIFS('5. Gantt EQUIFILLES'!E$6:E$200,"*"&amp;B24&amp;"*",'5. Gantt EQUIFILLES'!Q$6:Q$200,"En retard"))</f>
        <v/>
      </c>
      <c r="G24" s="52" t="str">
        <f aca="false">IF(B24="","",COUNTIFS('5. Gantt EQUIFILLES'!E$6:E$200,"*"&amp;B24&amp;"*",'5. Gantt EQUIFILLES'!Q$6:Q$200,"Critique"))</f>
        <v/>
      </c>
      <c r="H24" s="52" t="str">
        <f aca="false">IF(B24="","",COUNTIFS('5. Gantt EQUIFILLES'!E$6:E$200,"*"&amp;B24&amp;"*",'5. Gantt EQUIFILLES'!Q$6:Q$200,"Terminé à temps"))</f>
        <v/>
      </c>
      <c r="I24" s="52" t="str">
        <f aca="false">IF(B24="","",COUNTIFS('5. Gantt EQUIFILLES'!E$6:E$200,"*"&amp;B24&amp;"*",'5. Gantt EQUIFILLES'!Q$6:Q$200,"Terminé hors délai"))</f>
        <v/>
      </c>
      <c r="J24" s="55" t="str">
        <f aca="false">IF(B24="","",IFERROR(SUMPRODUCT(('5. Gantt EQUIFILLES'!E$6:E$200=B24)*('5. Gantt EQUIFILLES'!R$6:R$200))/SUMPRODUCT(--('5. Gantt EQUIFILLES'!E$6:E$200=B24)),0))</f>
        <v/>
      </c>
      <c r="K24" s="91" t="str">
        <f aca="false">IF(B24="","",IFERROR(SUMPRODUCT(('5. Gantt EQUIFILLES'!E$6:E$200=B24)*('5. Gantt EQUIFILLES'!R$6:R$200)*('5. Gantt EQUIFILLES'!G$6:G$200))/SUMPRODUCT(--('5. Gantt EQUIFILLES'!E$6:E$200=B24)*('5. Gantt EQUIFILLES'!G$6:G$200))/100,0))</f>
        <v/>
      </c>
      <c r="L24" s="27" t="str">
        <f aca="false">IF(B24="","",IF(K24&gt;=0.85,"Excellent",IF(K24&gt;=0.65,"Satisfaisant",IF(K24&gt;=0.4,"À améliorer",IF(K24&gt;0,"Insuffisant","Non évalué")))))</f>
        <v/>
      </c>
    </row>
    <row r="25" customFormat="false" ht="24" hidden="false" customHeight="true" outlineLevel="0" collapsed="false">
      <c r="B25" s="6" t="str">
        <f aca="false">IF('3. Équipe'!C25="","",'3. Équipe'!C25)</f>
        <v/>
      </c>
      <c r="C25" s="52" t="str">
        <f aca="false">IF(B25="","",COUNTIF('5. Gantt EQUIFILLES'!E$6:E$200,"*"&amp;B25&amp;"*")+COUNTIF('5. Gantt EQUIFILLES'!F$6:F$200,"*"&amp;B25&amp;"*"))</f>
        <v/>
      </c>
      <c r="D25" s="52" t="str">
        <f aca="false">IF(B25="","",COUNTIFS('5. Gantt EQUIFILLES'!E$6:E$200,"*"&amp;B25&amp;"*",'5. Gantt EQUIFILLES'!Q$6:Q$200,"À temps"))</f>
        <v/>
      </c>
      <c r="E25" s="52" t="str">
        <f aca="false">IF(B25="","",COUNTIFS('5. Gantt EQUIFILLES'!E$6:E$200,"*"&amp;B25&amp;"*",'5. Gantt EQUIFILLES'!Q$6:Q$200,"À surveiller"))</f>
        <v/>
      </c>
      <c r="F25" s="52" t="str">
        <f aca="false">IF(B25="","",COUNTIFS('5. Gantt EQUIFILLES'!E$6:E$200,"*"&amp;B25&amp;"*",'5. Gantt EQUIFILLES'!Q$6:Q$200,"En retard"))</f>
        <v/>
      </c>
      <c r="G25" s="52" t="str">
        <f aca="false">IF(B25="","",COUNTIFS('5. Gantt EQUIFILLES'!E$6:E$200,"*"&amp;B25&amp;"*",'5. Gantt EQUIFILLES'!Q$6:Q$200,"Critique"))</f>
        <v/>
      </c>
      <c r="H25" s="52" t="str">
        <f aca="false">IF(B25="","",COUNTIFS('5. Gantt EQUIFILLES'!E$6:E$200,"*"&amp;B25&amp;"*",'5. Gantt EQUIFILLES'!Q$6:Q$200,"Terminé à temps"))</f>
        <v/>
      </c>
      <c r="I25" s="52" t="str">
        <f aca="false">IF(B25="","",COUNTIFS('5. Gantt EQUIFILLES'!E$6:E$200,"*"&amp;B25&amp;"*",'5. Gantt EQUIFILLES'!Q$6:Q$200,"Terminé hors délai"))</f>
        <v/>
      </c>
      <c r="J25" s="55" t="str">
        <f aca="false">IF(B25="","",IFERROR(SUMPRODUCT(('5. Gantt EQUIFILLES'!E$6:E$200=B25)*('5. Gantt EQUIFILLES'!R$6:R$200))/SUMPRODUCT(--('5. Gantt EQUIFILLES'!E$6:E$200=B25)),0))</f>
        <v/>
      </c>
      <c r="K25" s="91" t="str">
        <f aca="false">IF(B25="","",IFERROR(SUMPRODUCT(('5. Gantt EQUIFILLES'!E$6:E$200=B25)*('5. Gantt EQUIFILLES'!R$6:R$200)*('5. Gantt EQUIFILLES'!G$6:G$200))/SUMPRODUCT(--('5. Gantt EQUIFILLES'!E$6:E$200=B25)*('5. Gantt EQUIFILLES'!G$6:G$200))/100,0))</f>
        <v/>
      </c>
      <c r="L25" s="38" t="str">
        <f aca="false">IF(B25="","",IF(K25&gt;=0.85,"Excellent",IF(K25&gt;=0.65,"Satisfaisant",IF(K25&gt;=0.4,"À améliorer",IF(K25&gt;0,"Insuffisant","Non évalué")))))</f>
        <v/>
      </c>
    </row>
    <row r="26" customFormat="false" ht="24" hidden="false" customHeight="true" outlineLevel="0" collapsed="false">
      <c r="B26" s="10" t="str">
        <f aca="false">IF('3. Équipe'!C26="","",'3. Équipe'!C26)</f>
        <v/>
      </c>
      <c r="C26" s="52" t="str">
        <f aca="false">IF(B26="","",COUNTIF('5. Gantt EQUIFILLES'!E$6:E$200,"*"&amp;B26&amp;"*")+COUNTIF('5. Gantt EQUIFILLES'!F$6:F$200,"*"&amp;B26&amp;"*"))</f>
        <v/>
      </c>
      <c r="D26" s="52" t="str">
        <f aca="false">IF(B26="","",COUNTIFS('5. Gantt EQUIFILLES'!E$6:E$200,"*"&amp;B26&amp;"*",'5. Gantt EQUIFILLES'!Q$6:Q$200,"À temps"))</f>
        <v/>
      </c>
      <c r="E26" s="52" t="str">
        <f aca="false">IF(B26="","",COUNTIFS('5. Gantt EQUIFILLES'!E$6:E$200,"*"&amp;B26&amp;"*",'5. Gantt EQUIFILLES'!Q$6:Q$200,"À surveiller"))</f>
        <v/>
      </c>
      <c r="F26" s="52" t="str">
        <f aca="false">IF(B26="","",COUNTIFS('5. Gantt EQUIFILLES'!E$6:E$200,"*"&amp;B26&amp;"*",'5. Gantt EQUIFILLES'!Q$6:Q$200,"En retard"))</f>
        <v/>
      </c>
      <c r="G26" s="52" t="str">
        <f aca="false">IF(B26="","",COUNTIFS('5. Gantt EQUIFILLES'!E$6:E$200,"*"&amp;B26&amp;"*",'5. Gantt EQUIFILLES'!Q$6:Q$200,"Critique"))</f>
        <v/>
      </c>
      <c r="H26" s="52" t="str">
        <f aca="false">IF(B26="","",COUNTIFS('5. Gantt EQUIFILLES'!E$6:E$200,"*"&amp;B26&amp;"*",'5. Gantt EQUIFILLES'!Q$6:Q$200,"Terminé à temps"))</f>
        <v/>
      </c>
      <c r="I26" s="52" t="str">
        <f aca="false">IF(B26="","",COUNTIFS('5. Gantt EQUIFILLES'!E$6:E$200,"*"&amp;B26&amp;"*",'5. Gantt EQUIFILLES'!Q$6:Q$200,"Terminé hors délai"))</f>
        <v/>
      </c>
      <c r="J26" s="55" t="str">
        <f aca="false">IF(B26="","",IFERROR(SUMPRODUCT(('5. Gantt EQUIFILLES'!E$6:E$200=B26)*('5. Gantt EQUIFILLES'!R$6:R$200))/SUMPRODUCT(--('5. Gantt EQUIFILLES'!E$6:E$200=B26)),0))</f>
        <v/>
      </c>
      <c r="K26" s="91" t="str">
        <f aca="false">IF(B26="","",IFERROR(SUMPRODUCT(('5. Gantt EQUIFILLES'!E$6:E$200=B26)*('5. Gantt EQUIFILLES'!R$6:R$200)*('5. Gantt EQUIFILLES'!G$6:G$200))/SUMPRODUCT(--('5. Gantt EQUIFILLES'!E$6:E$200=B26)*('5. Gantt EQUIFILLES'!G$6:G$200))/100,0))</f>
        <v/>
      </c>
      <c r="L26" s="27" t="str">
        <f aca="false">IF(B26="","",IF(K26&gt;=0.85,"Excellent",IF(K26&gt;=0.65,"Satisfaisant",IF(K26&gt;=0.4,"À améliorer",IF(K26&gt;0,"Insuffisant","Non évalué")))))</f>
        <v/>
      </c>
    </row>
    <row r="27" customFormat="false" ht="24" hidden="false" customHeight="true" outlineLevel="0" collapsed="false">
      <c r="B27" s="6" t="str">
        <f aca="false">IF('3. Équipe'!C27="","",'3. Équipe'!C27)</f>
        <v/>
      </c>
      <c r="C27" s="52" t="str">
        <f aca="false">IF(B27="","",COUNTIF('5. Gantt EQUIFILLES'!E$6:E$200,"*"&amp;B27&amp;"*")+COUNTIF('5. Gantt EQUIFILLES'!F$6:F$200,"*"&amp;B27&amp;"*"))</f>
        <v/>
      </c>
      <c r="D27" s="52" t="str">
        <f aca="false">IF(B27="","",COUNTIFS('5. Gantt EQUIFILLES'!E$6:E$200,"*"&amp;B27&amp;"*",'5. Gantt EQUIFILLES'!Q$6:Q$200,"À temps"))</f>
        <v/>
      </c>
      <c r="E27" s="52" t="str">
        <f aca="false">IF(B27="","",COUNTIFS('5. Gantt EQUIFILLES'!E$6:E$200,"*"&amp;B27&amp;"*",'5. Gantt EQUIFILLES'!Q$6:Q$200,"À surveiller"))</f>
        <v/>
      </c>
      <c r="F27" s="52" t="str">
        <f aca="false">IF(B27="","",COUNTIFS('5. Gantt EQUIFILLES'!E$6:E$200,"*"&amp;B27&amp;"*",'5. Gantt EQUIFILLES'!Q$6:Q$200,"En retard"))</f>
        <v/>
      </c>
      <c r="G27" s="52" t="str">
        <f aca="false">IF(B27="","",COUNTIFS('5. Gantt EQUIFILLES'!E$6:E$200,"*"&amp;B27&amp;"*",'5. Gantt EQUIFILLES'!Q$6:Q$200,"Critique"))</f>
        <v/>
      </c>
      <c r="H27" s="52" t="str">
        <f aca="false">IF(B27="","",COUNTIFS('5. Gantt EQUIFILLES'!E$6:E$200,"*"&amp;B27&amp;"*",'5. Gantt EQUIFILLES'!Q$6:Q$200,"Terminé à temps"))</f>
        <v/>
      </c>
      <c r="I27" s="52" t="str">
        <f aca="false">IF(B27="","",COUNTIFS('5. Gantt EQUIFILLES'!E$6:E$200,"*"&amp;B27&amp;"*",'5. Gantt EQUIFILLES'!Q$6:Q$200,"Terminé hors délai"))</f>
        <v/>
      </c>
      <c r="J27" s="55" t="str">
        <f aca="false">IF(B27="","",IFERROR(SUMPRODUCT(('5. Gantt EQUIFILLES'!E$6:E$200=B27)*('5. Gantt EQUIFILLES'!R$6:R$200))/SUMPRODUCT(--('5. Gantt EQUIFILLES'!E$6:E$200=B27)),0))</f>
        <v/>
      </c>
      <c r="K27" s="91" t="str">
        <f aca="false">IF(B27="","",IFERROR(SUMPRODUCT(('5. Gantt EQUIFILLES'!E$6:E$200=B27)*('5. Gantt EQUIFILLES'!R$6:R$200)*('5. Gantt EQUIFILLES'!G$6:G$200))/SUMPRODUCT(--('5. Gantt EQUIFILLES'!E$6:E$200=B27)*('5. Gantt EQUIFILLES'!G$6:G$200))/100,0))</f>
        <v/>
      </c>
      <c r="L27" s="38" t="str">
        <f aca="false">IF(B27="","",IF(K27&gt;=0.85,"Excellent",IF(K27&gt;=0.65,"Satisfaisant",IF(K27&gt;=0.4,"À améliorer",IF(K27&gt;0,"Insuffisant","Non évalué")))))</f>
        <v/>
      </c>
    </row>
    <row r="28" customFormat="false" ht="24" hidden="false" customHeight="true" outlineLevel="0" collapsed="false">
      <c r="B28" s="10" t="str">
        <f aca="false">IF('3. Équipe'!C28="","",'3. Équipe'!C28)</f>
        <v/>
      </c>
      <c r="C28" s="52" t="str">
        <f aca="false">IF(B28="","",COUNTIF('5. Gantt EQUIFILLES'!E$6:E$200,"*"&amp;B28&amp;"*")+COUNTIF('5. Gantt EQUIFILLES'!F$6:F$200,"*"&amp;B28&amp;"*"))</f>
        <v/>
      </c>
      <c r="D28" s="52" t="str">
        <f aca="false">IF(B28="","",COUNTIFS('5. Gantt EQUIFILLES'!E$6:E$200,"*"&amp;B28&amp;"*",'5. Gantt EQUIFILLES'!Q$6:Q$200,"À temps"))</f>
        <v/>
      </c>
      <c r="E28" s="52" t="str">
        <f aca="false">IF(B28="","",COUNTIFS('5. Gantt EQUIFILLES'!E$6:E$200,"*"&amp;B28&amp;"*",'5. Gantt EQUIFILLES'!Q$6:Q$200,"À surveiller"))</f>
        <v/>
      </c>
      <c r="F28" s="52" t="str">
        <f aca="false">IF(B28="","",COUNTIFS('5. Gantt EQUIFILLES'!E$6:E$200,"*"&amp;B28&amp;"*",'5. Gantt EQUIFILLES'!Q$6:Q$200,"En retard"))</f>
        <v/>
      </c>
      <c r="G28" s="52" t="str">
        <f aca="false">IF(B28="","",COUNTIFS('5. Gantt EQUIFILLES'!E$6:E$200,"*"&amp;B28&amp;"*",'5. Gantt EQUIFILLES'!Q$6:Q$200,"Critique"))</f>
        <v/>
      </c>
      <c r="H28" s="52" t="str">
        <f aca="false">IF(B28="","",COUNTIFS('5. Gantt EQUIFILLES'!E$6:E$200,"*"&amp;B28&amp;"*",'5. Gantt EQUIFILLES'!Q$6:Q$200,"Terminé à temps"))</f>
        <v/>
      </c>
      <c r="I28" s="52" t="str">
        <f aca="false">IF(B28="","",COUNTIFS('5. Gantt EQUIFILLES'!E$6:E$200,"*"&amp;B28&amp;"*",'5. Gantt EQUIFILLES'!Q$6:Q$200,"Terminé hors délai"))</f>
        <v/>
      </c>
      <c r="J28" s="55" t="str">
        <f aca="false">IF(B28="","",IFERROR(SUMPRODUCT(('5. Gantt EQUIFILLES'!E$6:E$200=B28)*('5. Gantt EQUIFILLES'!R$6:R$200))/SUMPRODUCT(--('5. Gantt EQUIFILLES'!E$6:E$200=B28)),0))</f>
        <v/>
      </c>
      <c r="K28" s="91" t="str">
        <f aca="false">IF(B28="","",IFERROR(SUMPRODUCT(('5. Gantt EQUIFILLES'!E$6:E$200=B28)*('5. Gantt EQUIFILLES'!R$6:R$200)*('5. Gantt EQUIFILLES'!G$6:G$200))/SUMPRODUCT(--('5. Gantt EQUIFILLES'!E$6:E$200=B28)*('5. Gantt EQUIFILLES'!G$6:G$200))/100,0))</f>
        <v/>
      </c>
      <c r="L28" s="27" t="str">
        <f aca="false">IF(B28="","",IF(K28&gt;=0.85,"Excellent",IF(K28&gt;=0.65,"Satisfaisant",IF(K28&gt;=0.4,"À améliorer",IF(K28&gt;0,"Insuffisant","Non évalué")))))</f>
        <v/>
      </c>
    </row>
    <row r="29" customFormat="false" ht="24" hidden="false" customHeight="true" outlineLevel="0" collapsed="false">
      <c r="B29" s="6" t="str">
        <f aca="false">IF('3. Équipe'!C29="","",'3. Équipe'!C29)</f>
        <v/>
      </c>
      <c r="C29" s="52" t="str">
        <f aca="false">IF(B29="","",COUNTIF('5. Gantt EQUIFILLES'!E$6:E$200,"*"&amp;B29&amp;"*")+COUNTIF('5. Gantt EQUIFILLES'!F$6:F$200,"*"&amp;B29&amp;"*"))</f>
        <v/>
      </c>
      <c r="D29" s="52" t="str">
        <f aca="false">IF(B29="","",COUNTIFS('5. Gantt EQUIFILLES'!E$6:E$200,"*"&amp;B29&amp;"*",'5. Gantt EQUIFILLES'!Q$6:Q$200,"À temps"))</f>
        <v/>
      </c>
      <c r="E29" s="52" t="str">
        <f aca="false">IF(B29="","",COUNTIFS('5. Gantt EQUIFILLES'!E$6:E$200,"*"&amp;B29&amp;"*",'5. Gantt EQUIFILLES'!Q$6:Q$200,"À surveiller"))</f>
        <v/>
      </c>
      <c r="F29" s="52" t="str">
        <f aca="false">IF(B29="","",COUNTIFS('5. Gantt EQUIFILLES'!E$6:E$200,"*"&amp;B29&amp;"*",'5. Gantt EQUIFILLES'!Q$6:Q$200,"En retard"))</f>
        <v/>
      </c>
      <c r="G29" s="52" t="str">
        <f aca="false">IF(B29="","",COUNTIFS('5. Gantt EQUIFILLES'!E$6:E$200,"*"&amp;B29&amp;"*",'5. Gantt EQUIFILLES'!Q$6:Q$200,"Critique"))</f>
        <v/>
      </c>
      <c r="H29" s="52" t="str">
        <f aca="false">IF(B29="","",COUNTIFS('5. Gantt EQUIFILLES'!E$6:E$200,"*"&amp;B29&amp;"*",'5. Gantt EQUIFILLES'!Q$6:Q$200,"Terminé à temps"))</f>
        <v/>
      </c>
      <c r="I29" s="52" t="str">
        <f aca="false">IF(B29="","",COUNTIFS('5. Gantt EQUIFILLES'!E$6:E$200,"*"&amp;B29&amp;"*",'5. Gantt EQUIFILLES'!Q$6:Q$200,"Terminé hors délai"))</f>
        <v/>
      </c>
      <c r="J29" s="55" t="str">
        <f aca="false">IF(B29="","",IFERROR(SUMPRODUCT(('5. Gantt EQUIFILLES'!E$6:E$200=B29)*('5. Gantt EQUIFILLES'!R$6:R$200))/SUMPRODUCT(--('5. Gantt EQUIFILLES'!E$6:E$200=B29)),0))</f>
        <v/>
      </c>
      <c r="K29" s="91" t="str">
        <f aca="false">IF(B29="","",IFERROR(SUMPRODUCT(('5. Gantt EQUIFILLES'!E$6:E$200=B29)*('5. Gantt EQUIFILLES'!R$6:R$200)*('5. Gantt EQUIFILLES'!G$6:G$200))/SUMPRODUCT(--('5. Gantt EQUIFILLES'!E$6:E$200=B29)*('5. Gantt EQUIFILLES'!G$6:G$200))/100,0))</f>
        <v/>
      </c>
      <c r="L29" s="38" t="str">
        <f aca="false">IF(B29="","",IF(K29&gt;=0.85,"Excellent",IF(K29&gt;=0.65,"Satisfaisant",IF(K29&gt;=0.4,"À améliorer",IF(K29&gt;0,"Insuffisant","Non évalué")))))</f>
        <v/>
      </c>
    </row>
    <row r="30" customFormat="false" ht="24" hidden="false" customHeight="true" outlineLevel="0" collapsed="false">
      <c r="B30" s="10" t="str">
        <f aca="false">IF('3. Équipe'!C30="","",'3. Équipe'!C30)</f>
        <v/>
      </c>
      <c r="C30" s="52" t="str">
        <f aca="false">IF(B30="","",COUNTIF('5. Gantt EQUIFILLES'!E$6:E$200,"*"&amp;B30&amp;"*")+COUNTIF('5. Gantt EQUIFILLES'!F$6:F$200,"*"&amp;B30&amp;"*"))</f>
        <v/>
      </c>
      <c r="D30" s="52" t="str">
        <f aca="false">IF(B30="","",COUNTIFS('5. Gantt EQUIFILLES'!E$6:E$200,"*"&amp;B30&amp;"*",'5. Gantt EQUIFILLES'!Q$6:Q$200,"À temps"))</f>
        <v/>
      </c>
      <c r="E30" s="52" t="str">
        <f aca="false">IF(B30="","",COUNTIFS('5. Gantt EQUIFILLES'!E$6:E$200,"*"&amp;B30&amp;"*",'5. Gantt EQUIFILLES'!Q$6:Q$200,"À surveiller"))</f>
        <v/>
      </c>
      <c r="F30" s="52" t="str">
        <f aca="false">IF(B30="","",COUNTIFS('5. Gantt EQUIFILLES'!E$6:E$200,"*"&amp;B30&amp;"*",'5. Gantt EQUIFILLES'!Q$6:Q$200,"En retard"))</f>
        <v/>
      </c>
      <c r="G30" s="52" t="str">
        <f aca="false">IF(B30="","",COUNTIFS('5. Gantt EQUIFILLES'!E$6:E$200,"*"&amp;B30&amp;"*",'5. Gantt EQUIFILLES'!Q$6:Q$200,"Critique"))</f>
        <v/>
      </c>
      <c r="H30" s="52" t="str">
        <f aca="false">IF(B30="","",COUNTIFS('5. Gantt EQUIFILLES'!E$6:E$200,"*"&amp;B30&amp;"*",'5. Gantt EQUIFILLES'!Q$6:Q$200,"Terminé à temps"))</f>
        <v/>
      </c>
      <c r="I30" s="52" t="str">
        <f aca="false">IF(B30="","",COUNTIFS('5. Gantt EQUIFILLES'!E$6:E$200,"*"&amp;B30&amp;"*",'5. Gantt EQUIFILLES'!Q$6:Q$200,"Terminé hors délai"))</f>
        <v/>
      </c>
      <c r="J30" s="55" t="str">
        <f aca="false">IF(B30="","",IFERROR(SUMPRODUCT(('5. Gantt EQUIFILLES'!E$6:E$200=B30)*('5. Gantt EQUIFILLES'!R$6:R$200))/SUMPRODUCT(--('5. Gantt EQUIFILLES'!E$6:E$200=B30)),0))</f>
        <v/>
      </c>
      <c r="K30" s="91" t="str">
        <f aca="false">IF(B30="","",IFERROR(SUMPRODUCT(('5. Gantt EQUIFILLES'!E$6:E$200=B30)*('5. Gantt EQUIFILLES'!R$6:R$200)*('5. Gantt EQUIFILLES'!G$6:G$200))/SUMPRODUCT(--('5. Gantt EQUIFILLES'!E$6:E$200=B30)*('5. Gantt EQUIFILLES'!G$6:G$200))/100,0))</f>
        <v/>
      </c>
      <c r="L30" s="27" t="str">
        <f aca="false">IF(B30="","",IF(K30&gt;=0.85,"Excellent",IF(K30&gt;=0.65,"Satisfaisant",IF(K30&gt;=0.4,"À améliorer",IF(K30&gt;0,"Insuffisant","Non évalué")))))</f>
        <v/>
      </c>
    </row>
    <row r="31" customFormat="false" ht="24" hidden="false" customHeight="true" outlineLevel="0" collapsed="false">
      <c r="B31" s="6" t="str">
        <f aca="false">IF('3. Équipe'!C31="","",'3. Équipe'!C31)</f>
        <v/>
      </c>
      <c r="C31" s="52" t="str">
        <f aca="false">IF(B31="","",COUNTIF('5. Gantt EQUIFILLES'!E$6:E$200,"*"&amp;B31&amp;"*")+COUNTIF('5. Gantt EQUIFILLES'!F$6:F$200,"*"&amp;B31&amp;"*"))</f>
        <v/>
      </c>
      <c r="D31" s="52" t="str">
        <f aca="false">IF(B31="","",COUNTIFS('5. Gantt EQUIFILLES'!E$6:E$200,"*"&amp;B31&amp;"*",'5. Gantt EQUIFILLES'!Q$6:Q$200,"À temps"))</f>
        <v/>
      </c>
      <c r="E31" s="52" t="str">
        <f aca="false">IF(B31="","",COUNTIFS('5. Gantt EQUIFILLES'!E$6:E$200,"*"&amp;B31&amp;"*",'5. Gantt EQUIFILLES'!Q$6:Q$200,"À surveiller"))</f>
        <v/>
      </c>
      <c r="F31" s="52" t="str">
        <f aca="false">IF(B31="","",COUNTIFS('5. Gantt EQUIFILLES'!E$6:E$200,"*"&amp;B31&amp;"*",'5. Gantt EQUIFILLES'!Q$6:Q$200,"En retard"))</f>
        <v/>
      </c>
      <c r="G31" s="52" t="str">
        <f aca="false">IF(B31="","",COUNTIFS('5. Gantt EQUIFILLES'!E$6:E$200,"*"&amp;B31&amp;"*",'5. Gantt EQUIFILLES'!Q$6:Q$200,"Critique"))</f>
        <v/>
      </c>
      <c r="H31" s="52" t="str">
        <f aca="false">IF(B31="","",COUNTIFS('5. Gantt EQUIFILLES'!E$6:E$200,"*"&amp;B31&amp;"*",'5. Gantt EQUIFILLES'!Q$6:Q$200,"Terminé à temps"))</f>
        <v/>
      </c>
      <c r="I31" s="52" t="str">
        <f aca="false">IF(B31="","",COUNTIFS('5. Gantt EQUIFILLES'!E$6:E$200,"*"&amp;B31&amp;"*",'5. Gantt EQUIFILLES'!Q$6:Q$200,"Terminé hors délai"))</f>
        <v/>
      </c>
      <c r="J31" s="55" t="str">
        <f aca="false">IF(B31="","",IFERROR(SUMPRODUCT(('5. Gantt EQUIFILLES'!E$6:E$200=B31)*('5. Gantt EQUIFILLES'!R$6:R$200))/SUMPRODUCT(--('5. Gantt EQUIFILLES'!E$6:E$200=B31)),0))</f>
        <v/>
      </c>
      <c r="K31" s="91" t="str">
        <f aca="false">IF(B31="","",IFERROR(SUMPRODUCT(('5. Gantt EQUIFILLES'!E$6:E$200=B31)*('5. Gantt EQUIFILLES'!R$6:R$200)*('5. Gantt EQUIFILLES'!G$6:G$200))/SUMPRODUCT(--('5. Gantt EQUIFILLES'!E$6:E$200=B31)*('5. Gantt EQUIFILLES'!G$6:G$200))/100,0))</f>
        <v/>
      </c>
      <c r="L31" s="38" t="str">
        <f aca="false">IF(B31="","",IF(K31&gt;=0.85,"Excellent",IF(K31&gt;=0.65,"Satisfaisant",IF(K31&gt;=0.4,"À améliorer",IF(K31&gt;0,"Insuffisant","Non évalué")))))</f>
        <v/>
      </c>
    </row>
    <row r="32" customFormat="false" ht="24" hidden="false" customHeight="true" outlineLevel="0" collapsed="false">
      <c r="B32" s="10" t="str">
        <f aca="false">IF('3. Équipe'!C32="","",'3. Équipe'!C32)</f>
        <v/>
      </c>
      <c r="C32" s="52" t="str">
        <f aca="false">IF(B32="","",COUNTIF('5. Gantt EQUIFILLES'!E$6:E$200,"*"&amp;B32&amp;"*")+COUNTIF('5. Gantt EQUIFILLES'!F$6:F$200,"*"&amp;B32&amp;"*"))</f>
        <v/>
      </c>
      <c r="D32" s="52" t="str">
        <f aca="false">IF(B32="","",COUNTIFS('5. Gantt EQUIFILLES'!E$6:E$200,"*"&amp;B32&amp;"*",'5. Gantt EQUIFILLES'!Q$6:Q$200,"À temps"))</f>
        <v/>
      </c>
      <c r="E32" s="52" t="str">
        <f aca="false">IF(B32="","",COUNTIFS('5. Gantt EQUIFILLES'!E$6:E$200,"*"&amp;B32&amp;"*",'5. Gantt EQUIFILLES'!Q$6:Q$200,"À surveiller"))</f>
        <v/>
      </c>
      <c r="F32" s="52" t="str">
        <f aca="false">IF(B32="","",COUNTIFS('5. Gantt EQUIFILLES'!E$6:E$200,"*"&amp;B32&amp;"*",'5. Gantt EQUIFILLES'!Q$6:Q$200,"En retard"))</f>
        <v/>
      </c>
      <c r="G32" s="52" t="str">
        <f aca="false">IF(B32="","",COUNTIFS('5. Gantt EQUIFILLES'!E$6:E$200,"*"&amp;B32&amp;"*",'5. Gantt EQUIFILLES'!Q$6:Q$200,"Critique"))</f>
        <v/>
      </c>
      <c r="H32" s="52" t="str">
        <f aca="false">IF(B32="","",COUNTIFS('5. Gantt EQUIFILLES'!E$6:E$200,"*"&amp;B32&amp;"*",'5. Gantt EQUIFILLES'!Q$6:Q$200,"Terminé à temps"))</f>
        <v/>
      </c>
      <c r="I32" s="52" t="str">
        <f aca="false">IF(B32="","",COUNTIFS('5. Gantt EQUIFILLES'!E$6:E$200,"*"&amp;B32&amp;"*",'5. Gantt EQUIFILLES'!Q$6:Q$200,"Terminé hors délai"))</f>
        <v/>
      </c>
      <c r="J32" s="55" t="str">
        <f aca="false">IF(B32="","",IFERROR(SUMPRODUCT(('5. Gantt EQUIFILLES'!E$6:E$200=B32)*('5. Gantt EQUIFILLES'!R$6:R$200))/SUMPRODUCT(--('5. Gantt EQUIFILLES'!E$6:E$200=B32)),0))</f>
        <v/>
      </c>
      <c r="K32" s="91" t="str">
        <f aca="false">IF(B32="","",IFERROR(SUMPRODUCT(('5. Gantt EQUIFILLES'!E$6:E$200=B32)*('5. Gantt EQUIFILLES'!R$6:R$200)*('5. Gantt EQUIFILLES'!G$6:G$200))/SUMPRODUCT(--('5. Gantt EQUIFILLES'!E$6:E$200=B32)*('5. Gantt EQUIFILLES'!G$6:G$200))/100,0))</f>
        <v/>
      </c>
      <c r="L32" s="27" t="str">
        <f aca="false">IF(B32="","",IF(K32&gt;=0.85,"Excellent",IF(K32&gt;=0.65,"Satisfaisant",IF(K32&gt;=0.4,"À améliorer",IF(K32&gt;0,"Insuffisant","Non évalué")))))</f>
        <v/>
      </c>
    </row>
    <row r="33" customFormat="false" ht="24" hidden="false" customHeight="true" outlineLevel="0" collapsed="false">
      <c r="B33" s="6" t="str">
        <f aca="false">IF('3. Équipe'!C33="","",'3. Équipe'!C33)</f>
        <v/>
      </c>
      <c r="C33" s="52" t="str">
        <f aca="false">IF(B33="","",COUNTIF('5. Gantt EQUIFILLES'!E$6:E$200,"*"&amp;B33&amp;"*")+COUNTIF('5. Gantt EQUIFILLES'!F$6:F$200,"*"&amp;B33&amp;"*"))</f>
        <v/>
      </c>
      <c r="D33" s="52" t="str">
        <f aca="false">IF(B33="","",COUNTIFS('5. Gantt EQUIFILLES'!E$6:E$200,"*"&amp;B33&amp;"*",'5. Gantt EQUIFILLES'!Q$6:Q$200,"À temps"))</f>
        <v/>
      </c>
      <c r="E33" s="52" t="str">
        <f aca="false">IF(B33="","",COUNTIFS('5. Gantt EQUIFILLES'!E$6:E$200,"*"&amp;B33&amp;"*",'5. Gantt EQUIFILLES'!Q$6:Q$200,"À surveiller"))</f>
        <v/>
      </c>
      <c r="F33" s="52" t="str">
        <f aca="false">IF(B33="","",COUNTIFS('5. Gantt EQUIFILLES'!E$6:E$200,"*"&amp;B33&amp;"*",'5. Gantt EQUIFILLES'!Q$6:Q$200,"En retard"))</f>
        <v/>
      </c>
      <c r="G33" s="52" t="str">
        <f aca="false">IF(B33="","",COUNTIFS('5. Gantt EQUIFILLES'!E$6:E$200,"*"&amp;B33&amp;"*",'5. Gantt EQUIFILLES'!Q$6:Q$200,"Critique"))</f>
        <v/>
      </c>
      <c r="H33" s="52" t="str">
        <f aca="false">IF(B33="","",COUNTIFS('5. Gantt EQUIFILLES'!E$6:E$200,"*"&amp;B33&amp;"*",'5. Gantt EQUIFILLES'!Q$6:Q$200,"Terminé à temps"))</f>
        <v/>
      </c>
      <c r="I33" s="52" t="str">
        <f aca="false">IF(B33="","",COUNTIFS('5. Gantt EQUIFILLES'!E$6:E$200,"*"&amp;B33&amp;"*",'5. Gantt EQUIFILLES'!Q$6:Q$200,"Terminé hors délai"))</f>
        <v/>
      </c>
      <c r="J33" s="55" t="str">
        <f aca="false">IF(B33="","",IFERROR(SUMPRODUCT(('5. Gantt EQUIFILLES'!E$6:E$200=B33)*('5. Gantt EQUIFILLES'!R$6:R$200))/SUMPRODUCT(--('5. Gantt EQUIFILLES'!E$6:E$200=B33)),0))</f>
        <v/>
      </c>
      <c r="K33" s="91" t="str">
        <f aca="false">IF(B33="","",IFERROR(SUMPRODUCT(('5. Gantt EQUIFILLES'!E$6:E$200=B33)*('5. Gantt EQUIFILLES'!R$6:R$200)*('5. Gantt EQUIFILLES'!G$6:G$200))/SUMPRODUCT(--('5. Gantt EQUIFILLES'!E$6:E$200=B33)*('5. Gantt EQUIFILLES'!G$6:G$200))/100,0))</f>
        <v/>
      </c>
      <c r="L33" s="38" t="str">
        <f aca="false">IF(B33="","",IF(K33&gt;=0.85,"Excellent",IF(K33&gt;=0.65,"Satisfaisant",IF(K33&gt;=0.4,"À améliorer",IF(K33&gt;0,"Insuffisant","Non évalué")))))</f>
        <v/>
      </c>
    </row>
    <row r="34" customFormat="false" ht="24" hidden="false" customHeight="true" outlineLevel="0" collapsed="false">
      <c r="B34" s="10" t="str">
        <f aca="false">IF('3. Équipe'!C34="","",'3. Équipe'!C34)</f>
        <v/>
      </c>
      <c r="C34" s="52" t="str">
        <f aca="false">IF(B34="","",COUNTIF('5. Gantt EQUIFILLES'!E$6:E$200,"*"&amp;B34&amp;"*")+COUNTIF('5. Gantt EQUIFILLES'!F$6:F$200,"*"&amp;B34&amp;"*"))</f>
        <v/>
      </c>
      <c r="D34" s="52" t="str">
        <f aca="false">IF(B34="","",COUNTIFS('5. Gantt EQUIFILLES'!E$6:E$200,"*"&amp;B34&amp;"*",'5. Gantt EQUIFILLES'!Q$6:Q$200,"À temps"))</f>
        <v/>
      </c>
      <c r="E34" s="52" t="str">
        <f aca="false">IF(B34="","",COUNTIFS('5. Gantt EQUIFILLES'!E$6:E$200,"*"&amp;B34&amp;"*",'5. Gantt EQUIFILLES'!Q$6:Q$200,"À surveiller"))</f>
        <v/>
      </c>
      <c r="F34" s="52" t="str">
        <f aca="false">IF(B34="","",COUNTIFS('5. Gantt EQUIFILLES'!E$6:E$200,"*"&amp;B34&amp;"*",'5. Gantt EQUIFILLES'!Q$6:Q$200,"En retard"))</f>
        <v/>
      </c>
      <c r="G34" s="52" t="str">
        <f aca="false">IF(B34="","",COUNTIFS('5. Gantt EQUIFILLES'!E$6:E$200,"*"&amp;B34&amp;"*",'5. Gantt EQUIFILLES'!Q$6:Q$200,"Critique"))</f>
        <v/>
      </c>
      <c r="H34" s="52" t="str">
        <f aca="false">IF(B34="","",COUNTIFS('5. Gantt EQUIFILLES'!E$6:E$200,"*"&amp;B34&amp;"*",'5. Gantt EQUIFILLES'!Q$6:Q$200,"Terminé à temps"))</f>
        <v/>
      </c>
      <c r="I34" s="52" t="str">
        <f aca="false">IF(B34="","",COUNTIFS('5. Gantt EQUIFILLES'!E$6:E$200,"*"&amp;B34&amp;"*",'5. Gantt EQUIFILLES'!Q$6:Q$200,"Terminé hors délai"))</f>
        <v/>
      </c>
      <c r="J34" s="55" t="str">
        <f aca="false">IF(B34="","",IFERROR(SUMPRODUCT(('5. Gantt EQUIFILLES'!E$6:E$200=B34)*('5. Gantt EQUIFILLES'!R$6:R$200))/SUMPRODUCT(--('5. Gantt EQUIFILLES'!E$6:E$200=B34)),0))</f>
        <v/>
      </c>
      <c r="K34" s="91" t="str">
        <f aca="false">IF(B34="","",IFERROR(SUMPRODUCT(('5. Gantt EQUIFILLES'!E$6:E$200=B34)*('5. Gantt EQUIFILLES'!R$6:R$200)*('5. Gantt EQUIFILLES'!G$6:G$200))/SUMPRODUCT(--('5. Gantt EQUIFILLES'!E$6:E$200=B34)*('5. Gantt EQUIFILLES'!G$6:G$200))/100,0))</f>
        <v/>
      </c>
      <c r="L34" s="27" t="str">
        <f aca="false">IF(B34="","",IF(K34&gt;=0.85,"Excellent",IF(K34&gt;=0.65,"Satisfaisant",IF(K34&gt;=0.4,"À améliorer",IF(K34&gt;0,"Insuffisant","Non évalué")))))</f>
        <v/>
      </c>
    </row>
    <row r="35" customFormat="false" ht="24" hidden="false" customHeight="true" outlineLevel="0" collapsed="false">
      <c r="B35" s="6" t="str">
        <f aca="false">IF('3. Équipe'!C35="","",'3. Équipe'!C35)</f>
        <v/>
      </c>
      <c r="C35" s="52" t="str">
        <f aca="false">IF(B35="","",COUNTIF('5. Gantt EQUIFILLES'!E$6:E$200,"*"&amp;B35&amp;"*")+COUNTIF('5. Gantt EQUIFILLES'!F$6:F$200,"*"&amp;B35&amp;"*"))</f>
        <v/>
      </c>
      <c r="D35" s="52" t="str">
        <f aca="false">IF(B35="","",COUNTIFS('5. Gantt EQUIFILLES'!E$6:E$200,"*"&amp;B35&amp;"*",'5. Gantt EQUIFILLES'!Q$6:Q$200,"À temps"))</f>
        <v/>
      </c>
      <c r="E35" s="52" t="str">
        <f aca="false">IF(B35="","",COUNTIFS('5. Gantt EQUIFILLES'!E$6:E$200,"*"&amp;B35&amp;"*",'5. Gantt EQUIFILLES'!Q$6:Q$200,"À surveiller"))</f>
        <v/>
      </c>
      <c r="F35" s="52" t="str">
        <f aca="false">IF(B35="","",COUNTIFS('5. Gantt EQUIFILLES'!E$6:E$200,"*"&amp;B35&amp;"*",'5. Gantt EQUIFILLES'!Q$6:Q$200,"En retard"))</f>
        <v/>
      </c>
      <c r="G35" s="52" t="str">
        <f aca="false">IF(B35="","",COUNTIFS('5. Gantt EQUIFILLES'!E$6:E$200,"*"&amp;B35&amp;"*",'5. Gantt EQUIFILLES'!Q$6:Q$200,"Critique"))</f>
        <v/>
      </c>
      <c r="H35" s="52" t="str">
        <f aca="false">IF(B35="","",COUNTIFS('5. Gantt EQUIFILLES'!E$6:E$200,"*"&amp;B35&amp;"*",'5. Gantt EQUIFILLES'!Q$6:Q$200,"Terminé à temps"))</f>
        <v/>
      </c>
      <c r="I35" s="52" t="str">
        <f aca="false">IF(B35="","",COUNTIFS('5. Gantt EQUIFILLES'!E$6:E$200,"*"&amp;B35&amp;"*",'5. Gantt EQUIFILLES'!Q$6:Q$200,"Terminé hors délai"))</f>
        <v/>
      </c>
      <c r="J35" s="55" t="str">
        <f aca="false">IF(B35="","",IFERROR(SUMPRODUCT(('5. Gantt EQUIFILLES'!E$6:E$200=B35)*('5. Gantt EQUIFILLES'!R$6:R$200))/SUMPRODUCT(--('5. Gantt EQUIFILLES'!E$6:E$200=B35)),0))</f>
        <v/>
      </c>
      <c r="K35" s="91" t="str">
        <f aca="false">IF(B35="","",IFERROR(SUMPRODUCT(('5. Gantt EQUIFILLES'!E$6:E$200=B35)*('5. Gantt EQUIFILLES'!R$6:R$200)*('5. Gantt EQUIFILLES'!G$6:G$200))/SUMPRODUCT(--('5. Gantt EQUIFILLES'!E$6:E$200=B35)*('5. Gantt EQUIFILLES'!G$6:G$200))/100,0))</f>
        <v/>
      </c>
      <c r="L35" s="38" t="str">
        <f aca="false">IF(B35="","",IF(K35&gt;=0.85,"Excellent",IF(K35&gt;=0.65,"Satisfaisant",IF(K35&gt;=0.4,"À améliorer",IF(K35&gt;0,"Insuffisant","Non évalué")))))</f>
        <v/>
      </c>
    </row>
    <row r="36" customFormat="false" ht="24" hidden="false" customHeight="true" outlineLevel="0" collapsed="false">
      <c r="B36" s="10" t="str">
        <f aca="false">IF('3. Équipe'!C36="","",'3. Équipe'!C36)</f>
        <v/>
      </c>
      <c r="C36" s="52" t="str">
        <f aca="false">IF(B36="","",COUNTIF('5. Gantt EQUIFILLES'!E$6:E$200,"*"&amp;B36&amp;"*")+COUNTIF('5. Gantt EQUIFILLES'!F$6:F$200,"*"&amp;B36&amp;"*"))</f>
        <v/>
      </c>
      <c r="D36" s="52" t="str">
        <f aca="false">IF(B36="","",COUNTIFS('5. Gantt EQUIFILLES'!E$6:E$200,"*"&amp;B36&amp;"*",'5. Gantt EQUIFILLES'!Q$6:Q$200,"À temps"))</f>
        <v/>
      </c>
      <c r="E36" s="52" t="str">
        <f aca="false">IF(B36="","",COUNTIFS('5. Gantt EQUIFILLES'!E$6:E$200,"*"&amp;B36&amp;"*",'5. Gantt EQUIFILLES'!Q$6:Q$200,"À surveiller"))</f>
        <v/>
      </c>
      <c r="F36" s="52" t="str">
        <f aca="false">IF(B36="","",COUNTIFS('5. Gantt EQUIFILLES'!E$6:E$200,"*"&amp;B36&amp;"*",'5. Gantt EQUIFILLES'!Q$6:Q$200,"En retard"))</f>
        <v/>
      </c>
      <c r="G36" s="52" t="str">
        <f aca="false">IF(B36="","",COUNTIFS('5. Gantt EQUIFILLES'!E$6:E$200,"*"&amp;B36&amp;"*",'5. Gantt EQUIFILLES'!Q$6:Q$200,"Critique"))</f>
        <v/>
      </c>
      <c r="H36" s="52" t="str">
        <f aca="false">IF(B36="","",COUNTIFS('5. Gantt EQUIFILLES'!E$6:E$200,"*"&amp;B36&amp;"*",'5. Gantt EQUIFILLES'!Q$6:Q$200,"Terminé à temps"))</f>
        <v/>
      </c>
      <c r="I36" s="52" t="str">
        <f aca="false">IF(B36="","",COUNTIFS('5. Gantt EQUIFILLES'!E$6:E$200,"*"&amp;B36&amp;"*",'5. Gantt EQUIFILLES'!Q$6:Q$200,"Terminé hors délai"))</f>
        <v/>
      </c>
      <c r="J36" s="55" t="str">
        <f aca="false">IF(B36="","",IFERROR(SUMPRODUCT(('5. Gantt EQUIFILLES'!E$6:E$200=B36)*('5. Gantt EQUIFILLES'!R$6:R$200))/SUMPRODUCT(--('5. Gantt EQUIFILLES'!E$6:E$200=B36)),0))</f>
        <v/>
      </c>
      <c r="K36" s="91" t="str">
        <f aca="false">IF(B36="","",IFERROR(SUMPRODUCT(('5. Gantt EQUIFILLES'!E$6:E$200=B36)*('5. Gantt EQUIFILLES'!R$6:R$200)*('5. Gantt EQUIFILLES'!G$6:G$200))/SUMPRODUCT(--('5. Gantt EQUIFILLES'!E$6:E$200=B36)*('5. Gantt EQUIFILLES'!G$6:G$200))/100,0))</f>
        <v/>
      </c>
      <c r="L36" s="27" t="str">
        <f aca="false">IF(B36="","",IF(K36&gt;=0.85,"Excellent",IF(K36&gt;=0.65,"Satisfaisant",IF(K36&gt;=0.4,"À améliorer",IF(K36&gt;0,"Insuffisant","Non évalué")))))</f>
        <v/>
      </c>
    </row>
    <row r="37" customFormat="false" ht="24" hidden="false" customHeight="true" outlineLevel="0" collapsed="false">
      <c r="B37" s="6" t="str">
        <f aca="false">IF('3. Équipe'!C37="","",'3. Équipe'!C37)</f>
        <v/>
      </c>
      <c r="C37" s="52" t="str">
        <f aca="false">IF(B37="","",COUNTIF('5. Gantt EQUIFILLES'!E$6:E$200,"*"&amp;B37&amp;"*")+COUNTIF('5. Gantt EQUIFILLES'!F$6:F$200,"*"&amp;B37&amp;"*"))</f>
        <v/>
      </c>
      <c r="D37" s="52" t="str">
        <f aca="false">IF(B37="","",COUNTIFS('5. Gantt EQUIFILLES'!E$6:E$200,"*"&amp;B37&amp;"*",'5. Gantt EQUIFILLES'!Q$6:Q$200,"À temps"))</f>
        <v/>
      </c>
      <c r="E37" s="52" t="str">
        <f aca="false">IF(B37="","",COUNTIFS('5. Gantt EQUIFILLES'!E$6:E$200,"*"&amp;B37&amp;"*",'5. Gantt EQUIFILLES'!Q$6:Q$200,"À surveiller"))</f>
        <v/>
      </c>
      <c r="F37" s="52" t="str">
        <f aca="false">IF(B37="","",COUNTIFS('5. Gantt EQUIFILLES'!E$6:E$200,"*"&amp;B37&amp;"*",'5. Gantt EQUIFILLES'!Q$6:Q$200,"En retard"))</f>
        <v/>
      </c>
      <c r="G37" s="52" t="str">
        <f aca="false">IF(B37="","",COUNTIFS('5. Gantt EQUIFILLES'!E$6:E$200,"*"&amp;B37&amp;"*",'5. Gantt EQUIFILLES'!Q$6:Q$200,"Critique"))</f>
        <v/>
      </c>
      <c r="H37" s="52" t="str">
        <f aca="false">IF(B37="","",COUNTIFS('5. Gantt EQUIFILLES'!E$6:E$200,"*"&amp;B37&amp;"*",'5. Gantt EQUIFILLES'!Q$6:Q$200,"Terminé à temps"))</f>
        <v/>
      </c>
      <c r="I37" s="52" t="str">
        <f aca="false">IF(B37="","",COUNTIFS('5. Gantt EQUIFILLES'!E$6:E$200,"*"&amp;B37&amp;"*",'5. Gantt EQUIFILLES'!Q$6:Q$200,"Terminé hors délai"))</f>
        <v/>
      </c>
      <c r="J37" s="55" t="str">
        <f aca="false">IF(B37="","",IFERROR(SUMPRODUCT(('5. Gantt EQUIFILLES'!E$6:E$200=B37)*('5. Gantt EQUIFILLES'!R$6:R$200))/SUMPRODUCT(--('5. Gantt EQUIFILLES'!E$6:E$200=B37)),0))</f>
        <v/>
      </c>
      <c r="K37" s="91" t="str">
        <f aca="false">IF(B37="","",IFERROR(SUMPRODUCT(('5. Gantt EQUIFILLES'!E$6:E$200=B37)*('5. Gantt EQUIFILLES'!R$6:R$200)*('5. Gantt EQUIFILLES'!G$6:G$200))/SUMPRODUCT(--('5. Gantt EQUIFILLES'!E$6:E$200=B37)*('5. Gantt EQUIFILLES'!G$6:G$200))/100,0))</f>
        <v/>
      </c>
      <c r="L37" s="38" t="str">
        <f aca="false">IF(B37="","",IF(K37&gt;=0.85,"Excellent",IF(K37&gt;=0.65,"Satisfaisant",IF(K37&gt;=0.4,"À améliorer",IF(K37&gt;0,"Insuffisant","Non évalué")))))</f>
        <v/>
      </c>
    </row>
    <row r="38" customFormat="false" ht="24" hidden="false" customHeight="true" outlineLevel="0" collapsed="false">
      <c r="B38" s="10" t="str">
        <f aca="false">IF('3. Équipe'!C38="","",'3. Équipe'!C38)</f>
        <v/>
      </c>
      <c r="C38" s="52" t="str">
        <f aca="false">IF(B38="","",COUNTIF('5. Gantt EQUIFILLES'!E$6:E$200,"*"&amp;B38&amp;"*")+COUNTIF('5. Gantt EQUIFILLES'!F$6:F$200,"*"&amp;B38&amp;"*"))</f>
        <v/>
      </c>
      <c r="D38" s="52" t="str">
        <f aca="false">IF(B38="","",COUNTIFS('5. Gantt EQUIFILLES'!E$6:E$200,"*"&amp;B38&amp;"*",'5. Gantt EQUIFILLES'!Q$6:Q$200,"À temps"))</f>
        <v/>
      </c>
      <c r="E38" s="52" t="str">
        <f aca="false">IF(B38="","",COUNTIFS('5. Gantt EQUIFILLES'!E$6:E$200,"*"&amp;B38&amp;"*",'5. Gantt EQUIFILLES'!Q$6:Q$200,"À surveiller"))</f>
        <v/>
      </c>
      <c r="F38" s="52" t="str">
        <f aca="false">IF(B38="","",COUNTIFS('5. Gantt EQUIFILLES'!E$6:E$200,"*"&amp;B38&amp;"*",'5. Gantt EQUIFILLES'!Q$6:Q$200,"En retard"))</f>
        <v/>
      </c>
      <c r="G38" s="52" t="str">
        <f aca="false">IF(B38="","",COUNTIFS('5. Gantt EQUIFILLES'!E$6:E$200,"*"&amp;B38&amp;"*",'5. Gantt EQUIFILLES'!Q$6:Q$200,"Critique"))</f>
        <v/>
      </c>
      <c r="H38" s="52" t="str">
        <f aca="false">IF(B38="","",COUNTIFS('5. Gantt EQUIFILLES'!E$6:E$200,"*"&amp;B38&amp;"*",'5. Gantt EQUIFILLES'!Q$6:Q$200,"Terminé à temps"))</f>
        <v/>
      </c>
      <c r="I38" s="52" t="str">
        <f aca="false">IF(B38="","",COUNTIFS('5. Gantt EQUIFILLES'!E$6:E$200,"*"&amp;B38&amp;"*",'5. Gantt EQUIFILLES'!Q$6:Q$200,"Terminé hors délai"))</f>
        <v/>
      </c>
      <c r="J38" s="55" t="str">
        <f aca="false">IF(B38="","",IFERROR(SUMPRODUCT(('5. Gantt EQUIFILLES'!E$6:E$200=B38)*('5. Gantt EQUIFILLES'!R$6:R$200))/SUMPRODUCT(--('5. Gantt EQUIFILLES'!E$6:E$200=B38)),0))</f>
        <v/>
      </c>
      <c r="K38" s="91" t="str">
        <f aca="false">IF(B38="","",IFERROR(SUMPRODUCT(('5. Gantt EQUIFILLES'!E$6:E$200=B38)*('5. Gantt EQUIFILLES'!R$6:R$200)*('5. Gantt EQUIFILLES'!G$6:G$200))/SUMPRODUCT(--('5. Gantt EQUIFILLES'!E$6:E$200=B38)*('5. Gantt EQUIFILLES'!G$6:G$200))/100,0))</f>
        <v/>
      </c>
      <c r="L38" s="27" t="str">
        <f aca="false">IF(B38="","",IF(K38&gt;=0.85,"Excellent",IF(K38&gt;=0.65,"Satisfaisant",IF(K38&gt;=0.4,"À améliorer",IF(K38&gt;0,"Insuffisant","Non évalué")))))</f>
        <v/>
      </c>
    </row>
    <row r="39" customFormat="false" ht="24" hidden="false" customHeight="true" outlineLevel="0" collapsed="false">
      <c r="B39" s="6" t="str">
        <f aca="false">IF('3. Équipe'!C39="","",'3. Équipe'!C39)</f>
        <v/>
      </c>
      <c r="C39" s="52" t="str">
        <f aca="false">IF(B39="","",COUNTIF('5. Gantt EQUIFILLES'!E$6:E$200,"*"&amp;B39&amp;"*")+COUNTIF('5. Gantt EQUIFILLES'!F$6:F$200,"*"&amp;B39&amp;"*"))</f>
        <v/>
      </c>
      <c r="D39" s="52" t="str">
        <f aca="false">IF(B39="","",COUNTIFS('5. Gantt EQUIFILLES'!E$6:E$200,"*"&amp;B39&amp;"*",'5. Gantt EQUIFILLES'!Q$6:Q$200,"À temps"))</f>
        <v/>
      </c>
      <c r="E39" s="52" t="str">
        <f aca="false">IF(B39="","",COUNTIFS('5. Gantt EQUIFILLES'!E$6:E$200,"*"&amp;B39&amp;"*",'5. Gantt EQUIFILLES'!Q$6:Q$200,"À surveiller"))</f>
        <v/>
      </c>
      <c r="F39" s="52" t="str">
        <f aca="false">IF(B39="","",COUNTIFS('5. Gantt EQUIFILLES'!E$6:E$200,"*"&amp;B39&amp;"*",'5. Gantt EQUIFILLES'!Q$6:Q$200,"En retard"))</f>
        <v/>
      </c>
      <c r="G39" s="52" t="str">
        <f aca="false">IF(B39="","",COUNTIFS('5. Gantt EQUIFILLES'!E$6:E$200,"*"&amp;B39&amp;"*",'5. Gantt EQUIFILLES'!Q$6:Q$200,"Critique"))</f>
        <v/>
      </c>
      <c r="H39" s="52" t="str">
        <f aca="false">IF(B39="","",COUNTIFS('5. Gantt EQUIFILLES'!E$6:E$200,"*"&amp;B39&amp;"*",'5. Gantt EQUIFILLES'!Q$6:Q$200,"Terminé à temps"))</f>
        <v/>
      </c>
      <c r="I39" s="52" t="str">
        <f aca="false">IF(B39="","",COUNTIFS('5. Gantt EQUIFILLES'!E$6:E$200,"*"&amp;B39&amp;"*",'5. Gantt EQUIFILLES'!Q$6:Q$200,"Terminé hors délai"))</f>
        <v/>
      </c>
      <c r="J39" s="55" t="str">
        <f aca="false">IF(B39="","",IFERROR(SUMPRODUCT(('5. Gantt EQUIFILLES'!E$6:E$200=B39)*('5. Gantt EQUIFILLES'!R$6:R$200))/SUMPRODUCT(--('5. Gantt EQUIFILLES'!E$6:E$200=B39)),0))</f>
        <v/>
      </c>
      <c r="K39" s="91" t="str">
        <f aca="false">IF(B39="","",IFERROR(SUMPRODUCT(('5. Gantt EQUIFILLES'!E$6:E$200=B39)*('5. Gantt EQUIFILLES'!R$6:R$200)*('5. Gantt EQUIFILLES'!G$6:G$200))/SUMPRODUCT(--('5. Gantt EQUIFILLES'!E$6:E$200=B39)*('5. Gantt EQUIFILLES'!G$6:G$200))/100,0))</f>
        <v/>
      </c>
      <c r="L39" s="38" t="str">
        <f aca="false">IF(B39="","",IF(K39&gt;=0.85,"Excellent",IF(K39&gt;=0.65,"Satisfaisant",IF(K39&gt;=0.4,"À améliorer",IF(K39&gt;0,"Insuffisant","Non évalué")))))</f>
        <v/>
      </c>
    </row>
    <row r="40" customFormat="false" ht="24" hidden="false" customHeight="true" outlineLevel="0" collapsed="false">
      <c r="B40" s="10" t="str">
        <f aca="false">IF('3. Équipe'!C40="","",'3. Équipe'!C40)</f>
        <v/>
      </c>
      <c r="C40" s="52" t="str">
        <f aca="false">IF(B40="","",COUNTIF('5. Gantt EQUIFILLES'!E$6:E$200,"*"&amp;B40&amp;"*")+COUNTIF('5. Gantt EQUIFILLES'!F$6:F$200,"*"&amp;B40&amp;"*"))</f>
        <v/>
      </c>
      <c r="D40" s="52" t="str">
        <f aca="false">IF(B40="","",COUNTIFS('5. Gantt EQUIFILLES'!E$6:E$200,"*"&amp;B40&amp;"*",'5. Gantt EQUIFILLES'!Q$6:Q$200,"À temps"))</f>
        <v/>
      </c>
      <c r="E40" s="52" t="str">
        <f aca="false">IF(B40="","",COUNTIFS('5. Gantt EQUIFILLES'!E$6:E$200,"*"&amp;B40&amp;"*",'5. Gantt EQUIFILLES'!Q$6:Q$200,"À surveiller"))</f>
        <v/>
      </c>
      <c r="F40" s="52" t="str">
        <f aca="false">IF(B40="","",COUNTIFS('5. Gantt EQUIFILLES'!E$6:E$200,"*"&amp;B40&amp;"*",'5. Gantt EQUIFILLES'!Q$6:Q$200,"En retard"))</f>
        <v/>
      </c>
      <c r="G40" s="52" t="str">
        <f aca="false">IF(B40="","",COUNTIFS('5. Gantt EQUIFILLES'!E$6:E$200,"*"&amp;B40&amp;"*",'5. Gantt EQUIFILLES'!Q$6:Q$200,"Critique"))</f>
        <v/>
      </c>
      <c r="H40" s="52" t="str">
        <f aca="false">IF(B40="","",COUNTIFS('5. Gantt EQUIFILLES'!E$6:E$200,"*"&amp;B40&amp;"*",'5. Gantt EQUIFILLES'!Q$6:Q$200,"Terminé à temps"))</f>
        <v/>
      </c>
      <c r="I40" s="52" t="str">
        <f aca="false">IF(B40="","",COUNTIFS('5. Gantt EQUIFILLES'!E$6:E$200,"*"&amp;B40&amp;"*",'5. Gantt EQUIFILLES'!Q$6:Q$200,"Terminé hors délai"))</f>
        <v/>
      </c>
      <c r="J40" s="55" t="str">
        <f aca="false">IF(B40="","",IFERROR(SUMPRODUCT(('5. Gantt EQUIFILLES'!E$6:E$200=B40)*('5. Gantt EQUIFILLES'!R$6:R$200))/SUMPRODUCT(--('5. Gantt EQUIFILLES'!E$6:E$200=B40)),0))</f>
        <v/>
      </c>
      <c r="K40" s="91" t="str">
        <f aca="false">IF(B40="","",IFERROR(SUMPRODUCT(('5. Gantt EQUIFILLES'!E$6:E$200=B40)*('5. Gantt EQUIFILLES'!R$6:R$200)*('5. Gantt EQUIFILLES'!G$6:G$200))/SUMPRODUCT(--('5. Gantt EQUIFILLES'!E$6:E$200=B40)*('5. Gantt EQUIFILLES'!G$6:G$200))/100,0))</f>
        <v/>
      </c>
      <c r="L40" s="27" t="str">
        <f aca="false">IF(B40="","",IF(K40&gt;=0.85,"Excellent",IF(K40&gt;=0.65,"Satisfaisant",IF(K40&gt;=0.4,"À améliorer",IF(K40&gt;0,"Insuffisant","Non évalué")))))</f>
        <v/>
      </c>
    </row>
    <row r="41" customFormat="false" ht="24" hidden="false" customHeight="true" outlineLevel="0" collapsed="false">
      <c r="B41" s="6" t="str">
        <f aca="false">IF('3. Équipe'!C41="","",'3. Équipe'!C41)</f>
        <v/>
      </c>
      <c r="C41" s="52" t="str">
        <f aca="false">IF(B41="","",COUNTIF('5. Gantt EQUIFILLES'!E$6:E$200,"*"&amp;B41&amp;"*")+COUNTIF('5. Gantt EQUIFILLES'!F$6:F$200,"*"&amp;B41&amp;"*"))</f>
        <v/>
      </c>
      <c r="D41" s="52" t="str">
        <f aca="false">IF(B41="","",COUNTIFS('5. Gantt EQUIFILLES'!E$6:E$200,"*"&amp;B41&amp;"*",'5. Gantt EQUIFILLES'!Q$6:Q$200,"À temps"))</f>
        <v/>
      </c>
      <c r="E41" s="52" t="str">
        <f aca="false">IF(B41="","",COUNTIFS('5. Gantt EQUIFILLES'!E$6:E$200,"*"&amp;B41&amp;"*",'5. Gantt EQUIFILLES'!Q$6:Q$200,"À surveiller"))</f>
        <v/>
      </c>
      <c r="F41" s="52" t="str">
        <f aca="false">IF(B41="","",COUNTIFS('5. Gantt EQUIFILLES'!E$6:E$200,"*"&amp;B41&amp;"*",'5. Gantt EQUIFILLES'!Q$6:Q$200,"En retard"))</f>
        <v/>
      </c>
      <c r="G41" s="52" t="str">
        <f aca="false">IF(B41="","",COUNTIFS('5. Gantt EQUIFILLES'!E$6:E$200,"*"&amp;B41&amp;"*",'5. Gantt EQUIFILLES'!Q$6:Q$200,"Critique"))</f>
        <v/>
      </c>
      <c r="H41" s="52" t="str">
        <f aca="false">IF(B41="","",COUNTIFS('5. Gantt EQUIFILLES'!E$6:E$200,"*"&amp;B41&amp;"*",'5. Gantt EQUIFILLES'!Q$6:Q$200,"Terminé à temps"))</f>
        <v/>
      </c>
      <c r="I41" s="52" t="str">
        <f aca="false">IF(B41="","",COUNTIFS('5. Gantt EQUIFILLES'!E$6:E$200,"*"&amp;B41&amp;"*",'5. Gantt EQUIFILLES'!Q$6:Q$200,"Terminé hors délai"))</f>
        <v/>
      </c>
      <c r="J41" s="55" t="str">
        <f aca="false">IF(B41="","",IFERROR(SUMPRODUCT(('5. Gantt EQUIFILLES'!E$6:E$200=B41)*('5. Gantt EQUIFILLES'!R$6:R$200))/SUMPRODUCT(--('5. Gantt EQUIFILLES'!E$6:E$200=B41)),0))</f>
        <v/>
      </c>
      <c r="K41" s="91" t="str">
        <f aca="false">IF(B41="","",IFERROR(SUMPRODUCT(('5. Gantt EQUIFILLES'!E$6:E$200=B41)*('5. Gantt EQUIFILLES'!R$6:R$200)*('5. Gantt EQUIFILLES'!G$6:G$200))/SUMPRODUCT(--('5. Gantt EQUIFILLES'!E$6:E$200=B41)*('5. Gantt EQUIFILLES'!G$6:G$200))/100,0))</f>
        <v/>
      </c>
      <c r="L41" s="38" t="str">
        <f aca="false">IF(B41="","",IF(K41&gt;=0.85,"Excellent",IF(K41&gt;=0.65,"Satisfaisant",IF(K41&gt;=0.4,"À améliorer",IF(K41&gt;0,"Insuffisant","Non évalué")))))</f>
        <v/>
      </c>
    </row>
    <row r="42" customFormat="false" ht="24" hidden="false" customHeight="true" outlineLevel="0" collapsed="false">
      <c r="B42" s="10" t="str">
        <f aca="false">IF('3. Équipe'!C42="","",'3. Équipe'!C42)</f>
        <v/>
      </c>
      <c r="C42" s="52" t="str">
        <f aca="false">IF(B42="","",COUNTIF('5. Gantt EQUIFILLES'!E$6:E$200,"*"&amp;B42&amp;"*")+COUNTIF('5. Gantt EQUIFILLES'!F$6:F$200,"*"&amp;B42&amp;"*"))</f>
        <v/>
      </c>
      <c r="D42" s="52" t="str">
        <f aca="false">IF(B42="","",COUNTIFS('5. Gantt EQUIFILLES'!E$6:E$200,"*"&amp;B42&amp;"*",'5. Gantt EQUIFILLES'!Q$6:Q$200,"À temps"))</f>
        <v/>
      </c>
      <c r="E42" s="52" t="str">
        <f aca="false">IF(B42="","",COUNTIFS('5. Gantt EQUIFILLES'!E$6:E$200,"*"&amp;B42&amp;"*",'5. Gantt EQUIFILLES'!Q$6:Q$200,"À surveiller"))</f>
        <v/>
      </c>
      <c r="F42" s="52" t="str">
        <f aca="false">IF(B42="","",COUNTIFS('5. Gantt EQUIFILLES'!E$6:E$200,"*"&amp;B42&amp;"*",'5. Gantt EQUIFILLES'!Q$6:Q$200,"En retard"))</f>
        <v/>
      </c>
      <c r="G42" s="52" t="str">
        <f aca="false">IF(B42="","",COUNTIFS('5. Gantt EQUIFILLES'!E$6:E$200,"*"&amp;B42&amp;"*",'5. Gantt EQUIFILLES'!Q$6:Q$200,"Critique"))</f>
        <v/>
      </c>
      <c r="H42" s="52" t="str">
        <f aca="false">IF(B42="","",COUNTIFS('5. Gantt EQUIFILLES'!E$6:E$200,"*"&amp;B42&amp;"*",'5. Gantt EQUIFILLES'!Q$6:Q$200,"Terminé à temps"))</f>
        <v/>
      </c>
      <c r="I42" s="52" t="str">
        <f aca="false">IF(B42="","",COUNTIFS('5. Gantt EQUIFILLES'!E$6:E$200,"*"&amp;B42&amp;"*",'5. Gantt EQUIFILLES'!Q$6:Q$200,"Terminé hors délai"))</f>
        <v/>
      </c>
      <c r="J42" s="55" t="str">
        <f aca="false">IF(B42="","",IFERROR(SUMPRODUCT(('5. Gantt EQUIFILLES'!E$6:E$200=B42)*('5. Gantt EQUIFILLES'!R$6:R$200))/SUMPRODUCT(--('5. Gantt EQUIFILLES'!E$6:E$200=B42)),0))</f>
        <v/>
      </c>
      <c r="K42" s="91" t="str">
        <f aca="false">IF(B42="","",IFERROR(SUMPRODUCT(('5. Gantt EQUIFILLES'!E$6:E$200=B42)*('5. Gantt EQUIFILLES'!R$6:R$200)*('5. Gantt EQUIFILLES'!G$6:G$200))/SUMPRODUCT(--('5. Gantt EQUIFILLES'!E$6:E$200=B42)*('5. Gantt EQUIFILLES'!G$6:G$200))/100,0))</f>
        <v/>
      </c>
      <c r="L42" s="27" t="str">
        <f aca="false">IF(B42="","",IF(K42&gt;=0.85,"Excellent",IF(K42&gt;=0.65,"Satisfaisant",IF(K42&gt;=0.4,"À améliorer",IF(K42&gt;0,"Insuffisant","Non évalué")))))</f>
        <v/>
      </c>
    </row>
    <row r="43" customFormat="false" ht="24" hidden="false" customHeight="true" outlineLevel="0" collapsed="false">
      <c r="B43" s="6" t="str">
        <f aca="false">IF('3. Équipe'!C43="","",'3. Équipe'!C43)</f>
        <v/>
      </c>
      <c r="C43" s="52" t="str">
        <f aca="false">IF(B43="","",COUNTIF('5. Gantt EQUIFILLES'!E$6:E$200,"*"&amp;B43&amp;"*")+COUNTIF('5. Gantt EQUIFILLES'!F$6:F$200,"*"&amp;B43&amp;"*"))</f>
        <v/>
      </c>
      <c r="D43" s="52" t="str">
        <f aca="false">IF(B43="","",COUNTIFS('5. Gantt EQUIFILLES'!E$6:E$200,"*"&amp;B43&amp;"*",'5. Gantt EQUIFILLES'!Q$6:Q$200,"À temps"))</f>
        <v/>
      </c>
      <c r="E43" s="52" t="str">
        <f aca="false">IF(B43="","",COUNTIFS('5. Gantt EQUIFILLES'!E$6:E$200,"*"&amp;B43&amp;"*",'5. Gantt EQUIFILLES'!Q$6:Q$200,"À surveiller"))</f>
        <v/>
      </c>
      <c r="F43" s="52" t="str">
        <f aca="false">IF(B43="","",COUNTIFS('5. Gantt EQUIFILLES'!E$6:E$200,"*"&amp;B43&amp;"*",'5. Gantt EQUIFILLES'!Q$6:Q$200,"En retard"))</f>
        <v/>
      </c>
      <c r="G43" s="52" t="str">
        <f aca="false">IF(B43="","",COUNTIFS('5. Gantt EQUIFILLES'!E$6:E$200,"*"&amp;B43&amp;"*",'5. Gantt EQUIFILLES'!Q$6:Q$200,"Critique"))</f>
        <v/>
      </c>
      <c r="H43" s="52" t="str">
        <f aca="false">IF(B43="","",COUNTIFS('5. Gantt EQUIFILLES'!E$6:E$200,"*"&amp;B43&amp;"*",'5. Gantt EQUIFILLES'!Q$6:Q$200,"Terminé à temps"))</f>
        <v/>
      </c>
      <c r="I43" s="52" t="str">
        <f aca="false">IF(B43="","",COUNTIFS('5. Gantt EQUIFILLES'!E$6:E$200,"*"&amp;B43&amp;"*",'5. Gantt EQUIFILLES'!Q$6:Q$200,"Terminé hors délai"))</f>
        <v/>
      </c>
      <c r="J43" s="55" t="str">
        <f aca="false">IF(B43="","",IFERROR(SUMPRODUCT(('5. Gantt EQUIFILLES'!E$6:E$200=B43)*('5. Gantt EQUIFILLES'!R$6:R$200))/SUMPRODUCT(--('5. Gantt EQUIFILLES'!E$6:E$200=B43)),0))</f>
        <v/>
      </c>
      <c r="K43" s="91" t="str">
        <f aca="false">IF(B43="","",IFERROR(SUMPRODUCT(('5. Gantt EQUIFILLES'!E$6:E$200=B43)*('5. Gantt EQUIFILLES'!R$6:R$200)*('5. Gantt EQUIFILLES'!G$6:G$200))/SUMPRODUCT(--('5. Gantt EQUIFILLES'!E$6:E$200=B43)*('5. Gantt EQUIFILLES'!G$6:G$200))/100,0))</f>
        <v/>
      </c>
      <c r="L43" s="38" t="str">
        <f aca="false">IF(B43="","",IF(K43&gt;=0.85,"Excellent",IF(K43&gt;=0.65,"Satisfaisant",IF(K43&gt;=0.4,"À améliorer",IF(K43&gt;0,"Insuffisant","Non évalué")))))</f>
        <v/>
      </c>
    </row>
    <row r="44" customFormat="false" ht="24" hidden="false" customHeight="true" outlineLevel="0" collapsed="false">
      <c r="B44" s="10" t="str">
        <f aca="false">IF('3. Équipe'!C44="","",'3. Équipe'!C44)</f>
        <v/>
      </c>
      <c r="C44" s="52" t="str">
        <f aca="false">IF(B44="","",COUNTIF('5. Gantt EQUIFILLES'!E$6:E$200,"*"&amp;B44&amp;"*")+COUNTIF('5. Gantt EQUIFILLES'!F$6:F$200,"*"&amp;B44&amp;"*"))</f>
        <v/>
      </c>
      <c r="D44" s="52" t="str">
        <f aca="false">IF(B44="","",COUNTIFS('5. Gantt EQUIFILLES'!E$6:E$200,"*"&amp;B44&amp;"*",'5. Gantt EQUIFILLES'!Q$6:Q$200,"À temps"))</f>
        <v/>
      </c>
      <c r="E44" s="52" t="str">
        <f aca="false">IF(B44="","",COUNTIFS('5. Gantt EQUIFILLES'!E$6:E$200,"*"&amp;B44&amp;"*",'5. Gantt EQUIFILLES'!Q$6:Q$200,"À surveiller"))</f>
        <v/>
      </c>
      <c r="F44" s="52" t="str">
        <f aca="false">IF(B44="","",COUNTIFS('5. Gantt EQUIFILLES'!E$6:E$200,"*"&amp;B44&amp;"*",'5. Gantt EQUIFILLES'!Q$6:Q$200,"En retard"))</f>
        <v/>
      </c>
      <c r="G44" s="52" t="str">
        <f aca="false">IF(B44="","",COUNTIFS('5. Gantt EQUIFILLES'!E$6:E$200,"*"&amp;B44&amp;"*",'5. Gantt EQUIFILLES'!Q$6:Q$200,"Critique"))</f>
        <v/>
      </c>
      <c r="H44" s="52" t="str">
        <f aca="false">IF(B44="","",COUNTIFS('5. Gantt EQUIFILLES'!E$6:E$200,"*"&amp;B44&amp;"*",'5. Gantt EQUIFILLES'!Q$6:Q$200,"Terminé à temps"))</f>
        <v/>
      </c>
      <c r="I44" s="52" t="str">
        <f aca="false">IF(B44="","",COUNTIFS('5. Gantt EQUIFILLES'!E$6:E$200,"*"&amp;B44&amp;"*",'5. Gantt EQUIFILLES'!Q$6:Q$200,"Terminé hors délai"))</f>
        <v/>
      </c>
      <c r="J44" s="55" t="str">
        <f aca="false">IF(B44="","",IFERROR(SUMPRODUCT(('5. Gantt EQUIFILLES'!E$6:E$200=B44)*('5. Gantt EQUIFILLES'!R$6:R$200))/SUMPRODUCT(--('5. Gantt EQUIFILLES'!E$6:E$200=B44)),0))</f>
        <v/>
      </c>
      <c r="K44" s="91" t="str">
        <f aca="false">IF(B44="","",IFERROR(SUMPRODUCT(('5. Gantt EQUIFILLES'!E$6:E$200=B44)*('5. Gantt EQUIFILLES'!R$6:R$200)*('5. Gantt EQUIFILLES'!G$6:G$200))/SUMPRODUCT(--('5. Gantt EQUIFILLES'!E$6:E$200=B44)*('5. Gantt EQUIFILLES'!G$6:G$200))/100,0))</f>
        <v/>
      </c>
      <c r="L44" s="27" t="str">
        <f aca="false">IF(B44="","",IF(K44&gt;=0.85,"Excellent",IF(K44&gt;=0.65,"Satisfaisant",IF(K44&gt;=0.4,"À améliorer",IF(K44&gt;0,"Insuffisant","Non évalué")))))</f>
        <v/>
      </c>
    </row>
    <row r="45" customFormat="false" ht="24" hidden="false" customHeight="true" outlineLevel="0" collapsed="false">
      <c r="B45" s="6" t="str">
        <f aca="false">IF('3. Équipe'!C45="","",'3. Équipe'!C45)</f>
        <v/>
      </c>
      <c r="C45" s="52" t="str">
        <f aca="false">IF(B45="","",COUNTIF('5. Gantt EQUIFILLES'!E$6:E$200,"*"&amp;B45&amp;"*")+COUNTIF('5. Gantt EQUIFILLES'!F$6:F$200,"*"&amp;B45&amp;"*"))</f>
        <v/>
      </c>
      <c r="D45" s="52" t="str">
        <f aca="false">IF(B45="","",COUNTIFS('5. Gantt EQUIFILLES'!E$6:E$200,"*"&amp;B45&amp;"*",'5. Gantt EQUIFILLES'!Q$6:Q$200,"À temps"))</f>
        <v/>
      </c>
      <c r="E45" s="52" t="str">
        <f aca="false">IF(B45="","",COUNTIFS('5. Gantt EQUIFILLES'!E$6:E$200,"*"&amp;B45&amp;"*",'5. Gantt EQUIFILLES'!Q$6:Q$200,"À surveiller"))</f>
        <v/>
      </c>
      <c r="F45" s="52" t="str">
        <f aca="false">IF(B45="","",COUNTIFS('5. Gantt EQUIFILLES'!E$6:E$200,"*"&amp;B45&amp;"*",'5. Gantt EQUIFILLES'!Q$6:Q$200,"En retard"))</f>
        <v/>
      </c>
      <c r="G45" s="52" t="str">
        <f aca="false">IF(B45="","",COUNTIFS('5. Gantt EQUIFILLES'!E$6:E$200,"*"&amp;B45&amp;"*",'5. Gantt EQUIFILLES'!Q$6:Q$200,"Critique"))</f>
        <v/>
      </c>
      <c r="H45" s="52" t="str">
        <f aca="false">IF(B45="","",COUNTIFS('5. Gantt EQUIFILLES'!E$6:E$200,"*"&amp;B45&amp;"*",'5. Gantt EQUIFILLES'!Q$6:Q$200,"Terminé à temps"))</f>
        <v/>
      </c>
      <c r="I45" s="52" t="str">
        <f aca="false">IF(B45="","",COUNTIFS('5. Gantt EQUIFILLES'!E$6:E$200,"*"&amp;B45&amp;"*",'5. Gantt EQUIFILLES'!Q$6:Q$200,"Terminé hors délai"))</f>
        <v/>
      </c>
      <c r="J45" s="55" t="str">
        <f aca="false">IF(B45="","",IFERROR(SUMPRODUCT(('5. Gantt EQUIFILLES'!E$6:E$200=B45)*('5. Gantt EQUIFILLES'!R$6:R$200))/SUMPRODUCT(--('5. Gantt EQUIFILLES'!E$6:E$200=B45)),0))</f>
        <v/>
      </c>
      <c r="K45" s="91" t="str">
        <f aca="false">IF(B45="","",IFERROR(SUMPRODUCT(('5. Gantt EQUIFILLES'!E$6:E$200=B45)*('5. Gantt EQUIFILLES'!R$6:R$200)*('5. Gantt EQUIFILLES'!G$6:G$200))/SUMPRODUCT(--('5. Gantt EQUIFILLES'!E$6:E$200=B45)*('5. Gantt EQUIFILLES'!G$6:G$200))/100,0))</f>
        <v/>
      </c>
      <c r="L45" s="38" t="str">
        <f aca="false">IF(B45="","",IF(K45&gt;=0.85,"Excellent",IF(K45&gt;=0.65,"Satisfaisant",IF(K45&gt;=0.4,"À améliorer",IF(K45&gt;0,"Insuffisant","Non évalué")))))</f>
        <v/>
      </c>
    </row>
    <row r="46" customFormat="false" ht="24" hidden="false" customHeight="true" outlineLevel="0" collapsed="false">
      <c r="B46" s="10" t="str">
        <f aca="false">IF('3. Équipe'!C46="","",'3. Équipe'!C46)</f>
        <v/>
      </c>
      <c r="C46" s="52" t="str">
        <f aca="false">IF(B46="","",COUNTIF('5. Gantt EQUIFILLES'!E$6:E$200,"*"&amp;B46&amp;"*")+COUNTIF('5. Gantt EQUIFILLES'!F$6:F$200,"*"&amp;B46&amp;"*"))</f>
        <v/>
      </c>
      <c r="D46" s="52" t="str">
        <f aca="false">IF(B46="","",COUNTIFS('5. Gantt EQUIFILLES'!E$6:E$200,"*"&amp;B46&amp;"*",'5. Gantt EQUIFILLES'!Q$6:Q$200,"À temps"))</f>
        <v/>
      </c>
      <c r="E46" s="52" t="str">
        <f aca="false">IF(B46="","",COUNTIFS('5. Gantt EQUIFILLES'!E$6:E$200,"*"&amp;B46&amp;"*",'5. Gantt EQUIFILLES'!Q$6:Q$200,"À surveiller"))</f>
        <v/>
      </c>
      <c r="F46" s="52" t="str">
        <f aca="false">IF(B46="","",COUNTIFS('5. Gantt EQUIFILLES'!E$6:E$200,"*"&amp;B46&amp;"*",'5. Gantt EQUIFILLES'!Q$6:Q$200,"En retard"))</f>
        <v/>
      </c>
      <c r="G46" s="52" t="str">
        <f aca="false">IF(B46="","",COUNTIFS('5. Gantt EQUIFILLES'!E$6:E$200,"*"&amp;B46&amp;"*",'5. Gantt EQUIFILLES'!Q$6:Q$200,"Critique"))</f>
        <v/>
      </c>
      <c r="H46" s="52" t="str">
        <f aca="false">IF(B46="","",COUNTIFS('5. Gantt EQUIFILLES'!E$6:E$200,"*"&amp;B46&amp;"*",'5. Gantt EQUIFILLES'!Q$6:Q$200,"Terminé à temps"))</f>
        <v/>
      </c>
      <c r="I46" s="52" t="str">
        <f aca="false">IF(B46="","",COUNTIFS('5. Gantt EQUIFILLES'!E$6:E$200,"*"&amp;B46&amp;"*",'5. Gantt EQUIFILLES'!Q$6:Q$200,"Terminé hors délai"))</f>
        <v/>
      </c>
      <c r="J46" s="55" t="str">
        <f aca="false">IF(B46="","",IFERROR(SUMPRODUCT(('5. Gantt EQUIFILLES'!E$6:E$200=B46)*('5. Gantt EQUIFILLES'!R$6:R$200))/SUMPRODUCT(--('5. Gantt EQUIFILLES'!E$6:E$200=B46)),0))</f>
        <v/>
      </c>
      <c r="K46" s="91" t="str">
        <f aca="false">IF(B46="","",IFERROR(SUMPRODUCT(('5. Gantt EQUIFILLES'!E$6:E$200=B46)*('5. Gantt EQUIFILLES'!R$6:R$200)*('5. Gantt EQUIFILLES'!G$6:G$200))/SUMPRODUCT(--('5. Gantt EQUIFILLES'!E$6:E$200=B46)*('5. Gantt EQUIFILLES'!G$6:G$200))/100,0))</f>
        <v/>
      </c>
      <c r="L46" s="27" t="str">
        <f aca="false">IF(B46="","",IF(K46&gt;=0.85,"Excellent",IF(K46&gt;=0.65,"Satisfaisant",IF(K46&gt;=0.4,"À améliorer",IF(K46&gt;0,"Insuffisant","Non évalué")))))</f>
        <v/>
      </c>
    </row>
    <row r="47" customFormat="false" ht="24" hidden="false" customHeight="true" outlineLevel="0" collapsed="false">
      <c r="B47" s="6" t="str">
        <f aca="false">IF('3. Équipe'!C47="","",'3. Équipe'!C47)</f>
        <v/>
      </c>
      <c r="C47" s="52" t="str">
        <f aca="false">IF(B47="","",COUNTIF('5. Gantt EQUIFILLES'!E$6:E$200,"*"&amp;B47&amp;"*")+COUNTIF('5. Gantt EQUIFILLES'!F$6:F$200,"*"&amp;B47&amp;"*"))</f>
        <v/>
      </c>
      <c r="D47" s="52" t="str">
        <f aca="false">IF(B47="","",COUNTIFS('5. Gantt EQUIFILLES'!E$6:E$200,"*"&amp;B47&amp;"*",'5. Gantt EQUIFILLES'!Q$6:Q$200,"À temps"))</f>
        <v/>
      </c>
      <c r="E47" s="52" t="str">
        <f aca="false">IF(B47="","",COUNTIFS('5. Gantt EQUIFILLES'!E$6:E$200,"*"&amp;B47&amp;"*",'5. Gantt EQUIFILLES'!Q$6:Q$200,"À surveiller"))</f>
        <v/>
      </c>
      <c r="F47" s="52" t="str">
        <f aca="false">IF(B47="","",COUNTIFS('5. Gantt EQUIFILLES'!E$6:E$200,"*"&amp;B47&amp;"*",'5. Gantt EQUIFILLES'!Q$6:Q$200,"En retard"))</f>
        <v/>
      </c>
      <c r="G47" s="52" t="str">
        <f aca="false">IF(B47="","",COUNTIFS('5. Gantt EQUIFILLES'!E$6:E$200,"*"&amp;B47&amp;"*",'5. Gantt EQUIFILLES'!Q$6:Q$200,"Critique"))</f>
        <v/>
      </c>
      <c r="H47" s="52" t="str">
        <f aca="false">IF(B47="","",COUNTIFS('5. Gantt EQUIFILLES'!E$6:E$200,"*"&amp;B47&amp;"*",'5. Gantt EQUIFILLES'!Q$6:Q$200,"Terminé à temps"))</f>
        <v/>
      </c>
      <c r="I47" s="52" t="str">
        <f aca="false">IF(B47="","",COUNTIFS('5. Gantt EQUIFILLES'!E$6:E$200,"*"&amp;B47&amp;"*",'5. Gantt EQUIFILLES'!Q$6:Q$200,"Terminé hors délai"))</f>
        <v/>
      </c>
      <c r="J47" s="55" t="str">
        <f aca="false">IF(B47="","",IFERROR(SUMPRODUCT(('5. Gantt EQUIFILLES'!E$6:E$200=B47)*('5. Gantt EQUIFILLES'!R$6:R$200))/SUMPRODUCT(--('5. Gantt EQUIFILLES'!E$6:E$200=B47)),0))</f>
        <v/>
      </c>
      <c r="K47" s="91" t="str">
        <f aca="false">IF(B47="","",IFERROR(SUMPRODUCT(('5. Gantt EQUIFILLES'!E$6:E$200=B47)*('5. Gantt EQUIFILLES'!R$6:R$200)*('5. Gantt EQUIFILLES'!G$6:G$200))/SUMPRODUCT(--('5. Gantt EQUIFILLES'!E$6:E$200=B47)*('5. Gantt EQUIFILLES'!G$6:G$200))/100,0))</f>
        <v/>
      </c>
      <c r="L47" s="38" t="str">
        <f aca="false">IF(B47="","",IF(K47&gt;=0.85,"Excellent",IF(K47&gt;=0.65,"Satisfaisant",IF(K47&gt;=0.4,"À améliorer",IF(K47&gt;0,"Insuffisant","Non évalué")))))</f>
        <v/>
      </c>
    </row>
    <row r="48" customFormat="false" ht="24" hidden="false" customHeight="true" outlineLevel="0" collapsed="false">
      <c r="B48" s="10" t="str">
        <f aca="false">IF('3. Équipe'!C48="","",'3. Équipe'!C48)</f>
        <v/>
      </c>
      <c r="C48" s="52" t="str">
        <f aca="false">IF(B48="","",COUNTIF('5. Gantt EQUIFILLES'!E$6:E$200,"*"&amp;B48&amp;"*")+COUNTIF('5. Gantt EQUIFILLES'!F$6:F$200,"*"&amp;B48&amp;"*"))</f>
        <v/>
      </c>
      <c r="D48" s="52" t="str">
        <f aca="false">IF(B48="","",COUNTIFS('5. Gantt EQUIFILLES'!E$6:E$200,"*"&amp;B48&amp;"*",'5. Gantt EQUIFILLES'!Q$6:Q$200,"À temps"))</f>
        <v/>
      </c>
      <c r="E48" s="52" t="str">
        <f aca="false">IF(B48="","",COUNTIFS('5. Gantt EQUIFILLES'!E$6:E$200,"*"&amp;B48&amp;"*",'5. Gantt EQUIFILLES'!Q$6:Q$200,"À surveiller"))</f>
        <v/>
      </c>
      <c r="F48" s="52" t="str">
        <f aca="false">IF(B48="","",COUNTIFS('5. Gantt EQUIFILLES'!E$6:E$200,"*"&amp;B48&amp;"*",'5. Gantt EQUIFILLES'!Q$6:Q$200,"En retard"))</f>
        <v/>
      </c>
      <c r="G48" s="52" t="str">
        <f aca="false">IF(B48="","",COUNTIFS('5. Gantt EQUIFILLES'!E$6:E$200,"*"&amp;B48&amp;"*",'5. Gantt EQUIFILLES'!Q$6:Q$200,"Critique"))</f>
        <v/>
      </c>
      <c r="H48" s="52" t="str">
        <f aca="false">IF(B48="","",COUNTIFS('5. Gantt EQUIFILLES'!E$6:E$200,"*"&amp;B48&amp;"*",'5. Gantt EQUIFILLES'!Q$6:Q$200,"Terminé à temps"))</f>
        <v/>
      </c>
      <c r="I48" s="52" t="str">
        <f aca="false">IF(B48="","",COUNTIFS('5. Gantt EQUIFILLES'!E$6:E$200,"*"&amp;B48&amp;"*",'5. Gantt EQUIFILLES'!Q$6:Q$200,"Terminé hors délai"))</f>
        <v/>
      </c>
      <c r="J48" s="55" t="str">
        <f aca="false">IF(B48="","",IFERROR(SUMPRODUCT(('5. Gantt EQUIFILLES'!E$6:E$200=B48)*('5. Gantt EQUIFILLES'!R$6:R$200))/SUMPRODUCT(--('5. Gantt EQUIFILLES'!E$6:E$200=B48)),0))</f>
        <v/>
      </c>
      <c r="K48" s="91" t="str">
        <f aca="false">IF(B48="","",IFERROR(SUMPRODUCT(('5. Gantt EQUIFILLES'!E$6:E$200=B48)*('5. Gantt EQUIFILLES'!R$6:R$200)*('5. Gantt EQUIFILLES'!G$6:G$200))/SUMPRODUCT(--('5. Gantt EQUIFILLES'!E$6:E$200=B48)*('5. Gantt EQUIFILLES'!G$6:G$200))/100,0))</f>
        <v/>
      </c>
      <c r="L48" s="27" t="str">
        <f aca="false">IF(B48="","",IF(K48&gt;=0.85,"Excellent",IF(K48&gt;=0.65,"Satisfaisant",IF(K48&gt;=0.4,"À améliorer",IF(K48&gt;0,"Insuffisant","Non évalué")))))</f>
        <v/>
      </c>
    </row>
    <row r="49" customFormat="false" ht="24" hidden="false" customHeight="true" outlineLevel="0" collapsed="false">
      <c r="B49" s="6" t="str">
        <f aca="false">IF('3. Équipe'!C49="","",'3. Équipe'!C49)</f>
        <v/>
      </c>
      <c r="C49" s="52" t="str">
        <f aca="false">IF(B49="","",COUNTIF('5. Gantt EQUIFILLES'!E$6:E$200,"*"&amp;B49&amp;"*")+COUNTIF('5. Gantt EQUIFILLES'!F$6:F$200,"*"&amp;B49&amp;"*"))</f>
        <v/>
      </c>
      <c r="D49" s="52" t="str">
        <f aca="false">IF(B49="","",COUNTIFS('5. Gantt EQUIFILLES'!E$6:E$200,"*"&amp;B49&amp;"*",'5. Gantt EQUIFILLES'!Q$6:Q$200,"À temps"))</f>
        <v/>
      </c>
      <c r="E49" s="52" t="str">
        <f aca="false">IF(B49="","",COUNTIFS('5. Gantt EQUIFILLES'!E$6:E$200,"*"&amp;B49&amp;"*",'5. Gantt EQUIFILLES'!Q$6:Q$200,"À surveiller"))</f>
        <v/>
      </c>
      <c r="F49" s="52" t="str">
        <f aca="false">IF(B49="","",COUNTIFS('5. Gantt EQUIFILLES'!E$6:E$200,"*"&amp;B49&amp;"*",'5. Gantt EQUIFILLES'!Q$6:Q$200,"En retard"))</f>
        <v/>
      </c>
      <c r="G49" s="52" t="str">
        <f aca="false">IF(B49="","",COUNTIFS('5. Gantt EQUIFILLES'!E$6:E$200,"*"&amp;B49&amp;"*",'5. Gantt EQUIFILLES'!Q$6:Q$200,"Critique"))</f>
        <v/>
      </c>
      <c r="H49" s="52" t="str">
        <f aca="false">IF(B49="","",COUNTIFS('5. Gantt EQUIFILLES'!E$6:E$200,"*"&amp;B49&amp;"*",'5. Gantt EQUIFILLES'!Q$6:Q$200,"Terminé à temps"))</f>
        <v/>
      </c>
      <c r="I49" s="52" t="str">
        <f aca="false">IF(B49="","",COUNTIFS('5. Gantt EQUIFILLES'!E$6:E$200,"*"&amp;B49&amp;"*",'5. Gantt EQUIFILLES'!Q$6:Q$200,"Terminé hors délai"))</f>
        <v/>
      </c>
      <c r="J49" s="55" t="str">
        <f aca="false">IF(B49="","",IFERROR(SUMPRODUCT(('5. Gantt EQUIFILLES'!E$6:E$200=B49)*('5. Gantt EQUIFILLES'!R$6:R$200))/SUMPRODUCT(--('5. Gantt EQUIFILLES'!E$6:E$200=B49)),0))</f>
        <v/>
      </c>
      <c r="K49" s="91" t="str">
        <f aca="false">IF(B49="","",IFERROR(SUMPRODUCT(('5. Gantt EQUIFILLES'!E$6:E$200=B49)*('5. Gantt EQUIFILLES'!R$6:R$200)*('5. Gantt EQUIFILLES'!G$6:G$200))/SUMPRODUCT(--('5. Gantt EQUIFILLES'!E$6:E$200=B49)*('5. Gantt EQUIFILLES'!G$6:G$200))/100,0))</f>
        <v/>
      </c>
      <c r="L49" s="38" t="str">
        <f aca="false">IF(B49="","",IF(K49&gt;=0.85,"Excellent",IF(K49&gt;=0.65,"Satisfaisant",IF(K49&gt;=0.4,"À améliorer",IF(K49&gt;0,"Insuffisant","Non évalué")))))</f>
        <v/>
      </c>
    </row>
    <row r="50" customFormat="false" ht="24" hidden="false" customHeight="true" outlineLevel="0" collapsed="false">
      <c r="B50" s="10" t="str">
        <f aca="false">IF('3. Équipe'!C50="","",'3. Équipe'!C50)</f>
        <v/>
      </c>
      <c r="C50" s="52" t="str">
        <f aca="false">IF(B50="","",COUNTIF('5. Gantt EQUIFILLES'!E$6:E$200,"*"&amp;B50&amp;"*")+COUNTIF('5. Gantt EQUIFILLES'!F$6:F$200,"*"&amp;B50&amp;"*"))</f>
        <v/>
      </c>
      <c r="D50" s="52" t="str">
        <f aca="false">IF(B50="","",COUNTIFS('5. Gantt EQUIFILLES'!E$6:E$200,"*"&amp;B50&amp;"*",'5. Gantt EQUIFILLES'!Q$6:Q$200,"À temps"))</f>
        <v/>
      </c>
      <c r="E50" s="52" t="str">
        <f aca="false">IF(B50="","",COUNTIFS('5. Gantt EQUIFILLES'!E$6:E$200,"*"&amp;B50&amp;"*",'5. Gantt EQUIFILLES'!Q$6:Q$200,"À surveiller"))</f>
        <v/>
      </c>
      <c r="F50" s="52" t="str">
        <f aca="false">IF(B50="","",COUNTIFS('5. Gantt EQUIFILLES'!E$6:E$200,"*"&amp;B50&amp;"*",'5. Gantt EQUIFILLES'!Q$6:Q$200,"En retard"))</f>
        <v/>
      </c>
      <c r="G50" s="52" t="str">
        <f aca="false">IF(B50="","",COUNTIFS('5. Gantt EQUIFILLES'!E$6:E$200,"*"&amp;B50&amp;"*",'5. Gantt EQUIFILLES'!Q$6:Q$200,"Critique"))</f>
        <v/>
      </c>
      <c r="H50" s="52" t="str">
        <f aca="false">IF(B50="","",COUNTIFS('5. Gantt EQUIFILLES'!E$6:E$200,"*"&amp;B50&amp;"*",'5. Gantt EQUIFILLES'!Q$6:Q$200,"Terminé à temps"))</f>
        <v/>
      </c>
      <c r="I50" s="52" t="str">
        <f aca="false">IF(B50="","",COUNTIFS('5. Gantt EQUIFILLES'!E$6:E$200,"*"&amp;B50&amp;"*",'5. Gantt EQUIFILLES'!Q$6:Q$200,"Terminé hors délai"))</f>
        <v/>
      </c>
      <c r="J50" s="55" t="str">
        <f aca="false">IF(B50="","",IFERROR(SUMPRODUCT(('5. Gantt EQUIFILLES'!E$6:E$200=B50)*('5. Gantt EQUIFILLES'!R$6:R$200))/SUMPRODUCT(--('5. Gantt EQUIFILLES'!E$6:E$200=B50)),0))</f>
        <v/>
      </c>
      <c r="K50" s="91" t="str">
        <f aca="false">IF(B50="","",IFERROR(SUMPRODUCT(('5. Gantt EQUIFILLES'!E$6:E$200=B50)*('5. Gantt EQUIFILLES'!R$6:R$200)*('5. Gantt EQUIFILLES'!G$6:G$200))/SUMPRODUCT(--('5. Gantt EQUIFILLES'!E$6:E$200=B50)*('5. Gantt EQUIFILLES'!G$6:G$200))/100,0))</f>
        <v/>
      </c>
      <c r="L50" s="27" t="str">
        <f aca="false">IF(B50="","",IF(K50&gt;=0.85,"Excellent",IF(K50&gt;=0.65,"Satisfaisant",IF(K50&gt;=0.4,"À améliorer",IF(K50&gt;0,"Insuffisant","Non évalué")))))</f>
        <v/>
      </c>
    </row>
    <row r="51" customFormat="false" ht="24" hidden="false" customHeight="true" outlineLevel="0" collapsed="false">
      <c r="B51" s="6" t="str">
        <f aca="false">IF('3. Équipe'!C51="","",'3. Équipe'!C51)</f>
        <v/>
      </c>
      <c r="C51" s="52" t="str">
        <f aca="false">IF(B51="","",COUNTIF('5. Gantt EQUIFILLES'!E$6:E$200,"*"&amp;B51&amp;"*")+COUNTIF('5. Gantt EQUIFILLES'!F$6:F$200,"*"&amp;B51&amp;"*"))</f>
        <v/>
      </c>
      <c r="D51" s="52" t="str">
        <f aca="false">IF(B51="","",COUNTIFS('5. Gantt EQUIFILLES'!E$6:E$200,"*"&amp;B51&amp;"*",'5. Gantt EQUIFILLES'!Q$6:Q$200,"À temps"))</f>
        <v/>
      </c>
      <c r="E51" s="52" t="str">
        <f aca="false">IF(B51="","",COUNTIFS('5. Gantt EQUIFILLES'!E$6:E$200,"*"&amp;B51&amp;"*",'5. Gantt EQUIFILLES'!Q$6:Q$200,"À surveiller"))</f>
        <v/>
      </c>
      <c r="F51" s="52" t="str">
        <f aca="false">IF(B51="","",COUNTIFS('5. Gantt EQUIFILLES'!E$6:E$200,"*"&amp;B51&amp;"*",'5. Gantt EQUIFILLES'!Q$6:Q$200,"En retard"))</f>
        <v/>
      </c>
      <c r="G51" s="52" t="str">
        <f aca="false">IF(B51="","",COUNTIFS('5. Gantt EQUIFILLES'!E$6:E$200,"*"&amp;B51&amp;"*",'5. Gantt EQUIFILLES'!Q$6:Q$200,"Critique"))</f>
        <v/>
      </c>
      <c r="H51" s="52" t="str">
        <f aca="false">IF(B51="","",COUNTIFS('5. Gantt EQUIFILLES'!E$6:E$200,"*"&amp;B51&amp;"*",'5. Gantt EQUIFILLES'!Q$6:Q$200,"Terminé à temps"))</f>
        <v/>
      </c>
      <c r="I51" s="52" t="str">
        <f aca="false">IF(B51="","",COUNTIFS('5. Gantt EQUIFILLES'!E$6:E$200,"*"&amp;B51&amp;"*",'5. Gantt EQUIFILLES'!Q$6:Q$200,"Terminé hors délai"))</f>
        <v/>
      </c>
      <c r="J51" s="55" t="str">
        <f aca="false">IF(B51="","",IFERROR(SUMPRODUCT(('5. Gantt EQUIFILLES'!E$6:E$200=B51)*('5. Gantt EQUIFILLES'!R$6:R$200))/SUMPRODUCT(--('5. Gantt EQUIFILLES'!E$6:E$200=B51)),0))</f>
        <v/>
      </c>
      <c r="K51" s="91" t="str">
        <f aca="false">IF(B51="","",IFERROR(SUMPRODUCT(('5. Gantt EQUIFILLES'!E$6:E$200=B51)*('5. Gantt EQUIFILLES'!R$6:R$200)*('5. Gantt EQUIFILLES'!G$6:G$200))/SUMPRODUCT(--('5. Gantt EQUIFILLES'!E$6:E$200=B51)*('5. Gantt EQUIFILLES'!G$6:G$200))/100,0))</f>
        <v/>
      </c>
      <c r="L51" s="38" t="str">
        <f aca="false">IF(B51="","",IF(K51&gt;=0.85,"Excellent",IF(K51&gt;=0.65,"Satisfaisant",IF(K51&gt;=0.4,"À améliorer",IF(K51&gt;0,"Insuffisant","Non évalué")))))</f>
        <v/>
      </c>
    </row>
    <row r="52" customFormat="false" ht="24" hidden="false" customHeight="true" outlineLevel="0" collapsed="false">
      <c r="B52" s="10" t="str">
        <f aca="false">IF('3. Équipe'!C52="","",'3. Équipe'!C52)</f>
        <v/>
      </c>
      <c r="C52" s="52" t="str">
        <f aca="false">IF(B52="","",COUNTIF('5. Gantt EQUIFILLES'!E$6:E$200,"*"&amp;B52&amp;"*")+COUNTIF('5. Gantt EQUIFILLES'!F$6:F$200,"*"&amp;B52&amp;"*"))</f>
        <v/>
      </c>
      <c r="D52" s="52" t="str">
        <f aca="false">IF(B52="","",COUNTIFS('5. Gantt EQUIFILLES'!E$6:E$200,"*"&amp;B52&amp;"*",'5. Gantt EQUIFILLES'!Q$6:Q$200,"À temps"))</f>
        <v/>
      </c>
      <c r="E52" s="52" t="str">
        <f aca="false">IF(B52="","",COUNTIFS('5. Gantt EQUIFILLES'!E$6:E$200,"*"&amp;B52&amp;"*",'5. Gantt EQUIFILLES'!Q$6:Q$200,"À surveiller"))</f>
        <v/>
      </c>
      <c r="F52" s="52" t="str">
        <f aca="false">IF(B52="","",COUNTIFS('5. Gantt EQUIFILLES'!E$6:E$200,"*"&amp;B52&amp;"*",'5. Gantt EQUIFILLES'!Q$6:Q$200,"En retard"))</f>
        <v/>
      </c>
      <c r="G52" s="52" t="str">
        <f aca="false">IF(B52="","",COUNTIFS('5. Gantt EQUIFILLES'!E$6:E$200,"*"&amp;B52&amp;"*",'5. Gantt EQUIFILLES'!Q$6:Q$200,"Critique"))</f>
        <v/>
      </c>
      <c r="H52" s="52" t="str">
        <f aca="false">IF(B52="","",COUNTIFS('5. Gantt EQUIFILLES'!E$6:E$200,"*"&amp;B52&amp;"*",'5. Gantt EQUIFILLES'!Q$6:Q$200,"Terminé à temps"))</f>
        <v/>
      </c>
      <c r="I52" s="52" t="str">
        <f aca="false">IF(B52="","",COUNTIFS('5. Gantt EQUIFILLES'!E$6:E$200,"*"&amp;B52&amp;"*",'5. Gantt EQUIFILLES'!Q$6:Q$200,"Terminé hors délai"))</f>
        <v/>
      </c>
      <c r="J52" s="55" t="str">
        <f aca="false">IF(B52="","",IFERROR(SUMPRODUCT(('5. Gantt EQUIFILLES'!E$6:E$200=B52)*('5. Gantt EQUIFILLES'!R$6:R$200))/SUMPRODUCT(--('5. Gantt EQUIFILLES'!E$6:E$200=B52)),0))</f>
        <v/>
      </c>
      <c r="K52" s="91" t="str">
        <f aca="false">IF(B52="","",IFERROR(SUMPRODUCT(('5. Gantt EQUIFILLES'!E$6:E$200=B52)*('5. Gantt EQUIFILLES'!R$6:R$200)*('5. Gantt EQUIFILLES'!G$6:G$200))/SUMPRODUCT(--('5. Gantt EQUIFILLES'!E$6:E$200=B52)*('5. Gantt EQUIFILLES'!G$6:G$200))/100,0))</f>
        <v/>
      </c>
      <c r="L52" s="27" t="str">
        <f aca="false">IF(B52="","",IF(K52&gt;=0.85,"Excellent",IF(K52&gt;=0.65,"Satisfaisant",IF(K52&gt;=0.4,"À améliorer",IF(K52&gt;0,"Insuffisant","Non évalué")))))</f>
        <v/>
      </c>
    </row>
    <row r="53" customFormat="false" ht="24" hidden="false" customHeight="true" outlineLevel="0" collapsed="false">
      <c r="B53" s="6" t="str">
        <f aca="false">IF('3. Équipe'!C53="","",'3. Équipe'!C53)</f>
        <v/>
      </c>
      <c r="C53" s="52" t="str">
        <f aca="false">IF(B53="","",COUNTIF('5. Gantt EQUIFILLES'!E$6:E$200,"*"&amp;B53&amp;"*")+COUNTIF('5. Gantt EQUIFILLES'!F$6:F$200,"*"&amp;B53&amp;"*"))</f>
        <v/>
      </c>
      <c r="D53" s="52" t="str">
        <f aca="false">IF(B53="","",COUNTIFS('5. Gantt EQUIFILLES'!E$6:E$200,"*"&amp;B53&amp;"*",'5. Gantt EQUIFILLES'!Q$6:Q$200,"À temps"))</f>
        <v/>
      </c>
      <c r="E53" s="52" t="str">
        <f aca="false">IF(B53="","",COUNTIFS('5. Gantt EQUIFILLES'!E$6:E$200,"*"&amp;B53&amp;"*",'5. Gantt EQUIFILLES'!Q$6:Q$200,"À surveiller"))</f>
        <v/>
      </c>
      <c r="F53" s="52" t="str">
        <f aca="false">IF(B53="","",COUNTIFS('5. Gantt EQUIFILLES'!E$6:E$200,"*"&amp;B53&amp;"*",'5. Gantt EQUIFILLES'!Q$6:Q$200,"En retard"))</f>
        <v/>
      </c>
      <c r="G53" s="52" t="str">
        <f aca="false">IF(B53="","",COUNTIFS('5. Gantt EQUIFILLES'!E$6:E$200,"*"&amp;B53&amp;"*",'5. Gantt EQUIFILLES'!Q$6:Q$200,"Critique"))</f>
        <v/>
      </c>
      <c r="H53" s="52" t="str">
        <f aca="false">IF(B53="","",COUNTIFS('5. Gantt EQUIFILLES'!E$6:E$200,"*"&amp;B53&amp;"*",'5. Gantt EQUIFILLES'!Q$6:Q$200,"Terminé à temps"))</f>
        <v/>
      </c>
      <c r="I53" s="52" t="str">
        <f aca="false">IF(B53="","",COUNTIFS('5. Gantt EQUIFILLES'!E$6:E$200,"*"&amp;B53&amp;"*",'5. Gantt EQUIFILLES'!Q$6:Q$200,"Terminé hors délai"))</f>
        <v/>
      </c>
      <c r="J53" s="55" t="str">
        <f aca="false">IF(B53="","",IFERROR(SUMPRODUCT(('5. Gantt EQUIFILLES'!E$6:E$200=B53)*('5. Gantt EQUIFILLES'!R$6:R$200))/SUMPRODUCT(--('5. Gantt EQUIFILLES'!E$6:E$200=B53)),0))</f>
        <v/>
      </c>
      <c r="K53" s="91" t="str">
        <f aca="false">IF(B53="","",IFERROR(SUMPRODUCT(('5. Gantt EQUIFILLES'!E$6:E$200=B53)*('5. Gantt EQUIFILLES'!R$6:R$200)*('5. Gantt EQUIFILLES'!G$6:G$200))/SUMPRODUCT(--('5. Gantt EQUIFILLES'!E$6:E$200=B53)*('5. Gantt EQUIFILLES'!G$6:G$200))/100,0))</f>
        <v/>
      </c>
      <c r="L53" s="38" t="str">
        <f aca="false">IF(B53="","",IF(K53&gt;=0.85,"Excellent",IF(K53&gt;=0.65,"Satisfaisant",IF(K53&gt;=0.4,"À améliorer",IF(K53&gt;0,"Insuffisant","Non évalué")))))</f>
        <v/>
      </c>
    </row>
    <row r="54" customFormat="false" ht="24" hidden="false" customHeight="true" outlineLevel="0" collapsed="false">
      <c r="B54" s="10" t="str">
        <f aca="false">IF('3. Équipe'!C54="","",'3. Équipe'!C54)</f>
        <v/>
      </c>
      <c r="C54" s="52" t="str">
        <f aca="false">IF(B54="","",COUNTIF('5. Gantt EQUIFILLES'!E$6:E$200,"*"&amp;B54&amp;"*")+COUNTIF('5. Gantt EQUIFILLES'!F$6:F$200,"*"&amp;B54&amp;"*"))</f>
        <v/>
      </c>
      <c r="D54" s="52" t="str">
        <f aca="false">IF(B54="","",COUNTIFS('5. Gantt EQUIFILLES'!E$6:E$200,"*"&amp;B54&amp;"*",'5. Gantt EQUIFILLES'!Q$6:Q$200,"À temps"))</f>
        <v/>
      </c>
      <c r="E54" s="52" t="str">
        <f aca="false">IF(B54="","",COUNTIFS('5. Gantt EQUIFILLES'!E$6:E$200,"*"&amp;B54&amp;"*",'5. Gantt EQUIFILLES'!Q$6:Q$200,"À surveiller"))</f>
        <v/>
      </c>
      <c r="F54" s="52" t="str">
        <f aca="false">IF(B54="","",COUNTIFS('5. Gantt EQUIFILLES'!E$6:E$200,"*"&amp;B54&amp;"*",'5. Gantt EQUIFILLES'!Q$6:Q$200,"En retard"))</f>
        <v/>
      </c>
      <c r="G54" s="52" t="str">
        <f aca="false">IF(B54="","",COUNTIFS('5. Gantt EQUIFILLES'!E$6:E$200,"*"&amp;B54&amp;"*",'5. Gantt EQUIFILLES'!Q$6:Q$200,"Critique"))</f>
        <v/>
      </c>
      <c r="H54" s="52" t="str">
        <f aca="false">IF(B54="","",COUNTIFS('5. Gantt EQUIFILLES'!E$6:E$200,"*"&amp;B54&amp;"*",'5. Gantt EQUIFILLES'!Q$6:Q$200,"Terminé à temps"))</f>
        <v/>
      </c>
      <c r="I54" s="52" t="str">
        <f aca="false">IF(B54="","",COUNTIFS('5. Gantt EQUIFILLES'!E$6:E$200,"*"&amp;B54&amp;"*",'5. Gantt EQUIFILLES'!Q$6:Q$200,"Terminé hors délai"))</f>
        <v/>
      </c>
      <c r="J54" s="55" t="str">
        <f aca="false">IF(B54="","",IFERROR(SUMPRODUCT(('5. Gantt EQUIFILLES'!E$6:E$200=B54)*('5. Gantt EQUIFILLES'!R$6:R$200))/SUMPRODUCT(--('5. Gantt EQUIFILLES'!E$6:E$200=B54)),0))</f>
        <v/>
      </c>
      <c r="K54" s="91" t="str">
        <f aca="false">IF(B54="","",IFERROR(SUMPRODUCT(('5. Gantt EQUIFILLES'!E$6:E$200=B54)*('5. Gantt EQUIFILLES'!R$6:R$200)*('5. Gantt EQUIFILLES'!G$6:G$200))/SUMPRODUCT(--('5. Gantt EQUIFILLES'!E$6:E$200=B54)*('5. Gantt EQUIFILLES'!G$6:G$200))/100,0))</f>
        <v/>
      </c>
      <c r="L54" s="27" t="str">
        <f aca="false">IF(B54="","",IF(K54&gt;=0.85,"Excellent",IF(K54&gt;=0.65,"Satisfaisant",IF(K54&gt;=0.4,"À améliorer",IF(K54&gt;0,"Insuffisant","Non évalué")))))</f>
        <v/>
      </c>
    </row>
    <row r="55" customFormat="false" ht="24" hidden="false" customHeight="true" outlineLevel="0" collapsed="false">
      <c r="B55" s="6" t="str">
        <f aca="false">IF('3. Équipe'!C55="","",'3. Équipe'!C55)</f>
        <v/>
      </c>
      <c r="C55" s="52" t="str">
        <f aca="false">IF(B55="","",COUNTIF('5. Gantt EQUIFILLES'!E$6:E$200,"*"&amp;B55&amp;"*")+COUNTIF('5. Gantt EQUIFILLES'!F$6:F$200,"*"&amp;B55&amp;"*"))</f>
        <v/>
      </c>
      <c r="D55" s="52" t="str">
        <f aca="false">IF(B55="","",COUNTIFS('5. Gantt EQUIFILLES'!E$6:E$200,"*"&amp;B55&amp;"*",'5. Gantt EQUIFILLES'!Q$6:Q$200,"À temps"))</f>
        <v/>
      </c>
      <c r="E55" s="52" t="str">
        <f aca="false">IF(B55="","",COUNTIFS('5. Gantt EQUIFILLES'!E$6:E$200,"*"&amp;B55&amp;"*",'5. Gantt EQUIFILLES'!Q$6:Q$200,"À surveiller"))</f>
        <v/>
      </c>
      <c r="F55" s="52" t="str">
        <f aca="false">IF(B55="","",COUNTIFS('5. Gantt EQUIFILLES'!E$6:E$200,"*"&amp;B55&amp;"*",'5. Gantt EQUIFILLES'!Q$6:Q$200,"En retard"))</f>
        <v/>
      </c>
      <c r="G55" s="52" t="str">
        <f aca="false">IF(B55="","",COUNTIFS('5. Gantt EQUIFILLES'!E$6:E$200,"*"&amp;B55&amp;"*",'5. Gantt EQUIFILLES'!Q$6:Q$200,"Critique"))</f>
        <v/>
      </c>
      <c r="H55" s="52" t="str">
        <f aca="false">IF(B55="","",COUNTIFS('5. Gantt EQUIFILLES'!E$6:E$200,"*"&amp;B55&amp;"*",'5. Gantt EQUIFILLES'!Q$6:Q$200,"Terminé à temps"))</f>
        <v/>
      </c>
      <c r="I55" s="52" t="str">
        <f aca="false">IF(B55="","",COUNTIFS('5. Gantt EQUIFILLES'!E$6:E$200,"*"&amp;B55&amp;"*",'5. Gantt EQUIFILLES'!Q$6:Q$200,"Terminé hors délai"))</f>
        <v/>
      </c>
      <c r="J55" s="55" t="str">
        <f aca="false">IF(B55="","",IFERROR(SUMPRODUCT(('5. Gantt EQUIFILLES'!E$6:E$200=B55)*('5. Gantt EQUIFILLES'!R$6:R$200))/SUMPRODUCT(--('5. Gantt EQUIFILLES'!E$6:E$200=B55)),0))</f>
        <v/>
      </c>
      <c r="K55" s="91" t="str">
        <f aca="false">IF(B55="","",IFERROR(SUMPRODUCT(('5. Gantt EQUIFILLES'!E$6:E$200=B55)*('5. Gantt EQUIFILLES'!R$6:R$200)*('5. Gantt EQUIFILLES'!G$6:G$200))/SUMPRODUCT(--('5. Gantt EQUIFILLES'!E$6:E$200=B55)*('5. Gantt EQUIFILLES'!G$6:G$200))/100,0))</f>
        <v/>
      </c>
      <c r="L55" s="38" t="str">
        <f aca="false">IF(B55="","",IF(K55&gt;=0.85,"Excellent",IF(K55&gt;=0.65,"Satisfaisant",IF(K55&gt;=0.4,"À améliorer",IF(K55&gt;0,"Insuffisant","Non évalué")))))</f>
        <v/>
      </c>
    </row>
  </sheetData>
  <mergeCells count="2">
    <mergeCell ref="B2:L2"/>
    <mergeCell ref="B3:L3"/>
  </mergeCells>
  <conditionalFormatting sqref="L6:L55">
    <cfRule type="cellIs" priority="2" operator="equal" aboveAverage="0" equalAverage="0" bottom="0" percent="0" rank="0" text="" dxfId="4">
      <formula>"Excellent"</formula>
    </cfRule>
    <cfRule type="cellIs" priority="3" operator="equal" aboveAverage="0" equalAverage="0" bottom="0" percent="0" rank="0" text="" dxfId="0">
      <formula>"Satisfaisant"</formula>
    </cfRule>
    <cfRule type="cellIs" priority="4" operator="equal" aboveAverage="0" equalAverage="0" bottom="0" percent="0" rank="0" text="" dxfId="1">
      <formula>"À améliorer"</formula>
    </cfRule>
    <cfRule type="cellIs" priority="5" operator="equal" aboveAverage="0" equalAverage="0" bottom="0" percent="0" rank="0" text="" dxfId="2">
      <formula>"Insuffisant"</formula>
    </cfRule>
    <cfRule type="cellIs" priority="6" operator="equal" aboveAverage="0" equalAverage="0" bottom="0" percent="0" rank="0" text="" dxfId="6">
      <formula>"Non évalué"</formula>
    </cfRule>
  </conditionalFormatting>
  <conditionalFormatting sqref="K6:K55">
    <cfRule type="colorScale" priority="7">
      <colorScale>
        <cfvo type="num" val="0"/>
        <cfvo type="num" val="0.5"/>
        <cfvo type="num" val="1"/>
        <color rgb="FFF8CBAD"/>
        <color rgb="FFFFF2CC"/>
        <color rgb="FFC6EFCE"/>
      </colorScale>
    </cfRule>
  </conditionalFormatting>
  <conditionalFormatting sqref="G6:G55">
    <cfRule type="cellIs" priority="8" operator="greaterThan" aboveAverage="0" equalAverage="0" bottom="0" percent="0" rank="0" text="" dxfId="8">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B2:H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50"/>
    <col collapsed="false" customWidth="true" hidden="false" outlineLevel="0" max="4" min="4" style="1" width="13"/>
    <col collapsed="false" customWidth="true" hidden="false" outlineLevel="0" max="6" min="5" style="1" width="25"/>
    <col collapsed="false" customWidth="true" hidden="false" outlineLevel="0" max="7" min="7" style="1" width="12"/>
    <col collapsed="false" customWidth="true" hidden="false" outlineLevel="0" max="8" min="8" style="1" width="22"/>
  </cols>
  <sheetData>
    <row r="2" customFormat="false" ht="27.75" hidden="false" customHeight="true" outlineLevel="0" collapsed="false">
      <c r="B2" s="92" t="s">
        <v>444</v>
      </c>
      <c r="C2" s="92"/>
      <c r="D2" s="92"/>
      <c r="E2" s="92"/>
      <c r="F2" s="92"/>
      <c r="G2" s="92"/>
      <c r="H2" s="92"/>
    </row>
    <row r="3" customFormat="false" ht="15" hidden="false" customHeight="true" outlineLevel="0" collapsed="false">
      <c r="B3" s="40" t="s">
        <v>445</v>
      </c>
      <c r="C3" s="40"/>
      <c r="D3" s="40"/>
      <c r="E3" s="40"/>
      <c r="F3" s="40"/>
      <c r="G3" s="40"/>
      <c r="H3" s="40"/>
    </row>
    <row r="5" customFormat="false" ht="31.5" hidden="false" customHeight="true" outlineLevel="0" collapsed="false">
      <c r="B5" s="93" t="s">
        <v>446</v>
      </c>
      <c r="C5" s="93"/>
      <c r="D5" s="93"/>
      <c r="E5" s="93"/>
      <c r="F5" s="93"/>
      <c r="G5" s="93"/>
      <c r="H5" s="93"/>
    </row>
    <row r="6" customFormat="false" ht="27.75" hidden="false" customHeight="true" outlineLevel="0" collapsed="false">
      <c r="B6" s="93" t="s">
        <v>48</v>
      </c>
      <c r="C6" s="93" t="s">
        <v>18</v>
      </c>
      <c r="D6" s="93" t="s">
        <v>208</v>
      </c>
      <c r="E6" s="93" t="s">
        <v>209</v>
      </c>
      <c r="F6" s="93" t="s">
        <v>210</v>
      </c>
      <c r="G6" s="93" t="s">
        <v>211</v>
      </c>
      <c r="H6" s="93" t="s">
        <v>212</v>
      </c>
    </row>
    <row r="7" customFormat="false" ht="30" hidden="false" customHeight="true" outlineLevel="0" collapsed="false">
      <c r="B7" s="27" t="s">
        <v>447</v>
      </c>
      <c r="C7" s="11" t="s">
        <v>448</v>
      </c>
      <c r="D7" s="30" t="s">
        <v>449</v>
      </c>
      <c r="E7" s="11" t="s">
        <v>450</v>
      </c>
      <c r="F7" s="11" t="s">
        <v>451</v>
      </c>
      <c r="G7" s="30" t="s">
        <v>452</v>
      </c>
      <c r="H7" s="11" t="s">
        <v>138</v>
      </c>
    </row>
    <row r="8" customFormat="false" ht="30" hidden="false" customHeight="true" outlineLevel="0" collapsed="false">
      <c r="B8" s="38" t="s">
        <v>453</v>
      </c>
      <c r="C8" s="7" t="s">
        <v>454</v>
      </c>
      <c r="D8" s="28" t="s">
        <v>449</v>
      </c>
      <c r="E8" s="7" t="s">
        <v>450</v>
      </c>
      <c r="F8" s="7" t="s">
        <v>451</v>
      </c>
      <c r="G8" s="28" t="s">
        <v>452</v>
      </c>
      <c r="H8" s="7" t="s">
        <v>138</v>
      </c>
    </row>
    <row r="9" customFormat="false" ht="30" hidden="false" customHeight="true" outlineLevel="0" collapsed="false">
      <c r="B9" s="27" t="s">
        <v>455</v>
      </c>
      <c r="C9" s="11" t="s">
        <v>456</v>
      </c>
      <c r="D9" s="30" t="s">
        <v>457</v>
      </c>
      <c r="E9" s="11" t="s">
        <v>458</v>
      </c>
      <c r="F9" s="11" t="s">
        <v>459</v>
      </c>
      <c r="G9" s="30" t="s">
        <v>460</v>
      </c>
      <c r="H9" s="11" t="s">
        <v>151</v>
      </c>
    </row>
    <row r="10" customFormat="false" ht="30" hidden="false" customHeight="true" outlineLevel="0" collapsed="false">
      <c r="B10" s="38" t="s">
        <v>461</v>
      </c>
      <c r="C10" s="7" t="s">
        <v>462</v>
      </c>
      <c r="D10" s="28" t="s">
        <v>287</v>
      </c>
      <c r="E10" s="7" t="s">
        <v>463</v>
      </c>
      <c r="F10" s="7" t="s">
        <v>464</v>
      </c>
      <c r="G10" s="28" t="s">
        <v>465</v>
      </c>
      <c r="H10" s="7" t="s">
        <v>151</v>
      </c>
    </row>
    <row r="11" customFormat="false" ht="30" hidden="false" customHeight="true" outlineLevel="0" collapsed="false">
      <c r="B11" s="27" t="s">
        <v>466</v>
      </c>
      <c r="C11" s="11" t="s">
        <v>467</v>
      </c>
      <c r="D11" s="30" t="s">
        <v>243</v>
      </c>
      <c r="E11" s="11" t="s">
        <v>463</v>
      </c>
      <c r="F11" s="11" t="s">
        <v>468</v>
      </c>
      <c r="G11" s="30" t="s">
        <v>460</v>
      </c>
      <c r="H11" s="11" t="s">
        <v>151</v>
      </c>
    </row>
    <row r="12" customFormat="false" ht="30" hidden="false" customHeight="true" outlineLevel="0" collapsed="false">
      <c r="B12" s="38" t="s">
        <v>469</v>
      </c>
      <c r="C12" s="7" t="s">
        <v>470</v>
      </c>
      <c r="D12" s="28" t="s">
        <v>287</v>
      </c>
      <c r="E12" s="7" t="s">
        <v>471</v>
      </c>
      <c r="F12" s="7" t="s">
        <v>472</v>
      </c>
      <c r="G12" s="28" t="s">
        <v>465</v>
      </c>
      <c r="H12" s="7" t="s">
        <v>146</v>
      </c>
    </row>
    <row r="13" customFormat="false" ht="30" hidden="false" customHeight="true" outlineLevel="0" collapsed="false">
      <c r="B13" s="27" t="s">
        <v>473</v>
      </c>
      <c r="C13" s="11" t="s">
        <v>474</v>
      </c>
      <c r="D13" s="30" t="s">
        <v>449</v>
      </c>
      <c r="E13" s="11" t="s">
        <v>475</v>
      </c>
      <c r="F13" s="11" t="s">
        <v>476</v>
      </c>
      <c r="G13" s="30" t="s">
        <v>452</v>
      </c>
      <c r="H13" s="11" t="s">
        <v>138</v>
      </c>
    </row>
    <row r="14" customFormat="false" ht="30" hidden="false" customHeight="true" outlineLevel="0" collapsed="false">
      <c r="B14" s="38" t="s">
        <v>477</v>
      </c>
      <c r="C14" s="7" t="s">
        <v>478</v>
      </c>
      <c r="D14" s="28" t="s">
        <v>449</v>
      </c>
      <c r="E14" s="7" t="s">
        <v>463</v>
      </c>
      <c r="F14" s="7" t="s">
        <v>479</v>
      </c>
      <c r="G14" s="28" t="s">
        <v>452</v>
      </c>
      <c r="H14" s="7" t="s">
        <v>151</v>
      </c>
    </row>
    <row r="15" customFormat="false" ht="30" hidden="false" customHeight="true" outlineLevel="0" collapsed="false">
      <c r="B15" s="27" t="s">
        <v>480</v>
      </c>
      <c r="C15" s="11" t="s">
        <v>481</v>
      </c>
      <c r="D15" s="30" t="s">
        <v>449</v>
      </c>
      <c r="E15" s="11" t="s">
        <v>463</v>
      </c>
      <c r="F15" s="11" t="s">
        <v>482</v>
      </c>
      <c r="G15" s="30" t="s">
        <v>452</v>
      </c>
      <c r="H15" s="11" t="s">
        <v>151</v>
      </c>
    </row>
    <row r="17" customFormat="false" ht="31.5" hidden="false" customHeight="true" outlineLevel="0" collapsed="false">
      <c r="B17" s="93" t="s">
        <v>483</v>
      </c>
      <c r="C17" s="93"/>
      <c r="D17" s="93"/>
      <c r="E17" s="93"/>
      <c r="F17" s="93"/>
      <c r="G17" s="93"/>
      <c r="H17" s="93"/>
    </row>
    <row r="18" customFormat="false" ht="27.75" hidden="false" customHeight="true" outlineLevel="0" collapsed="false">
      <c r="B18" s="93" t="s">
        <v>48</v>
      </c>
      <c r="C18" s="93" t="s">
        <v>18</v>
      </c>
      <c r="D18" s="93" t="s">
        <v>208</v>
      </c>
      <c r="E18" s="93" t="s">
        <v>209</v>
      </c>
      <c r="F18" s="93" t="s">
        <v>210</v>
      </c>
      <c r="G18" s="93" t="s">
        <v>211</v>
      </c>
      <c r="H18" s="93" t="s">
        <v>212</v>
      </c>
    </row>
    <row r="19" customFormat="false" ht="30" hidden="false" customHeight="true" outlineLevel="0" collapsed="false">
      <c r="B19" s="27" t="s">
        <v>484</v>
      </c>
      <c r="C19" s="11" t="s">
        <v>485</v>
      </c>
      <c r="D19" s="30" t="s">
        <v>243</v>
      </c>
      <c r="E19" s="11" t="s">
        <v>486</v>
      </c>
      <c r="F19" s="11" t="s">
        <v>487</v>
      </c>
      <c r="G19" s="30" t="s">
        <v>460</v>
      </c>
      <c r="H19" s="11" t="s">
        <v>138</v>
      </c>
    </row>
    <row r="20" customFormat="false" ht="30" hidden="false" customHeight="true" outlineLevel="0" collapsed="false">
      <c r="B20" s="38" t="s">
        <v>488</v>
      </c>
      <c r="C20" s="7" t="s">
        <v>489</v>
      </c>
      <c r="D20" s="28" t="s">
        <v>243</v>
      </c>
      <c r="E20" s="7" t="s">
        <v>490</v>
      </c>
      <c r="F20" s="7" t="s">
        <v>491</v>
      </c>
      <c r="G20" s="28" t="s">
        <v>465</v>
      </c>
      <c r="H20" s="7" t="s">
        <v>138</v>
      </c>
    </row>
    <row r="21" customFormat="false" ht="30" hidden="false" customHeight="true" outlineLevel="0" collapsed="false">
      <c r="B21" s="27" t="s">
        <v>492</v>
      </c>
      <c r="C21" s="11" t="s">
        <v>493</v>
      </c>
      <c r="D21" s="30" t="s">
        <v>494</v>
      </c>
      <c r="E21" s="11" t="s">
        <v>495</v>
      </c>
      <c r="F21" s="11" t="s">
        <v>496</v>
      </c>
      <c r="G21" s="30" t="s">
        <v>465</v>
      </c>
      <c r="H21" s="11" t="s">
        <v>146</v>
      </c>
    </row>
    <row r="22" customFormat="false" ht="30" hidden="false" customHeight="true" outlineLevel="0" collapsed="false">
      <c r="B22" s="38" t="s">
        <v>497</v>
      </c>
      <c r="C22" s="7" t="s">
        <v>498</v>
      </c>
      <c r="D22" s="28" t="s">
        <v>494</v>
      </c>
      <c r="E22" s="7" t="s">
        <v>499</v>
      </c>
      <c r="F22" s="7" t="s">
        <v>500</v>
      </c>
      <c r="G22" s="28" t="s">
        <v>465</v>
      </c>
      <c r="H22" s="7" t="s">
        <v>146</v>
      </c>
    </row>
    <row r="24" customFormat="false" ht="31.5" hidden="false" customHeight="true" outlineLevel="0" collapsed="false">
      <c r="B24" s="93" t="s">
        <v>501</v>
      </c>
      <c r="C24" s="93"/>
      <c r="D24" s="93"/>
      <c r="E24" s="93"/>
      <c r="F24" s="93"/>
      <c r="G24" s="93"/>
      <c r="H24" s="93"/>
    </row>
    <row r="25" customFormat="false" ht="27.75" hidden="false" customHeight="true" outlineLevel="0" collapsed="false">
      <c r="B25" s="93" t="s">
        <v>48</v>
      </c>
      <c r="C25" s="93" t="s">
        <v>18</v>
      </c>
      <c r="D25" s="93" t="s">
        <v>208</v>
      </c>
      <c r="E25" s="93" t="s">
        <v>209</v>
      </c>
      <c r="F25" s="93" t="s">
        <v>210</v>
      </c>
      <c r="G25" s="93" t="s">
        <v>211</v>
      </c>
      <c r="H25" s="93" t="s">
        <v>212</v>
      </c>
    </row>
    <row r="26" customFormat="false" ht="30" hidden="false" customHeight="true" outlineLevel="0" collapsed="false">
      <c r="B26" s="38" t="s">
        <v>502</v>
      </c>
      <c r="C26" s="7" t="s">
        <v>503</v>
      </c>
      <c r="D26" s="28" t="s">
        <v>287</v>
      </c>
      <c r="E26" s="7" t="s">
        <v>504</v>
      </c>
      <c r="F26" s="7" t="s">
        <v>505</v>
      </c>
      <c r="G26" s="28" t="s">
        <v>460</v>
      </c>
      <c r="H26" s="7" t="s">
        <v>146</v>
      </c>
    </row>
    <row r="27" customFormat="false" ht="30" hidden="false" customHeight="true" outlineLevel="0" collapsed="false">
      <c r="B27" s="27" t="s">
        <v>506</v>
      </c>
      <c r="C27" s="11" t="s">
        <v>507</v>
      </c>
      <c r="D27" s="30" t="s">
        <v>508</v>
      </c>
      <c r="E27" s="11" t="s">
        <v>238</v>
      </c>
      <c r="F27" s="11" t="s">
        <v>509</v>
      </c>
      <c r="G27" s="30" t="s">
        <v>460</v>
      </c>
      <c r="H27" s="11" t="s">
        <v>146</v>
      </c>
    </row>
    <row r="28" customFormat="false" ht="30" hidden="false" customHeight="true" outlineLevel="0" collapsed="false">
      <c r="B28" s="38" t="s">
        <v>510</v>
      </c>
      <c r="C28" s="7" t="s">
        <v>511</v>
      </c>
      <c r="D28" s="28" t="s">
        <v>287</v>
      </c>
      <c r="E28" s="7" t="s">
        <v>512</v>
      </c>
      <c r="F28" s="7" t="s">
        <v>500</v>
      </c>
      <c r="G28" s="28" t="s">
        <v>460</v>
      </c>
      <c r="H28" s="7" t="s">
        <v>146</v>
      </c>
    </row>
    <row r="29" customFormat="false" ht="30" hidden="false" customHeight="true" outlineLevel="0" collapsed="false">
      <c r="B29" s="27" t="s">
        <v>513</v>
      </c>
      <c r="C29" s="11" t="s">
        <v>514</v>
      </c>
      <c r="D29" s="30" t="s">
        <v>243</v>
      </c>
      <c r="E29" s="11" t="s">
        <v>515</v>
      </c>
      <c r="F29" s="11" t="s">
        <v>233</v>
      </c>
      <c r="G29" s="30" t="s">
        <v>460</v>
      </c>
      <c r="H29" s="11" t="s">
        <v>146</v>
      </c>
    </row>
    <row r="30" customFormat="false" ht="30" hidden="false" customHeight="true" outlineLevel="0" collapsed="false">
      <c r="B30" s="38" t="s">
        <v>516</v>
      </c>
      <c r="C30" s="7" t="s">
        <v>517</v>
      </c>
      <c r="D30" s="28" t="s">
        <v>243</v>
      </c>
      <c r="E30" s="7" t="s">
        <v>515</v>
      </c>
      <c r="F30" s="7" t="s">
        <v>233</v>
      </c>
      <c r="G30" s="28" t="s">
        <v>518</v>
      </c>
      <c r="H30" s="7" t="s">
        <v>146</v>
      </c>
    </row>
    <row r="31" customFormat="false" ht="30" hidden="false" customHeight="true" outlineLevel="0" collapsed="false">
      <c r="B31" s="27" t="s">
        <v>519</v>
      </c>
      <c r="C31" s="11" t="s">
        <v>520</v>
      </c>
      <c r="D31" s="30" t="s">
        <v>521</v>
      </c>
      <c r="E31" s="11" t="s">
        <v>522</v>
      </c>
      <c r="F31" s="11" t="s">
        <v>523</v>
      </c>
      <c r="G31" s="30" t="s">
        <v>524</v>
      </c>
      <c r="H31" s="11" t="s">
        <v>146</v>
      </c>
    </row>
    <row r="33" customFormat="false" ht="31.5" hidden="false" customHeight="true" outlineLevel="0" collapsed="false">
      <c r="B33" s="93" t="s">
        <v>525</v>
      </c>
      <c r="C33" s="93"/>
      <c r="D33" s="93"/>
      <c r="E33" s="93"/>
      <c r="F33" s="93"/>
      <c r="G33" s="93"/>
      <c r="H33" s="93"/>
    </row>
    <row r="34" customFormat="false" ht="27.75" hidden="false" customHeight="true" outlineLevel="0" collapsed="false">
      <c r="B34" s="93" t="s">
        <v>48</v>
      </c>
      <c r="C34" s="93" t="s">
        <v>18</v>
      </c>
      <c r="D34" s="93" t="s">
        <v>208</v>
      </c>
      <c r="E34" s="93" t="s">
        <v>209</v>
      </c>
      <c r="F34" s="93" t="s">
        <v>210</v>
      </c>
      <c r="G34" s="93" t="s">
        <v>211</v>
      </c>
      <c r="H34" s="93" t="s">
        <v>212</v>
      </c>
    </row>
    <row r="35" customFormat="false" ht="30" hidden="false" customHeight="true" outlineLevel="0" collapsed="false">
      <c r="B35" s="27" t="s">
        <v>526</v>
      </c>
      <c r="C35" s="11" t="s">
        <v>527</v>
      </c>
      <c r="D35" s="30" t="s">
        <v>287</v>
      </c>
      <c r="E35" s="11" t="s">
        <v>528</v>
      </c>
      <c r="F35" s="11" t="s">
        <v>529</v>
      </c>
      <c r="G35" s="30" t="s">
        <v>518</v>
      </c>
      <c r="H35" s="11" t="s">
        <v>146</v>
      </c>
    </row>
    <row r="36" customFormat="false" ht="30" hidden="false" customHeight="true" outlineLevel="0" collapsed="false">
      <c r="B36" s="38" t="s">
        <v>530</v>
      </c>
      <c r="C36" s="7" t="s">
        <v>531</v>
      </c>
      <c r="D36" s="28" t="s">
        <v>287</v>
      </c>
      <c r="E36" s="7" t="s">
        <v>532</v>
      </c>
      <c r="F36" s="7" t="s">
        <v>533</v>
      </c>
      <c r="G36" s="28" t="s">
        <v>518</v>
      </c>
      <c r="H36" s="7" t="s">
        <v>146</v>
      </c>
    </row>
    <row r="38" customFormat="false" ht="31.5" hidden="false" customHeight="true" outlineLevel="0" collapsed="false">
      <c r="B38" s="93" t="s">
        <v>534</v>
      </c>
      <c r="C38" s="93"/>
      <c r="D38" s="93"/>
      <c r="E38" s="93"/>
      <c r="F38" s="93"/>
      <c r="G38" s="93"/>
      <c r="H38" s="93"/>
    </row>
    <row r="39" customFormat="false" ht="27.75" hidden="false" customHeight="true" outlineLevel="0" collapsed="false">
      <c r="B39" s="93" t="s">
        <v>48</v>
      </c>
      <c r="C39" s="93" t="s">
        <v>18</v>
      </c>
      <c r="D39" s="93" t="s">
        <v>208</v>
      </c>
      <c r="E39" s="93" t="s">
        <v>209</v>
      </c>
      <c r="F39" s="93" t="s">
        <v>210</v>
      </c>
      <c r="G39" s="93" t="s">
        <v>211</v>
      </c>
      <c r="H39" s="93" t="s">
        <v>212</v>
      </c>
    </row>
    <row r="40" customFormat="false" ht="30" hidden="false" customHeight="true" outlineLevel="0" collapsed="false">
      <c r="B40" s="38" t="s">
        <v>535</v>
      </c>
      <c r="C40" s="7" t="s">
        <v>536</v>
      </c>
      <c r="D40" s="28" t="s">
        <v>537</v>
      </c>
      <c r="E40" s="7" t="s">
        <v>538</v>
      </c>
      <c r="F40" s="7" t="s">
        <v>539</v>
      </c>
      <c r="G40" s="28" t="s">
        <v>540</v>
      </c>
      <c r="H40" s="7" t="s">
        <v>146</v>
      </c>
    </row>
    <row r="42" customFormat="false" ht="31.5" hidden="false" customHeight="true" outlineLevel="0" collapsed="false">
      <c r="B42" s="93" t="s">
        <v>541</v>
      </c>
      <c r="C42" s="93"/>
      <c r="D42" s="93"/>
      <c r="E42" s="93"/>
      <c r="F42" s="93"/>
      <c r="G42" s="93"/>
      <c r="H42" s="93"/>
    </row>
    <row r="43" customFormat="false" ht="27.75" hidden="false" customHeight="true" outlineLevel="0" collapsed="false">
      <c r="B43" s="93" t="s">
        <v>48</v>
      </c>
      <c r="C43" s="93" t="s">
        <v>18</v>
      </c>
      <c r="D43" s="93" t="s">
        <v>208</v>
      </c>
      <c r="E43" s="93" t="s">
        <v>209</v>
      </c>
      <c r="F43" s="93" t="s">
        <v>210</v>
      </c>
      <c r="G43" s="93" t="s">
        <v>211</v>
      </c>
      <c r="H43" s="93" t="s">
        <v>212</v>
      </c>
    </row>
    <row r="44" customFormat="false" ht="30" hidden="false" customHeight="true" outlineLevel="0" collapsed="false">
      <c r="B44" s="38" t="s">
        <v>542</v>
      </c>
      <c r="C44" s="7" t="s">
        <v>543</v>
      </c>
      <c r="D44" s="28" t="s">
        <v>231</v>
      </c>
      <c r="E44" s="7" t="s">
        <v>544</v>
      </c>
      <c r="F44" s="7" t="s">
        <v>545</v>
      </c>
      <c r="G44" s="28" t="s">
        <v>540</v>
      </c>
      <c r="H44" s="7" t="s">
        <v>146</v>
      </c>
    </row>
  </sheetData>
  <mergeCells count="8">
    <mergeCell ref="B2:H2"/>
    <mergeCell ref="B3:H3"/>
    <mergeCell ref="B5:H5"/>
    <mergeCell ref="B17:H17"/>
    <mergeCell ref="B24:H24"/>
    <mergeCell ref="B33:H33"/>
    <mergeCell ref="B38:H38"/>
    <mergeCell ref="B42:H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B2:V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9"/>
    <col collapsed="false" customWidth="true" hidden="false" outlineLevel="0" max="3" min="3" style="1" width="35"/>
    <col collapsed="false" customWidth="true" hidden="false" outlineLevel="0" max="4" min="4" style="1" width="9"/>
    <col collapsed="false" customWidth="true" hidden="false" outlineLevel="0" max="5" min="5" style="1" width="18"/>
    <col collapsed="false" customWidth="true" hidden="false" outlineLevel="0" max="6" min="6" style="1" width="16"/>
    <col collapsed="false" customWidth="true" hidden="false" outlineLevel="0" max="7" min="7" style="1" width="9"/>
    <col collapsed="false" customWidth="true" hidden="false" outlineLevel="0" max="11" min="8" style="1" width="12"/>
    <col collapsed="false" customWidth="true" hidden="false" outlineLevel="0" max="12" min="12" style="1" width="22"/>
    <col collapsed="false" customWidth="true" hidden="false" outlineLevel="0" max="14" min="13" style="1" width="9"/>
    <col collapsed="false" customWidth="true" hidden="false" outlineLevel="0" max="17" min="15" style="1" width="14"/>
    <col collapsed="false" customWidth="true" hidden="false" outlineLevel="0" max="18" min="18" style="1" width="10"/>
    <col collapsed="false" customWidth="true" hidden="false" outlineLevel="0" max="19" min="19" style="1" width="13"/>
    <col collapsed="false" customWidth="true" hidden="false" outlineLevel="0" max="20" min="20" style="1" width="10"/>
    <col collapsed="false" customWidth="true" hidden="false" outlineLevel="0" max="21" min="21" style="1" width="11"/>
    <col collapsed="false" customWidth="true" hidden="false" outlineLevel="0" max="22" min="22" style="1" width="22"/>
  </cols>
  <sheetData>
    <row r="2" customFormat="false" ht="27.75" hidden="false" customHeight="true" outlineLevel="0" collapsed="false">
      <c r="B2" s="45" t="s">
        <v>546</v>
      </c>
      <c r="C2" s="45"/>
      <c r="D2" s="45"/>
      <c r="E2" s="45"/>
      <c r="F2" s="45"/>
      <c r="G2" s="45"/>
      <c r="H2" s="45"/>
      <c r="I2" s="45"/>
      <c r="J2" s="45"/>
      <c r="K2" s="45"/>
      <c r="L2" s="45"/>
      <c r="M2" s="45"/>
      <c r="N2" s="45"/>
      <c r="O2" s="45"/>
      <c r="P2" s="45"/>
      <c r="Q2" s="45"/>
      <c r="R2" s="45"/>
      <c r="S2" s="45"/>
      <c r="T2" s="45"/>
      <c r="U2" s="45"/>
      <c r="V2" s="45"/>
    </row>
    <row r="3" customFormat="false" ht="21.75" hidden="false" customHeight="true" outlineLevel="0" collapsed="false">
      <c r="B3" s="40" t="s">
        <v>547</v>
      </c>
      <c r="C3" s="40"/>
      <c r="D3" s="40"/>
      <c r="E3" s="40"/>
      <c r="F3" s="40"/>
      <c r="G3" s="40"/>
      <c r="H3" s="40"/>
      <c r="I3" s="40"/>
      <c r="J3" s="40"/>
      <c r="K3" s="40"/>
      <c r="L3" s="40"/>
      <c r="M3" s="40"/>
      <c r="N3" s="40"/>
      <c r="O3" s="40"/>
      <c r="P3" s="40"/>
      <c r="Q3" s="40"/>
      <c r="R3" s="40"/>
      <c r="S3" s="40"/>
      <c r="T3" s="40"/>
      <c r="U3" s="40"/>
      <c r="V3" s="40"/>
    </row>
    <row r="5" customFormat="false" ht="37.5" hidden="false" customHeight="true" outlineLevel="0" collapsed="false">
      <c r="B5" s="46" t="s">
        <v>48</v>
      </c>
      <c r="C5" s="46" t="s">
        <v>294</v>
      </c>
      <c r="D5" s="46" t="s">
        <v>548</v>
      </c>
      <c r="E5" s="46" t="s">
        <v>296</v>
      </c>
      <c r="F5" s="46" t="s">
        <v>297</v>
      </c>
      <c r="G5" s="46" t="s">
        <v>298</v>
      </c>
      <c r="H5" s="46" t="s">
        <v>299</v>
      </c>
      <c r="I5" s="46" t="s">
        <v>300</v>
      </c>
      <c r="J5" s="46" t="s">
        <v>301</v>
      </c>
      <c r="K5" s="46" t="s">
        <v>302</v>
      </c>
      <c r="L5" s="46" t="s">
        <v>303</v>
      </c>
      <c r="M5" s="46" t="s">
        <v>304</v>
      </c>
      <c r="N5" s="46" t="s">
        <v>305</v>
      </c>
      <c r="O5" s="46" t="s">
        <v>306</v>
      </c>
      <c r="P5" s="46" t="s">
        <v>28</v>
      </c>
      <c r="Q5" s="46" t="s">
        <v>307</v>
      </c>
      <c r="R5" s="46" t="s">
        <v>50</v>
      </c>
      <c r="S5" s="46" t="s">
        <v>308</v>
      </c>
      <c r="T5" s="46" t="s">
        <v>309</v>
      </c>
      <c r="U5" s="46" t="s">
        <v>310</v>
      </c>
      <c r="V5" s="46" t="s">
        <v>311</v>
      </c>
    </row>
    <row r="6" customFormat="false" ht="36" hidden="false" customHeight="true" outlineLevel="0" collapsed="false">
      <c r="B6" s="27" t="s">
        <v>447</v>
      </c>
      <c r="C6" s="11" t="s">
        <v>549</v>
      </c>
      <c r="D6" s="30" t="s">
        <v>550</v>
      </c>
      <c r="E6" s="11" t="s">
        <v>146</v>
      </c>
      <c r="F6" s="11" t="s">
        <v>138</v>
      </c>
      <c r="G6" s="30" t="n">
        <v>1</v>
      </c>
      <c r="H6" s="47" t="n">
        <v>46054</v>
      </c>
      <c r="I6" s="47" t="n">
        <v>46660</v>
      </c>
      <c r="J6" s="47"/>
      <c r="K6" s="47"/>
      <c r="L6" s="11" t="s">
        <v>551</v>
      </c>
      <c r="M6" s="48" t="n">
        <f aca="true">IF(OR(H6="",I6=""),0,IF(TODAY()&lt;H6,0,IF(TODAY()&gt;=I6,100,(TODAY()-H6)/(I6-H6)*100)))</f>
        <v>18.6468646864686</v>
      </c>
      <c r="N6" s="49" t="n">
        <v>0</v>
      </c>
      <c r="O6" s="50" t="n">
        <v>9313080</v>
      </c>
      <c r="P6" s="50"/>
      <c r="Q6" s="51" t="str">
        <f aca="true">IF(B6="","",IF(K6&lt;&gt;"",IF(K6&lt;=I6,"Terminé à temps","Terminé hors délai"),IF(N6=0,IF(TODAY()&lt;H6,"En attente",IF(TODAY()&gt;I6+30,"Critique","En retard")),IF(N6&gt;=M6,"À temps",IF(N6&gt;=M6*0.8,"À surveiller",IF(N6&gt;=M6*0.5,"En retard","Critique"))))))</f>
        <v>En retard</v>
      </c>
      <c r="R6" s="52" t="n">
        <f aca="false">IFERROR(IF(Q6="Terminé à temps",100,IF(Q6="Terminé hors délai",75,IF(Q6="À temps",50,IF(Q6="À surveiller",40,IF(Q6="En retard",25,IF(Q6="Critique",10,IF(Q6="En attente",50,0))))))),0)</f>
        <v>25</v>
      </c>
      <c r="S6" s="94" t="s">
        <v>447</v>
      </c>
      <c r="T6" s="54" t="n">
        <v>20</v>
      </c>
      <c r="U6" s="55" t="n">
        <f aca="false">IFERROR(IF(T6="",0,T6*N6/100),0)</f>
        <v>0</v>
      </c>
      <c r="V6" s="11"/>
    </row>
    <row r="7" customFormat="false" ht="36" hidden="false" customHeight="true" outlineLevel="0" collapsed="false">
      <c r="B7" s="38" t="s">
        <v>453</v>
      </c>
      <c r="C7" s="7" t="s">
        <v>552</v>
      </c>
      <c r="D7" s="28" t="s">
        <v>550</v>
      </c>
      <c r="E7" s="7" t="s">
        <v>151</v>
      </c>
      <c r="F7" s="7" t="s">
        <v>138</v>
      </c>
      <c r="G7" s="28" t="n">
        <v>1</v>
      </c>
      <c r="H7" s="56" t="n">
        <v>46054</v>
      </c>
      <c r="I7" s="56" t="n">
        <v>46660</v>
      </c>
      <c r="J7" s="56"/>
      <c r="K7" s="56"/>
      <c r="L7" s="7" t="s">
        <v>551</v>
      </c>
      <c r="M7" s="48" t="n">
        <f aca="true">IF(OR(H7="",I7=""),0,IF(TODAY()&lt;H7,0,IF(TODAY()&gt;=I7,100,(TODAY()-H7)/(I7-H7)*100)))</f>
        <v>18.6468646864686</v>
      </c>
      <c r="N7" s="57" t="n">
        <v>0</v>
      </c>
      <c r="O7" s="58" t="n">
        <v>7612720</v>
      </c>
      <c r="P7" s="58"/>
      <c r="Q7" s="51" t="str">
        <f aca="true">IF(B7="","",IF(K7&lt;&gt;"",IF(K7&lt;=I7,"Terminé à temps","Terminé hors délai"),IF(N7=0,IF(TODAY()&lt;H7,"En attente",IF(TODAY()&gt;I7+30,"Critique","En retard")),IF(N7&gt;=M7,"À temps",IF(N7&gt;=M7*0.8,"À surveiller",IF(N7&gt;=M7*0.5,"En retard","Critique"))))))</f>
        <v>En retard</v>
      </c>
      <c r="R7" s="52" t="n">
        <f aca="false">IFERROR(IF(Q7="Terminé à temps",100,IF(Q7="Terminé hors délai",75,IF(Q7="À temps",50,IF(Q7="À surveiller",40,IF(Q7="En retard",25,IF(Q7="Critique",10,IF(Q7="En attente",50,0))))))),0)</f>
        <v>25</v>
      </c>
      <c r="S7" s="95" t="s">
        <v>453</v>
      </c>
      <c r="T7" s="60" t="n">
        <v>20</v>
      </c>
      <c r="U7" s="55" t="n">
        <f aca="false">IFERROR(IF(T7="",0,T7*N7/100),0)</f>
        <v>0</v>
      </c>
      <c r="V7" s="7"/>
    </row>
    <row r="8" customFormat="false" ht="36" hidden="false" customHeight="true" outlineLevel="0" collapsed="false">
      <c r="B8" s="27" t="s">
        <v>455</v>
      </c>
      <c r="C8" s="11" t="s">
        <v>553</v>
      </c>
      <c r="D8" s="30" t="s">
        <v>550</v>
      </c>
      <c r="E8" s="11" t="s">
        <v>151</v>
      </c>
      <c r="F8" s="11" t="s">
        <v>138</v>
      </c>
      <c r="G8" s="30" t="n">
        <v>2</v>
      </c>
      <c r="H8" s="47" t="n">
        <v>46054</v>
      </c>
      <c r="I8" s="47" t="n">
        <v>46112</v>
      </c>
      <c r="J8" s="47"/>
      <c r="K8" s="47"/>
      <c r="L8" s="11" t="s">
        <v>554</v>
      </c>
      <c r="M8" s="48" t="n">
        <f aca="true">IF(OR(H8="",I8=""),0,IF(TODAY()&lt;H8,0,IF(TODAY()&gt;=I8,100,(TODAY()-H8)/(I8-H8)*100)))</f>
        <v>100</v>
      </c>
      <c r="N8" s="49" t="n">
        <v>0</v>
      </c>
      <c r="O8" s="50" t="n">
        <v>1200000</v>
      </c>
      <c r="P8" s="50"/>
      <c r="Q8" s="51" t="str">
        <f aca="true">IF(B8="","",IF(K8&lt;&gt;"",IF(K8&lt;=I8,"Terminé à temps","Terminé hors délai"),IF(N8=0,IF(TODAY()&lt;H8,"En attente",IF(TODAY()&gt;I8+30,"Critique","En retard")),IF(N8&gt;=M8,"À temps",IF(N8&gt;=M8*0.8,"À surveiller",IF(N8&gt;=M8*0.5,"En retard","Critique"))))))</f>
        <v>Critique</v>
      </c>
      <c r="R8" s="52" t="n">
        <f aca="false">IFERROR(IF(Q8="Terminé à temps",100,IF(Q8="Terminé hors délai",75,IF(Q8="À temps",50,IF(Q8="À surveiller",40,IF(Q8="En retard",25,IF(Q8="Critique",10,IF(Q8="En attente",50,0))))))),0)</f>
        <v>10</v>
      </c>
      <c r="S8" s="94" t="s">
        <v>455</v>
      </c>
      <c r="T8" s="54" t="n">
        <v>2</v>
      </c>
      <c r="U8" s="55" t="n">
        <f aca="false">IFERROR(IF(T8="",0,T8*N8/100),0)</f>
        <v>0</v>
      </c>
      <c r="V8" s="11"/>
    </row>
    <row r="9" customFormat="false" ht="36" hidden="false" customHeight="true" outlineLevel="0" collapsed="false">
      <c r="B9" s="38" t="s">
        <v>461</v>
      </c>
      <c r="C9" s="7" t="s">
        <v>555</v>
      </c>
      <c r="D9" s="28" t="s">
        <v>550</v>
      </c>
      <c r="E9" s="7" t="s">
        <v>151</v>
      </c>
      <c r="F9" s="7"/>
      <c r="G9" s="28" t="n">
        <v>1</v>
      </c>
      <c r="H9" s="56" t="n">
        <v>46054</v>
      </c>
      <c r="I9" s="56" t="n">
        <v>46660</v>
      </c>
      <c r="J9" s="56"/>
      <c r="K9" s="56"/>
      <c r="L9" s="7" t="s">
        <v>556</v>
      </c>
      <c r="M9" s="48" t="n">
        <f aca="true">IF(OR(H9="",I9=""),0,IF(TODAY()&lt;H9,0,IF(TODAY()&gt;=I9,100,(TODAY()-H9)/(I9-H9)*100)))</f>
        <v>18.6468646864686</v>
      </c>
      <c r="N9" s="57" t="n">
        <v>0</v>
      </c>
      <c r="O9" s="58" t="n">
        <v>450000</v>
      </c>
      <c r="P9" s="58"/>
      <c r="Q9" s="51" t="str">
        <f aca="true">IF(B9="","",IF(K9&lt;&gt;"",IF(K9&lt;=I9,"Terminé à temps","Terminé hors délai"),IF(N9=0,IF(TODAY()&lt;H9,"En attente",IF(TODAY()&gt;I9+30,"Critique","En retard")),IF(N9&gt;=M9,"À temps",IF(N9&gt;=M9*0.8,"À surveiller",IF(N9&gt;=M9*0.5,"En retard","Critique"))))))</f>
        <v>En retard</v>
      </c>
      <c r="R9" s="52" t="n">
        <f aca="false">IFERROR(IF(Q9="Terminé à temps",100,IF(Q9="Terminé hors délai",75,IF(Q9="À temps",50,IF(Q9="À surveiller",40,IF(Q9="En retard",25,IF(Q9="Critique",10,IF(Q9="En attente",50,0))))))),0)</f>
        <v>25</v>
      </c>
      <c r="S9" s="95" t="s">
        <v>461</v>
      </c>
      <c r="T9" s="60" t="n">
        <v>3</v>
      </c>
      <c r="U9" s="55" t="n">
        <f aca="false">IFERROR(IF(T9="",0,T9*N9/100),0)</f>
        <v>0</v>
      </c>
      <c r="V9" s="7"/>
    </row>
    <row r="10" customFormat="false" ht="36" hidden="false" customHeight="true" outlineLevel="0" collapsed="false">
      <c r="B10" s="27" t="s">
        <v>466</v>
      </c>
      <c r="C10" s="11" t="s">
        <v>467</v>
      </c>
      <c r="D10" s="30" t="s">
        <v>550</v>
      </c>
      <c r="E10" s="11" t="s">
        <v>151</v>
      </c>
      <c r="F10" s="11"/>
      <c r="G10" s="30" t="n">
        <v>1</v>
      </c>
      <c r="H10" s="47" t="n">
        <v>46054</v>
      </c>
      <c r="I10" s="47" t="n">
        <v>46112</v>
      </c>
      <c r="J10" s="47"/>
      <c r="K10" s="47"/>
      <c r="L10" s="11" t="s">
        <v>463</v>
      </c>
      <c r="M10" s="48" t="n">
        <f aca="true">IF(OR(H10="",I10=""),0,IF(TODAY()&lt;H10,0,IF(TODAY()&gt;=I10,100,(TODAY()-H10)/(I10-H10)*100)))</f>
        <v>100</v>
      </c>
      <c r="N10" s="49" t="n">
        <v>0</v>
      </c>
      <c r="O10" s="50" t="n">
        <v>35000</v>
      </c>
      <c r="P10" s="50"/>
      <c r="Q10" s="51" t="str">
        <f aca="true">IF(B10="","",IF(K10&lt;&gt;"",IF(K10&lt;=I10,"Terminé à temps","Terminé hors délai"),IF(N10=0,IF(TODAY()&lt;H10,"En attente",IF(TODAY()&gt;I10+30,"Critique","En retard")),IF(N10&gt;=M10,"À temps",IF(N10&gt;=M10*0.8,"À surveiller",IF(N10&gt;=M10*0.5,"En retard","Critique"))))))</f>
        <v>Critique</v>
      </c>
      <c r="R10" s="52" t="n">
        <f aca="false">IFERROR(IF(Q10="Terminé à temps",100,IF(Q10="Terminé hors délai",75,IF(Q10="À temps",50,IF(Q10="À surveiller",40,IF(Q10="En retard",25,IF(Q10="Critique",10,IF(Q10="En attente",50,0))))))),0)</f>
        <v>10</v>
      </c>
      <c r="S10" s="94" t="s">
        <v>466</v>
      </c>
      <c r="T10" s="54" t="n">
        <v>1</v>
      </c>
      <c r="U10" s="55" t="n">
        <f aca="false">IFERROR(IF(T10="",0,T10*N10/100),0)</f>
        <v>0</v>
      </c>
      <c r="V10" s="11"/>
    </row>
    <row r="11" customFormat="false" ht="36" hidden="false" customHeight="true" outlineLevel="0" collapsed="false">
      <c r="B11" s="38" t="s">
        <v>469</v>
      </c>
      <c r="C11" s="7" t="s">
        <v>470</v>
      </c>
      <c r="D11" s="28" t="s">
        <v>550</v>
      </c>
      <c r="E11" s="7" t="s">
        <v>146</v>
      </c>
      <c r="F11" s="7" t="s">
        <v>156</v>
      </c>
      <c r="G11" s="28" t="n">
        <v>2</v>
      </c>
      <c r="H11" s="56" t="n">
        <v>46113</v>
      </c>
      <c r="I11" s="56" t="n">
        <v>46660</v>
      </c>
      <c r="J11" s="56"/>
      <c r="K11" s="56"/>
      <c r="L11" s="7" t="s">
        <v>557</v>
      </c>
      <c r="M11" s="48" t="n">
        <f aca="true">IF(OR(H11="",I11=""),0,IF(TODAY()&lt;H11,0,IF(TODAY()&gt;=I11,100,(TODAY()-H11)/(I11-H11)*100)))</f>
        <v>9.87202925045704</v>
      </c>
      <c r="N11" s="57" t="n">
        <v>0</v>
      </c>
      <c r="O11" s="58" t="n">
        <v>1500000</v>
      </c>
      <c r="P11" s="58"/>
      <c r="Q11" s="51" t="str">
        <f aca="true">IF(B11="","",IF(K11&lt;&gt;"",IF(K11&lt;=I11,"Terminé à temps","Terminé hors délai"),IF(N11=0,IF(TODAY()&lt;H11,"En attente",IF(TODAY()&gt;I11+30,"Critique","En retard")),IF(N11&gt;=M11,"À temps",IF(N11&gt;=M11*0.8,"À surveiller",IF(N11&gt;=M11*0.5,"En retard","Critique"))))))</f>
        <v>En retard</v>
      </c>
      <c r="R11" s="52" t="n">
        <f aca="false">IFERROR(IF(Q11="Terminé à temps",100,IF(Q11="Terminé hors délai",75,IF(Q11="À temps",50,IF(Q11="À surveiller",40,IF(Q11="En retard",25,IF(Q11="Critique",10,IF(Q11="En attente",50,0))))))),0)</f>
        <v>25</v>
      </c>
      <c r="S11" s="95" t="s">
        <v>469</v>
      </c>
      <c r="T11" s="60" t="n">
        <v>3</v>
      </c>
      <c r="U11" s="55" t="n">
        <f aca="false">IFERROR(IF(T11="",0,T11*N11/100),0)</f>
        <v>0</v>
      </c>
      <c r="V11" s="7"/>
    </row>
    <row r="12" customFormat="false" ht="36" hidden="false" customHeight="true" outlineLevel="0" collapsed="false">
      <c r="B12" s="27" t="s">
        <v>473</v>
      </c>
      <c r="C12" s="11" t="s">
        <v>474</v>
      </c>
      <c r="D12" s="30" t="s">
        <v>550</v>
      </c>
      <c r="E12" s="11" t="s">
        <v>138</v>
      </c>
      <c r="F12" s="11" t="s">
        <v>151</v>
      </c>
      <c r="G12" s="30" t="n">
        <v>1</v>
      </c>
      <c r="H12" s="47" t="n">
        <v>46054</v>
      </c>
      <c r="I12" s="47" t="n">
        <v>46660</v>
      </c>
      <c r="J12" s="47"/>
      <c r="K12" s="47"/>
      <c r="L12" s="11" t="s">
        <v>558</v>
      </c>
      <c r="M12" s="48" t="n">
        <f aca="true">IF(OR(H12="",I12=""),0,IF(TODAY()&lt;H12,0,IF(TODAY()&gt;=I12,100,(TODAY()-H12)/(I12-H12)*100)))</f>
        <v>18.6468646864686</v>
      </c>
      <c r="N12" s="49" t="n">
        <v>0</v>
      </c>
      <c r="O12" s="50" t="n">
        <v>2000000</v>
      </c>
      <c r="P12" s="50"/>
      <c r="Q12" s="51" t="str">
        <f aca="true">IF(B12="","",IF(K12&lt;&gt;"",IF(K12&lt;=I12,"Terminé à temps","Terminé hors délai"),IF(N12=0,IF(TODAY()&lt;H12,"En attente",IF(TODAY()&gt;I12+30,"Critique","En retard")),IF(N12&gt;=M12,"À temps",IF(N12&gt;=M12*0.8,"À surveiller",IF(N12&gt;=M12*0.5,"En retard","Critique"))))))</f>
        <v>En retard</v>
      </c>
      <c r="R12" s="52" t="n">
        <f aca="false">IFERROR(IF(Q12="Terminé à temps",100,IF(Q12="Terminé hors délai",75,IF(Q12="À temps",50,IF(Q12="À surveiller",40,IF(Q12="En retard",25,IF(Q12="Critique",10,IF(Q12="En attente",50,0))))))),0)</f>
        <v>25</v>
      </c>
      <c r="S12" s="94" t="s">
        <v>473</v>
      </c>
      <c r="T12" s="54" t="n">
        <v>20</v>
      </c>
      <c r="U12" s="55" t="n">
        <f aca="false">IFERROR(IF(T12="",0,T12*N12/100),0)</f>
        <v>0</v>
      </c>
      <c r="V12" s="11"/>
    </row>
    <row r="13" customFormat="false" ht="36" hidden="false" customHeight="true" outlineLevel="0" collapsed="false">
      <c r="B13" s="38" t="s">
        <v>477</v>
      </c>
      <c r="C13" s="7" t="s">
        <v>478</v>
      </c>
      <c r="D13" s="28" t="s">
        <v>550</v>
      </c>
      <c r="E13" s="7" t="s">
        <v>151</v>
      </c>
      <c r="F13" s="7"/>
      <c r="G13" s="28" t="n">
        <v>1</v>
      </c>
      <c r="H13" s="56" t="n">
        <v>46054</v>
      </c>
      <c r="I13" s="56" t="n">
        <v>46660</v>
      </c>
      <c r="J13" s="56"/>
      <c r="K13" s="56"/>
      <c r="L13" s="7" t="s">
        <v>463</v>
      </c>
      <c r="M13" s="48" t="n">
        <f aca="true">IF(OR(H13="",I13=""),0,IF(TODAY()&lt;H13,0,IF(TODAY()&gt;=I13,100,(TODAY()-H13)/(I13-H13)*100)))</f>
        <v>18.6468646864686</v>
      </c>
      <c r="N13" s="57" t="n">
        <v>0</v>
      </c>
      <c r="O13" s="58" t="n">
        <v>2000000</v>
      </c>
      <c r="P13" s="58"/>
      <c r="Q13" s="51" t="str">
        <f aca="true">IF(B13="","",IF(K13&lt;&gt;"",IF(K13&lt;=I13,"Terminé à temps","Terminé hors délai"),IF(N13=0,IF(TODAY()&lt;H13,"En attente",IF(TODAY()&gt;I13+30,"Critique","En retard")),IF(N13&gt;=M13,"À temps",IF(N13&gt;=M13*0.8,"À surveiller",IF(N13&gt;=M13*0.5,"En retard","Critique"))))))</f>
        <v>En retard</v>
      </c>
      <c r="R13" s="52" t="n">
        <f aca="false">IFERROR(IF(Q13="Terminé à temps",100,IF(Q13="Terminé hors délai",75,IF(Q13="À temps",50,IF(Q13="À surveiller",40,IF(Q13="En retard",25,IF(Q13="Critique",10,IF(Q13="En attente",50,0))))))),0)</f>
        <v>25</v>
      </c>
      <c r="S13" s="95" t="s">
        <v>477</v>
      </c>
      <c r="T13" s="60" t="n">
        <v>20</v>
      </c>
      <c r="U13" s="55" t="n">
        <f aca="false">IFERROR(IF(T13="",0,T13*N13/100),0)</f>
        <v>0</v>
      </c>
      <c r="V13" s="7"/>
    </row>
    <row r="14" customFormat="false" ht="36" hidden="false" customHeight="true" outlineLevel="0" collapsed="false">
      <c r="B14" s="27" t="s">
        <v>480</v>
      </c>
      <c r="C14" s="11" t="s">
        <v>481</v>
      </c>
      <c r="D14" s="30" t="s">
        <v>550</v>
      </c>
      <c r="E14" s="11" t="s">
        <v>151</v>
      </c>
      <c r="F14" s="11"/>
      <c r="G14" s="30" t="n">
        <v>1</v>
      </c>
      <c r="H14" s="47" t="n">
        <v>46054</v>
      </c>
      <c r="I14" s="47" t="n">
        <v>46660</v>
      </c>
      <c r="J14" s="47"/>
      <c r="K14" s="47"/>
      <c r="L14" s="11" t="s">
        <v>463</v>
      </c>
      <c r="M14" s="48" t="n">
        <f aca="true">IF(OR(H14="",I14=""),0,IF(TODAY()&lt;H14,0,IF(TODAY()&gt;=I14,100,(TODAY()-H14)/(I14-H14)*100)))</f>
        <v>18.6468646864686</v>
      </c>
      <c r="N14" s="49" t="n">
        <v>0</v>
      </c>
      <c r="O14" s="50" t="n">
        <v>1040000</v>
      </c>
      <c r="P14" s="50"/>
      <c r="Q14" s="51" t="str">
        <f aca="true">IF(B14="","",IF(K14&lt;&gt;"",IF(K14&lt;=I14,"Terminé à temps","Terminé hors délai"),IF(N14=0,IF(TODAY()&lt;H14,"En attente",IF(TODAY()&gt;I14+30,"Critique","En retard")),IF(N14&gt;=M14,"À temps",IF(N14&gt;=M14*0.8,"À surveiller",IF(N14&gt;=M14*0.5,"En retard","Critique"))))))</f>
        <v>En retard</v>
      </c>
      <c r="R14" s="52" t="n">
        <f aca="false">IFERROR(IF(Q14="Terminé à temps",100,IF(Q14="Terminé hors délai",75,IF(Q14="À temps",50,IF(Q14="À surveiller",40,IF(Q14="En retard",25,IF(Q14="Critique",10,IF(Q14="En attente",50,0))))))),0)</f>
        <v>25</v>
      </c>
      <c r="S14" s="94" t="s">
        <v>480</v>
      </c>
      <c r="T14" s="54" t="n">
        <v>20</v>
      </c>
      <c r="U14" s="55" t="n">
        <f aca="false">IFERROR(IF(T14="",0,T14*N14/100),0)</f>
        <v>0</v>
      </c>
      <c r="V14" s="11"/>
    </row>
    <row r="15" customFormat="false" ht="36" hidden="false" customHeight="true" outlineLevel="0" collapsed="false">
      <c r="B15" s="38" t="s">
        <v>484</v>
      </c>
      <c r="C15" s="7" t="s">
        <v>559</v>
      </c>
      <c r="D15" s="28" t="s">
        <v>560</v>
      </c>
      <c r="E15" s="7" t="s">
        <v>138</v>
      </c>
      <c r="F15" s="7" t="s">
        <v>146</v>
      </c>
      <c r="G15" s="28" t="n">
        <v>2</v>
      </c>
      <c r="H15" s="56" t="n">
        <v>46054</v>
      </c>
      <c r="I15" s="56" t="n">
        <v>46081</v>
      </c>
      <c r="J15" s="56"/>
      <c r="K15" s="56"/>
      <c r="L15" s="7" t="s">
        <v>561</v>
      </c>
      <c r="M15" s="48" t="n">
        <f aca="true">IF(OR(H15="",I15=""),0,IF(TODAY()&lt;H15,0,IF(TODAY()&gt;=I15,100,(TODAY()-H15)/(I15-H15)*100)))</f>
        <v>100</v>
      </c>
      <c r="N15" s="57" t="n">
        <v>0</v>
      </c>
      <c r="O15" s="58" t="n">
        <v>250000</v>
      </c>
      <c r="P15" s="58"/>
      <c r="Q15" s="51" t="str">
        <f aca="true">IF(B15="","",IF(K15&lt;&gt;"",IF(K15&lt;=I15,"Terminé à temps","Terminé hors délai"),IF(N15=0,IF(TODAY()&lt;H15,"En attente",IF(TODAY()&gt;I15+30,"Critique","En retard")),IF(N15&gt;=M15,"À temps",IF(N15&gt;=M15*0.8,"À surveiller",IF(N15&gt;=M15*0.5,"En retard","Critique"))))))</f>
        <v>Critique</v>
      </c>
      <c r="R15" s="52" t="n">
        <f aca="false">IFERROR(IF(Q15="Terminé à temps",100,IF(Q15="Terminé hors délai",75,IF(Q15="À temps",50,IF(Q15="À surveiller",40,IF(Q15="En retard",25,IF(Q15="Critique",10,IF(Q15="En attente",50,0))))))),0)</f>
        <v>10</v>
      </c>
      <c r="S15" s="95" t="s">
        <v>484</v>
      </c>
      <c r="T15" s="60" t="n">
        <v>1</v>
      </c>
      <c r="U15" s="55" t="n">
        <f aca="false">IFERROR(IF(T15="",0,T15*N15/100),0)</f>
        <v>0</v>
      </c>
      <c r="V15" s="7"/>
    </row>
    <row r="16" customFormat="false" ht="36" hidden="false" customHeight="true" outlineLevel="0" collapsed="false">
      <c r="B16" s="27" t="s">
        <v>488</v>
      </c>
      <c r="C16" s="11" t="s">
        <v>562</v>
      </c>
      <c r="D16" s="30" t="s">
        <v>560</v>
      </c>
      <c r="E16" s="11" t="s">
        <v>138</v>
      </c>
      <c r="F16" s="11" t="s">
        <v>146</v>
      </c>
      <c r="G16" s="30" t="n">
        <v>3</v>
      </c>
      <c r="H16" s="47" t="n">
        <v>46068</v>
      </c>
      <c r="I16" s="47" t="n">
        <v>46096</v>
      </c>
      <c r="J16" s="47"/>
      <c r="K16" s="47"/>
      <c r="L16" s="11" t="s">
        <v>563</v>
      </c>
      <c r="M16" s="48" t="n">
        <f aca="true">IF(OR(H16="",I16=""),0,IF(TODAY()&lt;H16,0,IF(TODAY()&gt;=I16,100,(TODAY()-H16)/(I16-H16)*100)))</f>
        <v>100</v>
      </c>
      <c r="N16" s="49" t="n">
        <v>0</v>
      </c>
      <c r="O16" s="50" t="n">
        <v>250000</v>
      </c>
      <c r="P16" s="50"/>
      <c r="Q16" s="51" t="str">
        <f aca="true">IF(B16="","",IF(K16&lt;&gt;"",IF(K16&lt;=I16,"Terminé à temps","Terminé hors délai"),IF(N16=0,IF(TODAY()&lt;H16,"En attente",IF(TODAY()&gt;I16+30,"Critique","En retard")),IF(N16&gt;=M16,"À temps",IF(N16&gt;=M16*0.8,"À surveiller",IF(N16&gt;=M16*0.5,"En retard","Critique"))))))</f>
        <v>Critique</v>
      </c>
      <c r="R16" s="52" t="n">
        <f aca="false">IFERROR(IF(Q16="Terminé à temps",100,IF(Q16="Terminé hors délai",75,IF(Q16="À temps",50,IF(Q16="À surveiller",40,IF(Q16="En retard",25,IF(Q16="Critique",10,IF(Q16="En attente",50,0))))))),0)</f>
        <v>10</v>
      </c>
      <c r="S16" s="94" t="s">
        <v>488</v>
      </c>
      <c r="T16" s="54" t="n">
        <v>1</v>
      </c>
      <c r="U16" s="55" t="n">
        <f aca="false">IFERROR(IF(T16="",0,T16*N16/100),0)</f>
        <v>0</v>
      </c>
      <c r="V16" s="11"/>
    </row>
    <row r="17" customFormat="false" ht="36" hidden="false" customHeight="true" outlineLevel="0" collapsed="false">
      <c r="B17" s="38" t="s">
        <v>564</v>
      </c>
      <c r="C17" s="7" t="s">
        <v>565</v>
      </c>
      <c r="D17" s="28" t="s">
        <v>560</v>
      </c>
      <c r="E17" s="7" t="s">
        <v>146</v>
      </c>
      <c r="F17" s="7" t="s">
        <v>138</v>
      </c>
      <c r="G17" s="28" t="n">
        <v>3</v>
      </c>
      <c r="H17" s="56" t="n">
        <v>46113</v>
      </c>
      <c r="I17" s="56" t="n">
        <v>46295</v>
      </c>
      <c r="J17" s="56"/>
      <c r="K17" s="56"/>
      <c r="L17" s="7" t="s">
        <v>566</v>
      </c>
      <c r="M17" s="48" t="n">
        <f aca="true">IF(OR(H17="",I17=""),0,IF(TODAY()&lt;H17,0,IF(TODAY()&gt;=I17,100,(TODAY()-H17)/(I17-H17)*100)))</f>
        <v>29.6703296703297</v>
      </c>
      <c r="N17" s="57" t="n">
        <v>0</v>
      </c>
      <c r="O17" s="58" t="n">
        <v>2500000</v>
      </c>
      <c r="P17" s="58"/>
      <c r="Q17" s="51" t="str">
        <f aca="true">IF(B17="","",IF(K17&lt;&gt;"",IF(K17&lt;=I17,"Terminé à temps","Terminé hors délai"),IF(N17=0,IF(TODAY()&lt;H17,"En attente",IF(TODAY()&gt;I17+30,"Critique","En retard")),IF(N17&gt;=M17,"À temps",IF(N17&gt;=M17*0.8,"À surveiller",IF(N17&gt;=M17*0.5,"En retard","Critique"))))))</f>
        <v>En retard</v>
      </c>
      <c r="R17" s="52" t="n">
        <f aca="false">IFERROR(IF(Q17="Terminé à temps",100,IF(Q17="Terminé hors délai",75,IF(Q17="À temps",50,IF(Q17="À surveiller",40,IF(Q17="En retard",25,IF(Q17="Critique",10,IF(Q17="En attente",50,0))))))),0)</f>
        <v>25</v>
      </c>
      <c r="S17" s="95" t="s">
        <v>492</v>
      </c>
      <c r="T17" s="60" t="n">
        <v>1</v>
      </c>
      <c r="U17" s="55" t="n">
        <f aca="false">IFERROR(IF(T17="",0,T17*N17/100),0)</f>
        <v>0</v>
      </c>
      <c r="V17" s="7"/>
    </row>
    <row r="18" customFormat="false" ht="36" hidden="false" customHeight="true" outlineLevel="0" collapsed="false">
      <c r="B18" s="27" t="s">
        <v>567</v>
      </c>
      <c r="C18" s="11" t="s">
        <v>568</v>
      </c>
      <c r="D18" s="30" t="s">
        <v>560</v>
      </c>
      <c r="E18" s="11" t="s">
        <v>146</v>
      </c>
      <c r="F18" s="11" t="s">
        <v>138</v>
      </c>
      <c r="G18" s="30" t="n">
        <v>3</v>
      </c>
      <c r="H18" s="47" t="n">
        <v>46296</v>
      </c>
      <c r="I18" s="47" t="n">
        <v>46477</v>
      </c>
      <c r="J18" s="47"/>
      <c r="K18" s="47"/>
      <c r="L18" s="11" t="s">
        <v>566</v>
      </c>
      <c r="M18" s="48" t="n">
        <f aca="true">IF(OR(H18="",I18=""),0,IF(TODAY()&lt;H18,0,IF(TODAY()&gt;=I18,100,(TODAY()-H18)/(I18-H18)*100)))</f>
        <v>0</v>
      </c>
      <c r="N18" s="49" t="n">
        <v>0</v>
      </c>
      <c r="O18" s="50" t="n">
        <v>2500000</v>
      </c>
      <c r="P18" s="50"/>
      <c r="Q18" s="51" t="str">
        <f aca="true">IF(B18="","",IF(K18&lt;&gt;"",IF(K18&lt;=I18,"Terminé à temps","Terminé hors délai"),IF(N18=0,IF(TODAY()&lt;H18,"En attente",IF(TODAY()&gt;I18+30,"Critique","En retard")),IF(N18&gt;=M18,"À temps",IF(N18&gt;=M18*0.8,"À surveiller",IF(N18&gt;=M18*0.5,"En retard","Critique"))))))</f>
        <v>En attente</v>
      </c>
      <c r="R18" s="52" t="n">
        <f aca="false">IFERROR(IF(Q18="Terminé à temps",100,IF(Q18="Terminé hors délai",75,IF(Q18="À temps",50,IF(Q18="À surveiller",40,IF(Q18="En retard",25,IF(Q18="Critique",10,IF(Q18="En attente",50,0))))))),0)</f>
        <v>50</v>
      </c>
      <c r="S18" s="94" t="s">
        <v>492</v>
      </c>
      <c r="T18" s="54" t="n">
        <v>1</v>
      </c>
      <c r="U18" s="55" t="n">
        <f aca="false">IFERROR(IF(T18="",0,T18*N18/100),0)</f>
        <v>0</v>
      </c>
      <c r="V18" s="11"/>
    </row>
    <row r="19" customFormat="false" ht="36" hidden="false" customHeight="true" outlineLevel="0" collapsed="false">
      <c r="B19" s="38" t="s">
        <v>569</v>
      </c>
      <c r="C19" s="7" t="s">
        <v>570</v>
      </c>
      <c r="D19" s="28" t="s">
        <v>560</v>
      </c>
      <c r="E19" s="7" t="s">
        <v>146</v>
      </c>
      <c r="F19" s="7" t="s">
        <v>138</v>
      </c>
      <c r="G19" s="28" t="n">
        <v>3</v>
      </c>
      <c r="H19" s="56" t="n">
        <v>46478</v>
      </c>
      <c r="I19" s="56" t="n">
        <v>46660</v>
      </c>
      <c r="J19" s="56"/>
      <c r="K19" s="56"/>
      <c r="L19" s="7" t="s">
        <v>566</v>
      </c>
      <c r="M19" s="48" t="n">
        <f aca="true">IF(OR(H19="",I19=""),0,IF(TODAY()&lt;H19,0,IF(TODAY()&gt;=I19,100,(TODAY()-H19)/(I19-H19)*100)))</f>
        <v>0</v>
      </c>
      <c r="N19" s="57" t="n">
        <v>0</v>
      </c>
      <c r="O19" s="58" t="n">
        <v>2500000</v>
      </c>
      <c r="P19" s="58"/>
      <c r="Q19" s="51" t="str">
        <f aca="true">IF(B19="","",IF(K19&lt;&gt;"",IF(K19&lt;=I19,"Terminé à temps","Terminé hors délai"),IF(N19=0,IF(TODAY()&lt;H19,"En attente",IF(TODAY()&gt;I19+30,"Critique","En retard")),IF(N19&gt;=M19,"À temps",IF(N19&gt;=M19*0.8,"À surveiller",IF(N19&gt;=M19*0.5,"En retard","Critique"))))))</f>
        <v>En attente</v>
      </c>
      <c r="R19" s="52" t="n">
        <f aca="false">IFERROR(IF(Q19="Terminé à temps",100,IF(Q19="Terminé hors délai",75,IF(Q19="À temps",50,IF(Q19="À surveiller",40,IF(Q19="En retard",25,IF(Q19="Critique",10,IF(Q19="En attente",50,0))))))),0)</f>
        <v>50</v>
      </c>
      <c r="S19" s="95" t="s">
        <v>492</v>
      </c>
      <c r="T19" s="60" t="n">
        <v>1</v>
      </c>
      <c r="U19" s="55" t="n">
        <f aca="false">IFERROR(IF(T19="",0,T19*N19/100),0)</f>
        <v>0</v>
      </c>
      <c r="V19" s="7"/>
    </row>
    <row r="20" customFormat="false" ht="36" hidden="false" customHeight="true" outlineLevel="0" collapsed="false">
      <c r="B20" s="27" t="s">
        <v>571</v>
      </c>
      <c r="C20" s="11" t="s">
        <v>572</v>
      </c>
      <c r="D20" s="30" t="s">
        <v>560</v>
      </c>
      <c r="E20" s="11" t="s">
        <v>146</v>
      </c>
      <c r="F20" s="11" t="s">
        <v>138</v>
      </c>
      <c r="G20" s="30" t="n">
        <v>2</v>
      </c>
      <c r="H20" s="47" t="n">
        <v>46113</v>
      </c>
      <c r="I20" s="47" t="n">
        <v>46295</v>
      </c>
      <c r="J20" s="47"/>
      <c r="K20" s="47"/>
      <c r="L20" s="11" t="s">
        <v>573</v>
      </c>
      <c r="M20" s="48" t="n">
        <f aca="true">IF(OR(H20="",I20=""),0,IF(TODAY()&lt;H20,0,IF(TODAY()&gt;=I20,100,(TODAY()-H20)/(I20-H20)*100)))</f>
        <v>29.6703296703297</v>
      </c>
      <c r="N20" s="49" t="n">
        <v>0</v>
      </c>
      <c r="O20" s="50" t="n">
        <v>2500000</v>
      </c>
      <c r="P20" s="50"/>
      <c r="Q20" s="51" t="str">
        <f aca="true">IF(B20="","",IF(K20&lt;&gt;"",IF(K20&lt;=I20,"Terminé à temps","Terminé hors délai"),IF(N20=0,IF(TODAY()&lt;H20,"En attente",IF(TODAY()&gt;I20+30,"Critique","En retard")),IF(N20&gt;=M20,"À temps",IF(N20&gt;=M20*0.8,"À surveiller",IF(N20&gt;=M20*0.5,"En retard","Critique"))))))</f>
        <v>En retard</v>
      </c>
      <c r="R20" s="52" t="n">
        <f aca="false">IFERROR(IF(Q20="Terminé à temps",100,IF(Q20="Terminé hors délai",75,IF(Q20="À temps",50,IF(Q20="À surveiller",40,IF(Q20="En retard",25,IF(Q20="Critique",10,IF(Q20="En attente",50,0))))))),0)</f>
        <v>25</v>
      </c>
      <c r="S20" s="94" t="s">
        <v>497</v>
      </c>
      <c r="T20" s="54" t="n">
        <v>1</v>
      </c>
      <c r="U20" s="55" t="n">
        <f aca="false">IFERROR(IF(T20="",0,T20*N20/100),0)</f>
        <v>0</v>
      </c>
      <c r="V20" s="11"/>
    </row>
    <row r="21" customFormat="false" ht="36" hidden="false" customHeight="true" outlineLevel="0" collapsed="false">
      <c r="B21" s="38" t="s">
        <v>574</v>
      </c>
      <c r="C21" s="7" t="s">
        <v>575</v>
      </c>
      <c r="D21" s="28" t="s">
        <v>560</v>
      </c>
      <c r="E21" s="7" t="s">
        <v>146</v>
      </c>
      <c r="F21" s="7" t="s">
        <v>138</v>
      </c>
      <c r="G21" s="28" t="n">
        <v>2</v>
      </c>
      <c r="H21" s="56" t="n">
        <v>46296</v>
      </c>
      <c r="I21" s="56" t="n">
        <v>46477</v>
      </c>
      <c r="J21" s="56"/>
      <c r="K21" s="56"/>
      <c r="L21" s="7" t="s">
        <v>573</v>
      </c>
      <c r="M21" s="48" t="n">
        <f aca="true">IF(OR(H21="",I21=""),0,IF(TODAY()&lt;H21,0,IF(TODAY()&gt;=I21,100,(TODAY()-H21)/(I21-H21)*100)))</f>
        <v>0</v>
      </c>
      <c r="N21" s="57" t="n">
        <v>0</v>
      </c>
      <c r="O21" s="58" t="n">
        <v>2500000</v>
      </c>
      <c r="P21" s="58"/>
      <c r="Q21" s="51" t="str">
        <f aca="true">IF(B21="","",IF(K21&lt;&gt;"",IF(K21&lt;=I21,"Terminé à temps","Terminé hors délai"),IF(N21=0,IF(TODAY()&lt;H21,"En attente",IF(TODAY()&gt;I21+30,"Critique","En retard")),IF(N21&gt;=M21,"À temps",IF(N21&gt;=M21*0.8,"À surveiller",IF(N21&gt;=M21*0.5,"En retard","Critique"))))))</f>
        <v>En attente</v>
      </c>
      <c r="R21" s="52" t="n">
        <f aca="false">IFERROR(IF(Q21="Terminé à temps",100,IF(Q21="Terminé hors délai",75,IF(Q21="À temps",50,IF(Q21="À surveiller",40,IF(Q21="En retard",25,IF(Q21="Critique",10,IF(Q21="En attente",50,0))))))),0)</f>
        <v>50</v>
      </c>
      <c r="S21" s="95" t="s">
        <v>497</v>
      </c>
      <c r="T21" s="60" t="n">
        <v>1</v>
      </c>
      <c r="U21" s="55" t="n">
        <f aca="false">IFERROR(IF(T21="",0,T21*N21/100),0)</f>
        <v>0</v>
      </c>
      <c r="V21" s="7"/>
    </row>
    <row r="22" customFormat="false" ht="36" hidden="false" customHeight="true" outlineLevel="0" collapsed="false">
      <c r="B22" s="27" t="s">
        <v>576</v>
      </c>
      <c r="C22" s="11" t="s">
        <v>577</v>
      </c>
      <c r="D22" s="30" t="s">
        <v>560</v>
      </c>
      <c r="E22" s="11" t="s">
        <v>146</v>
      </c>
      <c r="F22" s="11" t="s">
        <v>138</v>
      </c>
      <c r="G22" s="30" t="n">
        <v>2</v>
      </c>
      <c r="H22" s="47" t="n">
        <v>46478</v>
      </c>
      <c r="I22" s="47" t="n">
        <v>46660</v>
      </c>
      <c r="J22" s="47"/>
      <c r="K22" s="47"/>
      <c r="L22" s="11" t="s">
        <v>573</v>
      </c>
      <c r="M22" s="48" t="n">
        <f aca="true">IF(OR(H22="",I22=""),0,IF(TODAY()&lt;H22,0,IF(TODAY()&gt;=I22,100,(TODAY()-H22)/(I22-H22)*100)))</f>
        <v>0</v>
      </c>
      <c r="N22" s="49" t="n">
        <v>0</v>
      </c>
      <c r="O22" s="50" t="n">
        <v>2500000</v>
      </c>
      <c r="P22" s="50"/>
      <c r="Q22" s="51" t="str">
        <f aca="true">IF(B22="","",IF(K22&lt;&gt;"",IF(K22&lt;=I22,"Terminé à temps","Terminé hors délai"),IF(N22=0,IF(TODAY()&lt;H22,"En attente",IF(TODAY()&gt;I22+30,"Critique","En retard")),IF(N22&gt;=M22,"À temps",IF(N22&gt;=M22*0.8,"À surveiller",IF(N22&gt;=M22*0.5,"En retard","Critique"))))))</f>
        <v>En attente</v>
      </c>
      <c r="R22" s="52" t="n">
        <f aca="false">IFERROR(IF(Q22="Terminé à temps",100,IF(Q22="Terminé hors délai",75,IF(Q22="À temps",50,IF(Q22="À surveiller",40,IF(Q22="En retard",25,IF(Q22="Critique",10,IF(Q22="En attente",50,0))))))),0)</f>
        <v>50</v>
      </c>
      <c r="S22" s="94" t="s">
        <v>497</v>
      </c>
      <c r="T22" s="54" t="n">
        <v>1</v>
      </c>
      <c r="U22" s="55" t="n">
        <f aca="false">IFERROR(IF(T22="",0,T22*N22/100),0)</f>
        <v>0</v>
      </c>
      <c r="V22" s="11"/>
    </row>
    <row r="23" customFormat="false" ht="36" hidden="false" customHeight="true" outlineLevel="0" collapsed="false">
      <c r="B23" s="38" t="s">
        <v>578</v>
      </c>
      <c r="C23" s="7" t="s">
        <v>579</v>
      </c>
      <c r="D23" s="28" t="s">
        <v>560</v>
      </c>
      <c r="E23" s="7" t="s">
        <v>138</v>
      </c>
      <c r="F23" s="7" t="s">
        <v>580</v>
      </c>
      <c r="G23" s="28" t="n">
        <v>3</v>
      </c>
      <c r="H23" s="56" t="n">
        <v>46054</v>
      </c>
      <c r="I23" s="56" t="n">
        <v>46112</v>
      </c>
      <c r="J23" s="56"/>
      <c r="K23" s="56"/>
      <c r="L23" s="7" t="s">
        <v>581</v>
      </c>
      <c r="M23" s="48" t="n">
        <f aca="true">IF(OR(H23="",I23=""),0,IF(TODAY()&lt;H23,0,IF(TODAY()&gt;=I23,100,(TODAY()-H23)/(I23-H23)*100)))</f>
        <v>100</v>
      </c>
      <c r="N23" s="57" t="n">
        <v>0</v>
      </c>
      <c r="O23" s="58" t="n">
        <v>435000</v>
      </c>
      <c r="P23" s="58"/>
      <c r="Q23" s="51" t="str">
        <f aca="true">IF(B23="","",IF(K23&lt;&gt;"",IF(K23&lt;=I23,"Terminé à temps","Terminé hors délai"),IF(N23=0,IF(TODAY()&lt;H23,"En attente",IF(TODAY()&gt;I23+30,"Critique","En retard")),IF(N23&gt;=M23,"À temps",IF(N23&gt;=M23*0.8,"À surveiller",IF(N23&gt;=M23*0.5,"En retard","Critique"))))))</f>
        <v>Critique</v>
      </c>
      <c r="R23" s="52" t="n">
        <f aca="false">IFERROR(IF(Q23="Terminé à temps",100,IF(Q23="Terminé hors délai",75,IF(Q23="À temps",50,IF(Q23="À surveiller",40,IF(Q23="En retard",25,IF(Q23="Critique",10,IF(Q23="En attente",50,0))))))),0)</f>
        <v>10</v>
      </c>
      <c r="S23" s="95"/>
      <c r="T23" s="60"/>
      <c r="U23" s="55" t="n">
        <f aca="false">IFERROR(IF(T23="",0,T23*N23/100),0)</f>
        <v>0</v>
      </c>
      <c r="V23" s="7"/>
    </row>
    <row r="24" customFormat="false" ht="36" hidden="false" customHeight="true" outlineLevel="0" collapsed="false">
      <c r="B24" s="27" t="s">
        <v>582</v>
      </c>
      <c r="C24" s="11" t="s">
        <v>583</v>
      </c>
      <c r="D24" s="30" t="s">
        <v>584</v>
      </c>
      <c r="E24" s="11" t="s">
        <v>146</v>
      </c>
      <c r="F24" s="11" t="s">
        <v>161</v>
      </c>
      <c r="G24" s="30" t="n">
        <v>3</v>
      </c>
      <c r="H24" s="47" t="n">
        <v>46113</v>
      </c>
      <c r="I24" s="47" t="n">
        <v>46203</v>
      </c>
      <c r="J24" s="47"/>
      <c r="K24" s="47"/>
      <c r="L24" s="11" t="s">
        <v>585</v>
      </c>
      <c r="M24" s="48" t="n">
        <f aca="true">IF(OR(H24="",I24=""),0,IF(TODAY()&lt;H24,0,IF(TODAY()&gt;=I24,100,(TODAY()-H24)/(I24-H24)*100)))</f>
        <v>60</v>
      </c>
      <c r="N24" s="49" t="n">
        <v>0</v>
      </c>
      <c r="O24" s="50" t="n">
        <v>1500000</v>
      </c>
      <c r="P24" s="50"/>
      <c r="Q24" s="51" t="str">
        <f aca="true">IF(B24="","",IF(K24&lt;&gt;"",IF(K24&lt;=I24,"Terminé à temps","Terminé hors délai"),IF(N24=0,IF(TODAY()&lt;H24,"En attente",IF(TODAY()&gt;I24+30,"Critique","En retard")),IF(N24&gt;=M24,"À temps",IF(N24&gt;=M24*0.8,"À surveiller",IF(N24&gt;=M24*0.5,"En retard","Critique"))))))</f>
        <v>En retard</v>
      </c>
      <c r="R24" s="52" t="n">
        <f aca="false">IFERROR(IF(Q24="Terminé à temps",100,IF(Q24="Terminé hors délai",75,IF(Q24="À temps",50,IF(Q24="À surveiller",40,IF(Q24="En retard",25,IF(Q24="Critique",10,IF(Q24="En attente",50,0))))))),0)</f>
        <v>25</v>
      </c>
      <c r="S24" s="94" t="s">
        <v>502</v>
      </c>
      <c r="T24" s="54" t="n">
        <v>3</v>
      </c>
      <c r="U24" s="55" t="n">
        <f aca="false">IFERROR(IF(T24="",0,T24*N24/100),0)</f>
        <v>0</v>
      </c>
      <c r="V24" s="11"/>
    </row>
    <row r="25" customFormat="false" ht="36" hidden="false" customHeight="true" outlineLevel="0" collapsed="false">
      <c r="B25" s="38" t="s">
        <v>586</v>
      </c>
      <c r="C25" s="7" t="s">
        <v>587</v>
      </c>
      <c r="D25" s="28" t="s">
        <v>584</v>
      </c>
      <c r="E25" s="7" t="s">
        <v>146</v>
      </c>
      <c r="F25" s="7" t="s">
        <v>161</v>
      </c>
      <c r="G25" s="28" t="n">
        <v>3</v>
      </c>
      <c r="H25" s="56" t="n">
        <v>46113</v>
      </c>
      <c r="I25" s="56" t="n">
        <v>46203</v>
      </c>
      <c r="J25" s="56"/>
      <c r="K25" s="56"/>
      <c r="L25" s="7" t="s">
        <v>238</v>
      </c>
      <c r="M25" s="48" t="n">
        <f aca="true">IF(OR(H25="",I25=""),0,IF(TODAY()&lt;H25,0,IF(TODAY()&gt;=I25,100,(TODAY()-H25)/(I25-H25)*100)))</f>
        <v>60</v>
      </c>
      <c r="N25" s="57" t="n">
        <v>0</v>
      </c>
      <c r="O25" s="58" t="n">
        <v>1000000</v>
      </c>
      <c r="P25" s="58"/>
      <c r="Q25" s="51" t="str">
        <f aca="true">IF(B25="","",IF(K25&lt;&gt;"",IF(K25&lt;=I25,"Terminé à temps","Terminé hors délai"),IF(N25=0,IF(TODAY()&lt;H25,"En attente",IF(TODAY()&gt;I25+30,"Critique","En retard")),IF(N25&gt;=M25,"À temps",IF(N25&gt;=M25*0.8,"À surveiller",IF(N25&gt;=M25*0.5,"En retard","Critique"))))))</f>
        <v>En retard</v>
      </c>
      <c r="R25" s="52" t="n">
        <f aca="false">IFERROR(IF(Q25="Terminé à temps",100,IF(Q25="Terminé hors délai",75,IF(Q25="À temps",50,IF(Q25="À surveiller",40,IF(Q25="En retard",25,IF(Q25="Critique",10,IF(Q25="En attente",50,0))))))),0)</f>
        <v>25</v>
      </c>
      <c r="S25" s="95" t="s">
        <v>506</v>
      </c>
      <c r="T25" s="60" t="n">
        <v>60</v>
      </c>
      <c r="U25" s="55" t="n">
        <f aca="false">IFERROR(IF(T25="",0,T25*N25/100),0)</f>
        <v>0</v>
      </c>
      <c r="V25" s="7"/>
    </row>
    <row r="26" customFormat="false" ht="36" hidden="false" customHeight="true" outlineLevel="0" collapsed="false">
      <c r="B26" s="27" t="s">
        <v>588</v>
      </c>
      <c r="C26" s="11" t="s">
        <v>589</v>
      </c>
      <c r="D26" s="30" t="s">
        <v>584</v>
      </c>
      <c r="E26" s="11" t="s">
        <v>146</v>
      </c>
      <c r="F26" s="11" t="s">
        <v>161</v>
      </c>
      <c r="G26" s="30" t="n">
        <v>3</v>
      </c>
      <c r="H26" s="47" t="n">
        <v>46143</v>
      </c>
      <c r="I26" s="47" t="n">
        <v>46203</v>
      </c>
      <c r="J26" s="47"/>
      <c r="K26" s="47"/>
      <c r="L26" s="11" t="s">
        <v>499</v>
      </c>
      <c r="M26" s="48" t="n">
        <f aca="true">IF(OR(H26="",I26=""),0,IF(TODAY()&lt;H26,0,IF(TODAY()&gt;=I26,100,(TODAY()-H26)/(I26-H26)*100)))</f>
        <v>40</v>
      </c>
      <c r="N26" s="49" t="n">
        <v>0</v>
      </c>
      <c r="O26" s="50" t="n">
        <v>737000</v>
      </c>
      <c r="P26" s="50"/>
      <c r="Q26" s="51" t="str">
        <f aca="true">IF(B26="","",IF(K26&lt;&gt;"",IF(K26&lt;=I26,"Terminé à temps","Terminé hors délai"),IF(N26=0,IF(TODAY()&lt;H26,"En attente",IF(TODAY()&gt;I26+30,"Critique","En retard")),IF(N26&gt;=M26,"À temps",IF(N26&gt;=M26*0.8,"À surveiller",IF(N26&gt;=M26*0.5,"En retard","Critique"))))))</f>
        <v>En retard</v>
      </c>
      <c r="R26" s="52" t="n">
        <f aca="false">IFERROR(IF(Q26="Terminé à temps",100,IF(Q26="Terminé hors délai",75,IF(Q26="À temps",50,IF(Q26="À surveiller",40,IF(Q26="En retard",25,IF(Q26="Critique",10,IF(Q26="En attente",50,0))))))),0)</f>
        <v>25</v>
      </c>
      <c r="S26" s="94" t="s">
        <v>510</v>
      </c>
      <c r="T26" s="54" t="n">
        <v>3</v>
      </c>
      <c r="U26" s="55" t="n">
        <f aca="false">IFERROR(IF(T26="",0,T26*N26/100),0)</f>
        <v>0</v>
      </c>
      <c r="V26" s="11"/>
    </row>
    <row r="27" customFormat="false" ht="36" hidden="false" customHeight="true" outlineLevel="0" collapsed="false">
      <c r="B27" s="38" t="s">
        <v>590</v>
      </c>
      <c r="C27" s="7" t="s">
        <v>591</v>
      </c>
      <c r="D27" s="28" t="s">
        <v>584</v>
      </c>
      <c r="E27" s="7" t="s">
        <v>146</v>
      </c>
      <c r="F27" s="7" t="s">
        <v>161</v>
      </c>
      <c r="G27" s="28" t="n">
        <v>2</v>
      </c>
      <c r="H27" s="56" t="n">
        <v>46204</v>
      </c>
      <c r="I27" s="56" t="n">
        <v>46387</v>
      </c>
      <c r="J27" s="56"/>
      <c r="K27" s="56"/>
      <c r="L27" s="7" t="s">
        <v>592</v>
      </c>
      <c r="M27" s="48" t="n">
        <f aca="true">IF(OR(H27="",I27=""),0,IF(TODAY()&lt;H27,0,IF(TODAY()&gt;=I27,100,(TODAY()-H27)/(I27-H27)*100)))</f>
        <v>0</v>
      </c>
      <c r="N27" s="57" t="n">
        <v>0</v>
      </c>
      <c r="O27" s="58" t="n">
        <v>1090000</v>
      </c>
      <c r="P27" s="58"/>
      <c r="Q27" s="51" t="str">
        <f aca="true">IF(B27="","",IF(K27&lt;&gt;"",IF(K27&lt;=I27,"Terminé à temps","Terminé hors délai"),IF(N27=0,IF(TODAY()&lt;H27,"En attente",IF(TODAY()&gt;I27+30,"Critique","En retard")),IF(N27&gt;=M27,"À temps",IF(N27&gt;=M27*0.8,"À surveiller",IF(N27&gt;=M27*0.5,"En retard","Critique"))))))</f>
        <v>En attente</v>
      </c>
      <c r="R27" s="52" t="n">
        <f aca="false">IFERROR(IF(Q27="Terminé à temps",100,IF(Q27="Terminé hors délai",75,IF(Q27="À temps",50,IF(Q27="À surveiller",40,IF(Q27="En retard",25,IF(Q27="Critique",10,IF(Q27="En attente",50,0))))))),0)</f>
        <v>50</v>
      </c>
      <c r="S27" s="95" t="s">
        <v>513</v>
      </c>
      <c r="T27" s="60" t="n">
        <v>1</v>
      </c>
      <c r="U27" s="55" t="n">
        <f aca="false">IFERROR(IF(T27="",0,T27*N27/100),0)</f>
        <v>0</v>
      </c>
      <c r="V27" s="7"/>
    </row>
    <row r="28" customFormat="false" ht="36" hidden="false" customHeight="true" outlineLevel="0" collapsed="false">
      <c r="B28" s="27" t="s">
        <v>593</v>
      </c>
      <c r="C28" s="11" t="s">
        <v>594</v>
      </c>
      <c r="D28" s="30" t="s">
        <v>584</v>
      </c>
      <c r="E28" s="11" t="s">
        <v>146</v>
      </c>
      <c r="F28" s="11" t="s">
        <v>161</v>
      </c>
      <c r="G28" s="30" t="n">
        <v>2</v>
      </c>
      <c r="H28" s="47" t="n">
        <v>46296</v>
      </c>
      <c r="I28" s="47" t="n">
        <v>46477</v>
      </c>
      <c r="J28" s="47"/>
      <c r="K28" s="47"/>
      <c r="L28" s="11" t="s">
        <v>592</v>
      </c>
      <c r="M28" s="48" t="n">
        <f aca="true">IF(OR(H28="",I28=""),0,IF(TODAY()&lt;H28,0,IF(TODAY()&gt;=I28,100,(TODAY()-H28)/(I28-H28)*100)))</f>
        <v>0</v>
      </c>
      <c r="N28" s="49" t="n">
        <v>0</v>
      </c>
      <c r="O28" s="50" t="n">
        <v>1090000</v>
      </c>
      <c r="P28" s="50"/>
      <c r="Q28" s="51" t="str">
        <f aca="true">IF(B28="","",IF(K28&lt;&gt;"",IF(K28&lt;=I28,"Terminé à temps","Terminé hors délai"),IF(N28=0,IF(TODAY()&lt;H28,"En attente",IF(TODAY()&gt;I28+30,"Critique","En retard")),IF(N28&gt;=M28,"À temps",IF(N28&gt;=M28*0.8,"À surveiller",IF(N28&gt;=M28*0.5,"En retard","Critique"))))))</f>
        <v>En attente</v>
      </c>
      <c r="R28" s="52" t="n">
        <f aca="false">IFERROR(IF(Q28="Terminé à temps",100,IF(Q28="Terminé hors délai",75,IF(Q28="À temps",50,IF(Q28="À surveiller",40,IF(Q28="En retard",25,IF(Q28="Critique",10,IF(Q28="En attente",50,0))))))),0)</f>
        <v>50</v>
      </c>
      <c r="S28" s="94" t="s">
        <v>516</v>
      </c>
      <c r="T28" s="54" t="n">
        <v>1</v>
      </c>
      <c r="U28" s="55" t="n">
        <f aca="false">IFERROR(IF(T28="",0,T28*N28/100),0)</f>
        <v>0</v>
      </c>
      <c r="V28" s="11"/>
    </row>
    <row r="29" customFormat="false" ht="36" hidden="false" customHeight="true" outlineLevel="0" collapsed="false">
      <c r="B29" s="38" t="s">
        <v>595</v>
      </c>
      <c r="C29" s="7" t="s">
        <v>596</v>
      </c>
      <c r="D29" s="28" t="s">
        <v>584</v>
      </c>
      <c r="E29" s="7" t="s">
        <v>146</v>
      </c>
      <c r="F29" s="7" t="s">
        <v>161</v>
      </c>
      <c r="G29" s="28" t="n">
        <v>2</v>
      </c>
      <c r="H29" s="56" t="n">
        <v>46296</v>
      </c>
      <c r="I29" s="56" t="n">
        <v>46660</v>
      </c>
      <c r="J29" s="56"/>
      <c r="K29" s="56"/>
      <c r="L29" s="7" t="s">
        <v>597</v>
      </c>
      <c r="M29" s="48" t="n">
        <f aca="true">IF(OR(H29="",I29=""),0,IF(TODAY()&lt;H29,0,IF(TODAY()&gt;=I29,100,(TODAY()-H29)/(I29-H29)*100)))</f>
        <v>0</v>
      </c>
      <c r="N29" s="57" t="n">
        <v>0</v>
      </c>
      <c r="O29" s="58" t="n">
        <v>0</v>
      </c>
      <c r="P29" s="58"/>
      <c r="Q29" s="51" t="str">
        <f aca="true">IF(B29="","",IF(K29&lt;&gt;"",IF(K29&lt;=I29,"Terminé à temps","Terminé hors délai"),IF(N29=0,IF(TODAY()&lt;H29,"En attente",IF(TODAY()&gt;I29+30,"Critique","En retard")),IF(N29&gt;=M29,"À temps",IF(N29&gt;=M29*0.8,"À surveiller",IF(N29&gt;=M29*0.5,"En retard","Critique"))))))</f>
        <v>En attente</v>
      </c>
      <c r="R29" s="52" t="n">
        <f aca="false">IFERROR(IF(Q29="Terminé à temps",100,IF(Q29="Terminé hors délai",75,IF(Q29="À temps",50,IF(Q29="À surveiller",40,IF(Q29="En retard",25,IF(Q29="Critique",10,IF(Q29="En attente",50,0))))))),0)</f>
        <v>50</v>
      </c>
      <c r="S29" s="95" t="s">
        <v>519</v>
      </c>
      <c r="T29" s="60" t="n">
        <v>4</v>
      </c>
      <c r="U29" s="55" t="n">
        <f aca="false">IFERROR(IF(T29="",0,T29*N29/100),0)</f>
        <v>0</v>
      </c>
      <c r="V29" s="7"/>
    </row>
    <row r="30" customFormat="false" ht="36" hidden="false" customHeight="true" outlineLevel="0" collapsed="false">
      <c r="B30" s="27" t="s">
        <v>598</v>
      </c>
      <c r="C30" s="11" t="s">
        <v>599</v>
      </c>
      <c r="D30" s="30" t="s">
        <v>600</v>
      </c>
      <c r="E30" s="11" t="s">
        <v>146</v>
      </c>
      <c r="F30" s="11" t="s">
        <v>601</v>
      </c>
      <c r="G30" s="30" t="n">
        <v>3</v>
      </c>
      <c r="H30" s="47" t="n">
        <v>46204</v>
      </c>
      <c r="I30" s="47" t="n">
        <v>46295</v>
      </c>
      <c r="J30" s="47"/>
      <c r="K30" s="47"/>
      <c r="L30" s="11" t="s">
        <v>602</v>
      </c>
      <c r="M30" s="48" t="n">
        <f aca="true">IF(OR(H30="",I30=""),0,IF(TODAY()&lt;H30,0,IF(TODAY()&gt;=I30,100,(TODAY()-H30)/(I30-H30)*100)))</f>
        <v>0</v>
      </c>
      <c r="N30" s="49" t="n">
        <v>0</v>
      </c>
      <c r="O30" s="50" t="n">
        <v>0</v>
      </c>
      <c r="P30" s="50"/>
      <c r="Q30" s="51" t="str">
        <f aca="true">IF(B30="","",IF(K30&lt;&gt;"",IF(K30&lt;=I30,"Terminé à temps","Terminé hors délai"),IF(N30=0,IF(TODAY()&lt;H30,"En attente",IF(TODAY()&gt;I30+30,"Critique","En retard")),IF(N30&gt;=M30,"À temps",IF(N30&gt;=M30*0.8,"À surveiller",IF(N30&gt;=M30*0.5,"En retard","Critique"))))))</f>
        <v>En attente</v>
      </c>
      <c r="R30" s="52" t="n">
        <f aca="false">IFERROR(IF(Q30="Terminé à temps",100,IF(Q30="Terminé hors délai",75,IF(Q30="À temps",50,IF(Q30="À surveiller",40,IF(Q30="En retard",25,IF(Q30="Critique",10,IF(Q30="En attente",50,0))))))),0)</f>
        <v>50</v>
      </c>
      <c r="S30" s="94" t="s">
        <v>526</v>
      </c>
      <c r="T30" s="54" t="n">
        <v>3</v>
      </c>
      <c r="U30" s="55" t="n">
        <f aca="false">IFERROR(IF(T30="",0,T30*N30/100),0)</f>
        <v>0</v>
      </c>
      <c r="V30" s="11"/>
    </row>
    <row r="31" customFormat="false" ht="36" hidden="false" customHeight="true" outlineLevel="0" collapsed="false">
      <c r="B31" s="38" t="s">
        <v>603</v>
      </c>
      <c r="C31" s="7" t="s">
        <v>604</v>
      </c>
      <c r="D31" s="28" t="s">
        <v>600</v>
      </c>
      <c r="E31" s="7" t="s">
        <v>146</v>
      </c>
      <c r="F31" s="7" t="s">
        <v>151</v>
      </c>
      <c r="G31" s="28" t="n">
        <v>3</v>
      </c>
      <c r="H31" s="56" t="n">
        <v>46296</v>
      </c>
      <c r="I31" s="56" t="n">
        <v>46477</v>
      </c>
      <c r="J31" s="56"/>
      <c r="K31" s="56"/>
      <c r="L31" s="7" t="s">
        <v>605</v>
      </c>
      <c r="M31" s="48" t="n">
        <f aca="true">IF(OR(H31="",I31=""),0,IF(TODAY()&lt;H31,0,IF(TODAY()&gt;=I31,100,(TODAY()-H31)/(I31-H31)*100)))</f>
        <v>0</v>
      </c>
      <c r="N31" s="57" t="n">
        <v>0</v>
      </c>
      <c r="O31" s="58" t="n">
        <v>9000000</v>
      </c>
      <c r="P31" s="58"/>
      <c r="Q31" s="51" t="str">
        <f aca="true">IF(B31="","",IF(K31&lt;&gt;"",IF(K31&lt;=I31,"Terminé à temps","Terminé hors délai"),IF(N31=0,IF(TODAY()&lt;H31,"En attente",IF(TODAY()&gt;I31+30,"Critique","En retard")),IF(N31&gt;=M31,"À temps",IF(N31&gt;=M31*0.8,"À surveiller",IF(N31&gt;=M31*0.5,"En retard","Critique"))))))</f>
        <v>En attente</v>
      </c>
      <c r="R31" s="52" t="n">
        <f aca="false">IFERROR(IF(Q31="Terminé à temps",100,IF(Q31="Terminé hors délai",75,IF(Q31="À temps",50,IF(Q31="À surveiller",40,IF(Q31="En retard",25,IF(Q31="Critique",10,IF(Q31="En attente",50,0))))))),0)</f>
        <v>50</v>
      </c>
      <c r="S31" s="95" t="s">
        <v>530</v>
      </c>
      <c r="T31" s="60" t="n">
        <v>3</v>
      </c>
      <c r="U31" s="55" t="n">
        <f aca="false">IFERROR(IF(T31="",0,T31*N31/100),0)</f>
        <v>0</v>
      </c>
      <c r="V31" s="7"/>
    </row>
    <row r="32" customFormat="false" ht="36" hidden="false" customHeight="true" outlineLevel="0" collapsed="false">
      <c r="B32" s="27" t="s">
        <v>606</v>
      </c>
      <c r="C32" s="11" t="s">
        <v>607</v>
      </c>
      <c r="D32" s="30" t="s">
        <v>608</v>
      </c>
      <c r="E32" s="11" t="s">
        <v>146</v>
      </c>
      <c r="F32" s="11" t="s">
        <v>161</v>
      </c>
      <c r="G32" s="30" t="n">
        <v>2</v>
      </c>
      <c r="H32" s="47" t="n">
        <v>46388</v>
      </c>
      <c r="I32" s="47" t="n">
        <v>46477</v>
      </c>
      <c r="J32" s="47"/>
      <c r="K32" s="47"/>
      <c r="L32" s="11" t="s">
        <v>609</v>
      </c>
      <c r="M32" s="48" t="n">
        <f aca="true">IF(OR(H32="",I32=""),0,IF(TODAY()&lt;H32,0,IF(TODAY()&gt;=I32,100,(TODAY()-H32)/(I32-H32)*100)))</f>
        <v>0</v>
      </c>
      <c r="N32" s="49" t="n">
        <v>0</v>
      </c>
      <c r="O32" s="50" t="n">
        <v>4000000</v>
      </c>
      <c r="P32" s="50"/>
      <c r="Q32" s="51" t="str">
        <f aca="true">IF(B32="","",IF(K32&lt;&gt;"",IF(K32&lt;=I32,"Terminé à temps","Terminé hors délai"),IF(N32=0,IF(TODAY()&lt;H32,"En attente",IF(TODAY()&gt;I32+30,"Critique","En retard")),IF(N32&gt;=M32,"À temps",IF(N32&gt;=M32*0.8,"À surveiller",IF(N32&gt;=M32*0.5,"En retard","Critique"))))))</f>
        <v>En attente</v>
      </c>
      <c r="R32" s="52" t="n">
        <f aca="false">IFERROR(IF(Q32="Terminé à temps",100,IF(Q32="Terminé hors délai",75,IF(Q32="À temps",50,IF(Q32="À surveiller",40,IF(Q32="En retard",25,IF(Q32="Critique",10,IF(Q32="En attente",50,0))))))),0)</f>
        <v>50</v>
      </c>
      <c r="S32" s="94" t="s">
        <v>535</v>
      </c>
      <c r="T32" s="54" t="n">
        <v>50</v>
      </c>
      <c r="U32" s="55" t="n">
        <f aca="false">IFERROR(IF(T32="",0,T32*N32/100),0)</f>
        <v>0</v>
      </c>
      <c r="V32" s="11"/>
    </row>
    <row r="33" customFormat="false" ht="36" hidden="false" customHeight="true" outlineLevel="0" collapsed="false">
      <c r="B33" s="38" t="s">
        <v>610</v>
      </c>
      <c r="C33" s="7" t="s">
        <v>611</v>
      </c>
      <c r="D33" s="28" t="s">
        <v>612</v>
      </c>
      <c r="E33" s="7" t="s">
        <v>146</v>
      </c>
      <c r="F33" s="7" t="s">
        <v>161</v>
      </c>
      <c r="G33" s="28" t="n">
        <v>2</v>
      </c>
      <c r="H33" s="56" t="n">
        <v>46478</v>
      </c>
      <c r="I33" s="56" t="n">
        <v>46568</v>
      </c>
      <c r="J33" s="56"/>
      <c r="K33" s="56"/>
      <c r="L33" s="7" t="s">
        <v>613</v>
      </c>
      <c r="M33" s="48" t="n">
        <f aca="true">IF(OR(H33="",I33=""),0,IF(TODAY()&lt;H33,0,IF(TODAY()&gt;=I33,100,(TODAY()-H33)/(I33-H33)*100)))</f>
        <v>0</v>
      </c>
      <c r="N33" s="57" t="n">
        <v>0</v>
      </c>
      <c r="O33" s="58" t="n">
        <v>4118800</v>
      </c>
      <c r="P33" s="58"/>
      <c r="Q33" s="51" t="str">
        <f aca="true">IF(B33="","",IF(K33&lt;&gt;"",IF(K33&lt;=I33,"Terminé à temps","Terminé hors délai"),IF(N33=0,IF(TODAY()&lt;H33,"En attente",IF(TODAY()&gt;I33+30,"Critique","En retard")),IF(N33&gt;=M33,"À temps",IF(N33&gt;=M33*0.8,"À surveiller",IF(N33&gt;=M33*0.5,"En retard","Critique"))))))</f>
        <v>En attente</v>
      </c>
      <c r="R33" s="52" t="n">
        <f aca="false">IFERROR(IF(Q33="Terminé à temps",100,IF(Q33="Terminé hors délai",75,IF(Q33="À temps",50,IF(Q33="À surveiller",40,IF(Q33="En retard",25,IF(Q33="Critique",10,IF(Q33="En attente",50,0))))))),0)</f>
        <v>50</v>
      </c>
      <c r="S33" s="95" t="s">
        <v>542</v>
      </c>
      <c r="T33" s="60" t="n">
        <v>30</v>
      </c>
      <c r="U33" s="55" t="n">
        <f aca="false">IFERROR(IF(T33="",0,T33*N33/100),0)</f>
        <v>0</v>
      </c>
      <c r="V33" s="7"/>
    </row>
    <row r="34" customFormat="false" ht="27.75" hidden="false" customHeight="true" outlineLevel="0" collapsed="false">
      <c r="B34" s="96" t="s">
        <v>382</v>
      </c>
      <c r="C34" s="96"/>
      <c r="D34" s="96"/>
      <c r="E34" s="96"/>
      <c r="F34" s="96"/>
      <c r="G34" s="96"/>
      <c r="H34" s="96"/>
      <c r="I34" s="96"/>
      <c r="J34" s="96"/>
      <c r="K34" s="96"/>
      <c r="L34" s="96"/>
      <c r="M34" s="96"/>
      <c r="N34" s="96"/>
      <c r="O34" s="97" t="n">
        <f aca="false">SUM(O6:O33)</f>
        <v>63621600</v>
      </c>
      <c r="P34" s="97" t="n">
        <f aca="false">SUM(P6:P33)</f>
        <v>0</v>
      </c>
      <c r="Q34" s="93"/>
      <c r="R34" s="93"/>
      <c r="S34" s="93"/>
      <c r="T34" s="93"/>
      <c r="U34" s="93"/>
      <c r="V34" s="93"/>
    </row>
    <row r="35" customFormat="false" ht="21.75" hidden="false" customHeight="true" outlineLevel="0" collapsed="false">
      <c r="B35" s="11"/>
      <c r="C35" s="11"/>
      <c r="D35" s="11"/>
      <c r="E35" s="11"/>
      <c r="F35" s="11"/>
      <c r="G35" s="11"/>
      <c r="H35" s="63"/>
      <c r="I35" s="63"/>
      <c r="J35" s="63"/>
      <c r="K35" s="63"/>
      <c r="L35" s="11"/>
      <c r="M35" s="64" t="n">
        <f aca="true">IF(OR(B35="",H35="",I35=""),0,IF(TODAY()&lt;H35,0,IF(TODAY()&gt;=I35,100,(TODAY()-H35)/(I35-H35)*100)))</f>
        <v>0</v>
      </c>
      <c r="N35" s="65" t="n">
        <v>0</v>
      </c>
      <c r="O35" s="66"/>
      <c r="P35" s="66"/>
      <c r="Q35" s="67" t="str">
        <f aca="true">IF(B35="","",IF(K35&lt;&gt;"",IF(K35&lt;=I35,"Terminé à temps","Terminé hors délai"),IF(N35=0,IF(TODAY()&lt;H35,"En attente",IF(TODAY()&gt;I35+30,"Critique","En retard")),IF(N35&gt;=M35,"À temps",IF(N35&gt;=M35*0.8,"À surveiller",IF(N35&gt;=M35*0.5,"En retard","Critique"))))))</f>
        <v/>
      </c>
      <c r="R35" s="68" t="n">
        <f aca="false">IFERROR(IF(Q35="Terminé à temps",100,IF(Q35="Terminé hors délai",75,IF(Q35="À temps",50,IF(Q35="À surveiller",40,IF(Q35="En retard",25,IF(Q35="Critique",10,IF(Q35="En attente",50,0))))))),0)</f>
        <v>0</v>
      </c>
      <c r="S35" s="11"/>
      <c r="T35" s="69"/>
      <c r="U35" s="70" t="n">
        <f aca="false">IFERROR(IF(T35="",0,T35*N35/100),0)</f>
        <v>0</v>
      </c>
      <c r="V35" s="11"/>
    </row>
    <row r="36" customFormat="false" ht="21.75" hidden="false" customHeight="true" outlineLevel="0" collapsed="false">
      <c r="B36" s="7"/>
      <c r="C36" s="7"/>
      <c r="D36" s="7"/>
      <c r="E36" s="7"/>
      <c r="F36" s="7"/>
      <c r="G36" s="7"/>
      <c r="H36" s="71"/>
      <c r="I36" s="71"/>
      <c r="J36" s="71"/>
      <c r="K36" s="71"/>
      <c r="L36" s="7"/>
      <c r="M36" s="64" t="n">
        <f aca="true">IF(OR(B36="",H36="",I36=""),0,IF(TODAY()&lt;H36,0,IF(TODAY()&gt;=I36,100,(TODAY()-H36)/(I36-H36)*100)))</f>
        <v>0</v>
      </c>
      <c r="N36" s="72" t="n">
        <v>0</v>
      </c>
      <c r="O36" s="73"/>
      <c r="P36" s="73"/>
      <c r="Q36" s="67" t="str">
        <f aca="true">IF(B36="","",IF(K36&lt;&gt;"",IF(K36&lt;=I36,"Terminé à temps","Terminé hors délai"),IF(N36=0,IF(TODAY()&lt;H36,"En attente",IF(TODAY()&gt;I36+30,"Critique","En retard")),IF(N36&gt;=M36,"À temps",IF(N36&gt;=M36*0.8,"À surveiller",IF(N36&gt;=M36*0.5,"En retard","Critique"))))))</f>
        <v/>
      </c>
      <c r="R36" s="68" t="n">
        <f aca="false">IFERROR(IF(Q36="Terminé à temps",100,IF(Q36="Terminé hors délai",75,IF(Q36="À temps",50,IF(Q36="À surveiller",40,IF(Q36="En retard",25,IF(Q36="Critique",10,IF(Q36="En attente",50,0))))))),0)</f>
        <v>0</v>
      </c>
      <c r="S36" s="7"/>
      <c r="T36" s="74"/>
      <c r="U36" s="70" t="n">
        <f aca="false">IFERROR(IF(T36="",0,T36*N36/100),0)</f>
        <v>0</v>
      </c>
      <c r="V36" s="7"/>
    </row>
    <row r="37" customFormat="false" ht="21.75" hidden="false" customHeight="true" outlineLevel="0" collapsed="false">
      <c r="B37" s="11"/>
      <c r="C37" s="11"/>
      <c r="D37" s="11"/>
      <c r="E37" s="11"/>
      <c r="F37" s="11"/>
      <c r="G37" s="11"/>
      <c r="H37" s="63"/>
      <c r="I37" s="63"/>
      <c r="J37" s="63"/>
      <c r="K37" s="63"/>
      <c r="L37" s="11"/>
      <c r="M37" s="64" t="n">
        <f aca="true">IF(OR(B37="",H37="",I37=""),0,IF(TODAY()&lt;H37,0,IF(TODAY()&gt;=I37,100,(TODAY()-H37)/(I37-H37)*100)))</f>
        <v>0</v>
      </c>
      <c r="N37" s="65" t="n">
        <v>0</v>
      </c>
      <c r="O37" s="66"/>
      <c r="P37" s="66"/>
      <c r="Q37" s="67" t="str">
        <f aca="true">IF(B37="","",IF(K37&lt;&gt;"",IF(K37&lt;=I37,"Terminé à temps","Terminé hors délai"),IF(N37=0,IF(TODAY()&lt;H37,"En attente",IF(TODAY()&gt;I37+30,"Critique","En retard")),IF(N37&gt;=M37,"À temps",IF(N37&gt;=M37*0.8,"À surveiller",IF(N37&gt;=M37*0.5,"En retard","Critique"))))))</f>
        <v/>
      </c>
      <c r="R37" s="68" t="n">
        <f aca="false">IFERROR(IF(Q37="Terminé à temps",100,IF(Q37="Terminé hors délai",75,IF(Q37="À temps",50,IF(Q37="À surveiller",40,IF(Q37="En retard",25,IF(Q37="Critique",10,IF(Q37="En attente",50,0))))))),0)</f>
        <v>0</v>
      </c>
      <c r="S37" s="11"/>
      <c r="T37" s="69"/>
      <c r="U37" s="70" t="n">
        <f aca="false">IFERROR(IF(T37="",0,T37*N37/100),0)</f>
        <v>0</v>
      </c>
      <c r="V37" s="11"/>
    </row>
    <row r="38" customFormat="false" ht="21.75" hidden="false" customHeight="true" outlineLevel="0" collapsed="false">
      <c r="B38" s="7"/>
      <c r="C38" s="7"/>
      <c r="D38" s="7"/>
      <c r="E38" s="7"/>
      <c r="F38" s="7"/>
      <c r="G38" s="7"/>
      <c r="H38" s="71"/>
      <c r="I38" s="71"/>
      <c r="J38" s="71"/>
      <c r="K38" s="71"/>
      <c r="L38" s="7"/>
      <c r="M38" s="64" t="n">
        <f aca="true">IF(OR(B38="",H38="",I38=""),0,IF(TODAY()&lt;H38,0,IF(TODAY()&gt;=I38,100,(TODAY()-H38)/(I38-H38)*100)))</f>
        <v>0</v>
      </c>
      <c r="N38" s="72" t="n">
        <v>0</v>
      </c>
      <c r="O38" s="73"/>
      <c r="P38" s="73"/>
      <c r="Q38" s="67" t="str">
        <f aca="true">IF(B38="","",IF(K38&lt;&gt;"",IF(K38&lt;=I38,"Terminé à temps","Terminé hors délai"),IF(N38=0,IF(TODAY()&lt;H38,"En attente",IF(TODAY()&gt;I38+30,"Critique","En retard")),IF(N38&gt;=M38,"À temps",IF(N38&gt;=M38*0.8,"À surveiller",IF(N38&gt;=M38*0.5,"En retard","Critique"))))))</f>
        <v/>
      </c>
      <c r="R38" s="68" t="n">
        <f aca="false">IFERROR(IF(Q38="Terminé à temps",100,IF(Q38="Terminé hors délai",75,IF(Q38="À temps",50,IF(Q38="À surveiller",40,IF(Q38="En retard",25,IF(Q38="Critique",10,IF(Q38="En attente",50,0))))))),0)</f>
        <v>0</v>
      </c>
      <c r="S38" s="7"/>
      <c r="T38" s="74"/>
      <c r="U38" s="70" t="n">
        <f aca="false">IFERROR(IF(T38="",0,T38*N38/100),0)</f>
        <v>0</v>
      </c>
      <c r="V38" s="7"/>
    </row>
    <row r="39" customFormat="false" ht="21.75" hidden="false" customHeight="true" outlineLevel="0" collapsed="false">
      <c r="B39" s="11"/>
      <c r="C39" s="11"/>
      <c r="D39" s="11"/>
      <c r="E39" s="11"/>
      <c r="F39" s="11"/>
      <c r="G39" s="11"/>
      <c r="H39" s="63"/>
      <c r="I39" s="63"/>
      <c r="J39" s="63"/>
      <c r="K39" s="63"/>
      <c r="L39" s="11"/>
      <c r="M39" s="64" t="n">
        <f aca="true">IF(OR(B39="",H39="",I39=""),0,IF(TODAY()&lt;H39,0,IF(TODAY()&gt;=I39,100,(TODAY()-H39)/(I39-H39)*100)))</f>
        <v>0</v>
      </c>
      <c r="N39" s="65" t="n">
        <v>0</v>
      </c>
      <c r="O39" s="66"/>
      <c r="P39" s="66"/>
      <c r="Q39" s="67" t="str">
        <f aca="true">IF(B39="","",IF(K39&lt;&gt;"",IF(K39&lt;=I39,"Terminé à temps","Terminé hors délai"),IF(N39=0,IF(TODAY()&lt;H39,"En attente",IF(TODAY()&gt;I39+30,"Critique","En retard")),IF(N39&gt;=M39,"À temps",IF(N39&gt;=M39*0.8,"À surveiller",IF(N39&gt;=M39*0.5,"En retard","Critique"))))))</f>
        <v/>
      </c>
      <c r="R39" s="68" t="n">
        <f aca="false">IFERROR(IF(Q39="Terminé à temps",100,IF(Q39="Terminé hors délai",75,IF(Q39="À temps",50,IF(Q39="À surveiller",40,IF(Q39="En retard",25,IF(Q39="Critique",10,IF(Q39="En attente",50,0))))))),0)</f>
        <v>0</v>
      </c>
      <c r="S39" s="11"/>
      <c r="T39" s="69"/>
      <c r="U39" s="70" t="n">
        <f aca="false">IFERROR(IF(T39="",0,T39*N39/100),0)</f>
        <v>0</v>
      </c>
      <c r="V39" s="11"/>
    </row>
    <row r="40" customFormat="false" ht="21.75" hidden="false" customHeight="true" outlineLevel="0" collapsed="false">
      <c r="B40" s="7"/>
      <c r="C40" s="7"/>
      <c r="D40" s="7"/>
      <c r="E40" s="7"/>
      <c r="F40" s="7"/>
      <c r="G40" s="7"/>
      <c r="H40" s="71"/>
      <c r="I40" s="71"/>
      <c r="J40" s="71"/>
      <c r="K40" s="71"/>
      <c r="L40" s="7"/>
      <c r="M40" s="64" t="n">
        <f aca="true">IF(OR(B40="",H40="",I40=""),0,IF(TODAY()&lt;H40,0,IF(TODAY()&gt;=I40,100,(TODAY()-H40)/(I40-H40)*100)))</f>
        <v>0</v>
      </c>
      <c r="N40" s="72" t="n">
        <v>0</v>
      </c>
      <c r="O40" s="73"/>
      <c r="P40" s="73"/>
      <c r="Q40" s="67" t="str">
        <f aca="true">IF(B40="","",IF(K40&lt;&gt;"",IF(K40&lt;=I40,"Terminé à temps","Terminé hors délai"),IF(N40=0,IF(TODAY()&lt;H40,"En attente",IF(TODAY()&gt;I40+30,"Critique","En retard")),IF(N40&gt;=M40,"À temps",IF(N40&gt;=M40*0.8,"À surveiller",IF(N40&gt;=M40*0.5,"En retard","Critique"))))))</f>
        <v/>
      </c>
      <c r="R40" s="68" t="n">
        <f aca="false">IFERROR(IF(Q40="Terminé à temps",100,IF(Q40="Terminé hors délai",75,IF(Q40="À temps",50,IF(Q40="À surveiller",40,IF(Q40="En retard",25,IF(Q40="Critique",10,IF(Q40="En attente",50,0))))))),0)</f>
        <v>0</v>
      </c>
      <c r="S40" s="7"/>
      <c r="T40" s="74"/>
      <c r="U40" s="70" t="n">
        <f aca="false">IFERROR(IF(T40="",0,T40*N40/100),0)</f>
        <v>0</v>
      </c>
      <c r="V40" s="7"/>
    </row>
    <row r="41" customFormat="false" ht="21.75" hidden="false" customHeight="true" outlineLevel="0" collapsed="false">
      <c r="B41" s="11"/>
      <c r="C41" s="11"/>
      <c r="D41" s="11"/>
      <c r="E41" s="11"/>
      <c r="F41" s="11"/>
      <c r="G41" s="11"/>
      <c r="H41" s="63"/>
      <c r="I41" s="63"/>
      <c r="J41" s="63"/>
      <c r="K41" s="63"/>
      <c r="L41" s="11"/>
      <c r="M41" s="64" t="n">
        <f aca="true">IF(OR(B41="",H41="",I41=""),0,IF(TODAY()&lt;H41,0,IF(TODAY()&gt;=I41,100,(TODAY()-H41)/(I41-H41)*100)))</f>
        <v>0</v>
      </c>
      <c r="N41" s="65" t="n">
        <v>0</v>
      </c>
      <c r="O41" s="66"/>
      <c r="P41" s="66"/>
      <c r="Q41" s="67" t="str">
        <f aca="true">IF(B41="","",IF(K41&lt;&gt;"",IF(K41&lt;=I41,"Terminé à temps","Terminé hors délai"),IF(N41=0,IF(TODAY()&lt;H41,"En attente",IF(TODAY()&gt;I41+30,"Critique","En retard")),IF(N41&gt;=M41,"À temps",IF(N41&gt;=M41*0.8,"À surveiller",IF(N41&gt;=M41*0.5,"En retard","Critique"))))))</f>
        <v/>
      </c>
      <c r="R41" s="68" t="n">
        <f aca="false">IFERROR(IF(Q41="Terminé à temps",100,IF(Q41="Terminé hors délai",75,IF(Q41="À temps",50,IF(Q41="À surveiller",40,IF(Q41="En retard",25,IF(Q41="Critique",10,IF(Q41="En attente",50,0))))))),0)</f>
        <v>0</v>
      </c>
      <c r="S41" s="11"/>
      <c r="T41" s="69"/>
      <c r="U41" s="70" t="n">
        <f aca="false">IFERROR(IF(T41="",0,T41*N41/100),0)</f>
        <v>0</v>
      </c>
      <c r="V41" s="11"/>
    </row>
    <row r="42" customFormat="false" ht="21.75" hidden="false" customHeight="true" outlineLevel="0" collapsed="false">
      <c r="B42" s="7"/>
      <c r="C42" s="7"/>
      <c r="D42" s="7"/>
      <c r="E42" s="7"/>
      <c r="F42" s="7"/>
      <c r="G42" s="7"/>
      <c r="H42" s="71"/>
      <c r="I42" s="71"/>
      <c r="J42" s="71"/>
      <c r="K42" s="71"/>
      <c r="L42" s="7"/>
      <c r="M42" s="64" t="n">
        <f aca="true">IF(OR(B42="",H42="",I42=""),0,IF(TODAY()&lt;H42,0,IF(TODAY()&gt;=I42,100,(TODAY()-H42)/(I42-H42)*100)))</f>
        <v>0</v>
      </c>
      <c r="N42" s="72" t="n">
        <v>0</v>
      </c>
      <c r="O42" s="73"/>
      <c r="P42" s="73"/>
      <c r="Q42" s="67" t="str">
        <f aca="true">IF(B42="","",IF(K42&lt;&gt;"",IF(K42&lt;=I42,"Terminé à temps","Terminé hors délai"),IF(N42=0,IF(TODAY()&lt;H42,"En attente",IF(TODAY()&gt;I42+30,"Critique","En retard")),IF(N42&gt;=M42,"À temps",IF(N42&gt;=M42*0.8,"À surveiller",IF(N42&gt;=M42*0.5,"En retard","Critique"))))))</f>
        <v/>
      </c>
      <c r="R42" s="68" t="n">
        <f aca="false">IFERROR(IF(Q42="Terminé à temps",100,IF(Q42="Terminé hors délai",75,IF(Q42="À temps",50,IF(Q42="À surveiller",40,IF(Q42="En retard",25,IF(Q42="Critique",10,IF(Q42="En attente",50,0))))))),0)</f>
        <v>0</v>
      </c>
      <c r="S42" s="7"/>
      <c r="T42" s="74"/>
      <c r="U42" s="70" t="n">
        <f aca="false">IFERROR(IF(T42="",0,T42*N42/100),0)</f>
        <v>0</v>
      </c>
      <c r="V42" s="7"/>
    </row>
    <row r="43" customFormat="false" ht="21.75" hidden="false" customHeight="true" outlineLevel="0" collapsed="false">
      <c r="B43" s="11"/>
      <c r="C43" s="11"/>
      <c r="D43" s="11"/>
      <c r="E43" s="11"/>
      <c r="F43" s="11"/>
      <c r="G43" s="11"/>
      <c r="H43" s="63"/>
      <c r="I43" s="63"/>
      <c r="J43" s="63"/>
      <c r="K43" s="63"/>
      <c r="L43" s="11"/>
      <c r="M43" s="64" t="n">
        <f aca="true">IF(OR(B43="",H43="",I43=""),0,IF(TODAY()&lt;H43,0,IF(TODAY()&gt;=I43,100,(TODAY()-H43)/(I43-H43)*100)))</f>
        <v>0</v>
      </c>
      <c r="N43" s="65" t="n">
        <v>0</v>
      </c>
      <c r="O43" s="66"/>
      <c r="P43" s="66"/>
      <c r="Q43" s="67" t="str">
        <f aca="true">IF(B43="","",IF(K43&lt;&gt;"",IF(K43&lt;=I43,"Terminé à temps","Terminé hors délai"),IF(N43=0,IF(TODAY()&lt;H43,"En attente",IF(TODAY()&gt;I43+30,"Critique","En retard")),IF(N43&gt;=M43,"À temps",IF(N43&gt;=M43*0.8,"À surveiller",IF(N43&gt;=M43*0.5,"En retard","Critique"))))))</f>
        <v/>
      </c>
      <c r="R43" s="68" t="n">
        <f aca="false">IFERROR(IF(Q43="Terminé à temps",100,IF(Q43="Terminé hors délai",75,IF(Q43="À temps",50,IF(Q43="À surveiller",40,IF(Q43="En retard",25,IF(Q43="Critique",10,IF(Q43="En attente",50,0))))))),0)</f>
        <v>0</v>
      </c>
      <c r="S43" s="11"/>
      <c r="T43" s="69"/>
      <c r="U43" s="70" t="n">
        <f aca="false">IFERROR(IF(T43="",0,T43*N43/100),0)</f>
        <v>0</v>
      </c>
      <c r="V43" s="11"/>
    </row>
    <row r="44" customFormat="false" ht="21.75" hidden="false" customHeight="true" outlineLevel="0" collapsed="false">
      <c r="B44" s="7"/>
      <c r="C44" s="7"/>
      <c r="D44" s="7"/>
      <c r="E44" s="7"/>
      <c r="F44" s="7"/>
      <c r="G44" s="7"/>
      <c r="H44" s="71"/>
      <c r="I44" s="71"/>
      <c r="J44" s="71"/>
      <c r="K44" s="71"/>
      <c r="L44" s="7"/>
      <c r="M44" s="64" t="n">
        <f aca="true">IF(OR(B44="",H44="",I44=""),0,IF(TODAY()&lt;H44,0,IF(TODAY()&gt;=I44,100,(TODAY()-H44)/(I44-H44)*100)))</f>
        <v>0</v>
      </c>
      <c r="N44" s="72" t="n">
        <v>0</v>
      </c>
      <c r="O44" s="73"/>
      <c r="P44" s="73"/>
      <c r="Q44" s="67" t="str">
        <f aca="true">IF(B44="","",IF(K44&lt;&gt;"",IF(K44&lt;=I44,"Terminé à temps","Terminé hors délai"),IF(N44=0,IF(TODAY()&lt;H44,"En attente",IF(TODAY()&gt;I44+30,"Critique","En retard")),IF(N44&gt;=M44,"À temps",IF(N44&gt;=M44*0.8,"À surveiller",IF(N44&gt;=M44*0.5,"En retard","Critique"))))))</f>
        <v/>
      </c>
      <c r="R44" s="68" t="n">
        <f aca="false">IFERROR(IF(Q44="Terminé à temps",100,IF(Q44="Terminé hors délai",75,IF(Q44="À temps",50,IF(Q44="À surveiller",40,IF(Q44="En retard",25,IF(Q44="Critique",10,IF(Q44="En attente",50,0))))))),0)</f>
        <v>0</v>
      </c>
      <c r="S44" s="7"/>
      <c r="T44" s="74"/>
      <c r="U44" s="70" t="n">
        <f aca="false">IFERROR(IF(T44="",0,T44*N44/100),0)</f>
        <v>0</v>
      </c>
      <c r="V44" s="7"/>
    </row>
    <row r="45" customFormat="false" ht="21.75" hidden="false" customHeight="true" outlineLevel="0" collapsed="false">
      <c r="B45" s="11"/>
      <c r="C45" s="11"/>
      <c r="D45" s="11"/>
      <c r="E45" s="11"/>
      <c r="F45" s="11"/>
      <c r="G45" s="11"/>
      <c r="H45" s="63"/>
      <c r="I45" s="63"/>
      <c r="J45" s="63"/>
      <c r="K45" s="63"/>
      <c r="L45" s="11"/>
      <c r="M45" s="64" t="n">
        <f aca="true">IF(OR(B45="",H45="",I45=""),0,IF(TODAY()&lt;H45,0,IF(TODAY()&gt;=I45,100,(TODAY()-H45)/(I45-H45)*100)))</f>
        <v>0</v>
      </c>
      <c r="N45" s="65" t="n">
        <v>0</v>
      </c>
      <c r="O45" s="66"/>
      <c r="P45" s="66"/>
      <c r="Q45" s="67" t="str">
        <f aca="true">IF(B45="","",IF(K45&lt;&gt;"",IF(K45&lt;=I45,"Terminé à temps","Terminé hors délai"),IF(N45=0,IF(TODAY()&lt;H45,"En attente",IF(TODAY()&gt;I45+30,"Critique","En retard")),IF(N45&gt;=M45,"À temps",IF(N45&gt;=M45*0.8,"À surveiller",IF(N45&gt;=M45*0.5,"En retard","Critique"))))))</f>
        <v/>
      </c>
      <c r="R45" s="68" t="n">
        <f aca="false">IFERROR(IF(Q45="Terminé à temps",100,IF(Q45="Terminé hors délai",75,IF(Q45="À temps",50,IF(Q45="À surveiller",40,IF(Q45="En retard",25,IF(Q45="Critique",10,IF(Q45="En attente",50,0))))))),0)</f>
        <v>0</v>
      </c>
      <c r="S45" s="11"/>
      <c r="T45" s="69"/>
      <c r="U45" s="70" t="n">
        <f aca="false">IFERROR(IF(T45="",0,T45*N45/100),0)</f>
        <v>0</v>
      </c>
      <c r="V45" s="11"/>
    </row>
    <row r="46" customFormat="false" ht="21.75" hidden="false" customHeight="true" outlineLevel="0" collapsed="false">
      <c r="B46" s="7"/>
      <c r="C46" s="7"/>
      <c r="D46" s="7"/>
      <c r="E46" s="7"/>
      <c r="F46" s="7"/>
      <c r="G46" s="7"/>
      <c r="H46" s="71"/>
      <c r="I46" s="71"/>
      <c r="J46" s="71"/>
      <c r="K46" s="71"/>
      <c r="L46" s="7"/>
      <c r="M46" s="64" t="n">
        <f aca="true">IF(OR(B46="",H46="",I46=""),0,IF(TODAY()&lt;H46,0,IF(TODAY()&gt;=I46,100,(TODAY()-H46)/(I46-H46)*100)))</f>
        <v>0</v>
      </c>
      <c r="N46" s="72" t="n">
        <v>0</v>
      </c>
      <c r="O46" s="73"/>
      <c r="P46" s="73"/>
      <c r="Q46" s="67" t="str">
        <f aca="true">IF(B46="","",IF(K46&lt;&gt;"",IF(K46&lt;=I46,"Terminé à temps","Terminé hors délai"),IF(N46=0,IF(TODAY()&lt;H46,"En attente",IF(TODAY()&gt;I46+30,"Critique","En retard")),IF(N46&gt;=M46,"À temps",IF(N46&gt;=M46*0.8,"À surveiller",IF(N46&gt;=M46*0.5,"En retard","Critique"))))))</f>
        <v/>
      </c>
      <c r="R46" s="68" t="n">
        <f aca="false">IFERROR(IF(Q46="Terminé à temps",100,IF(Q46="Terminé hors délai",75,IF(Q46="À temps",50,IF(Q46="À surveiller",40,IF(Q46="En retard",25,IF(Q46="Critique",10,IF(Q46="En attente",50,0))))))),0)</f>
        <v>0</v>
      </c>
      <c r="S46" s="7"/>
      <c r="T46" s="74"/>
      <c r="U46" s="70" t="n">
        <f aca="false">IFERROR(IF(T46="",0,T46*N46/100),0)</f>
        <v>0</v>
      </c>
      <c r="V46" s="7"/>
    </row>
    <row r="47" customFormat="false" ht="21.75" hidden="false" customHeight="true" outlineLevel="0" collapsed="false">
      <c r="B47" s="11"/>
      <c r="C47" s="11"/>
      <c r="D47" s="11"/>
      <c r="E47" s="11"/>
      <c r="F47" s="11"/>
      <c r="G47" s="11"/>
      <c r="H47" s="63"/>
      <c r="I47" s="63"/>
      <c r="J47" s="63"/>
      <c r="K47" s="63"/>
      <c r="L47" s="11"/>
      <c r="M47" s="64" t="n">
        <f aca="true">IF(OR(B47="",H47="",I47=""),0,IF(TODAY()&lt;H47,0,IF(TODAY()&gt;=I47,100,(TODAY()-H47)/(I47-H47)*100)))</f>
        <v>0</v>
      </c>
      <c r="N47" s="65" t="n">
        <v>0</v>
      </c>
      <c r="O47" s="66"/>
      <c r="P47" s="66"/>
      <c r="Q47" s="67" t="str">
        <f aca="true">IF(B47="","",IF(K47&lt;&gt;"",IF(K47&lt;=I47,"Terminé à temps","Terminé hors délai"),IF(N47=0,IF(TODAY()&lt;H47,"En attente",IF(TODAY()&gt;I47+30,"Critique","En retard")),IF(N47&gt;=M47,"À temps",IF(N47&gt;=M47*0.8,"À surveiller",IF(N47&gt;=M47*0.5,"En retard","Critique"))))))</f>
        <v/>
      </c>
      <c r="R47" s="68" t="n">
        <f aca="false">IFERROR(IF(Q47="Terminé à temps",100,IF(Q47="Terminé hors délai",75,IF(Q47="À temps",50,IF(Q47="À surveiller",40,IF(Q47="En retard",25,IF(Q47="Critique",10,IF(Q47="En attente",50,0))))))),0)</f>
        <v>0</v>
      </c>
      <c r="S47" s="11"/>
      <c r="T47" s="69"/>
      <c r="U47" s="70" t="n">
        <f aca="false">IFERROR(IF(T47="",0,T47*N47/100),0)</f>
        <v>0</v>
      </c>
      <c r="V47" s="11"/>
    </row>
    <row r="48" customFormat="false" ht="21.75" hidden="false" customHeight="true" outlineLevel="0" collapsed="false">
      <c r="B48" s="7"/>
      <c r="C48" s="7"/>
      <c r="D48" s="7"/>
      <c r="E48" s="7"/>
      <c r="F48" s="7"/>
      <c r="G48" s="7"/>
      <c r="H48" s="71"/>
      <c r="I48" s="71"/>
      <c r="J48" s="71"/>
      <c r="K48" s="71"/>
      <c r="L48" s="7"/>
      <c r="M48" s="64" t="n">
        <f aca="true">IF(OR(B48="",H48="",I48=""),0,IF(TODAY()&lt;H48,0,IF(TODAY()&gt;=I48,100,(TODAY()-H48)/(I48-H48)*100)))</f>
        <v>0</v>
      </c>
      <c r="N48" s="72" t="n">
        <v>0</v>
      </c>
      <c r="O48" s="73"/>
      <c r="P48" s="73"/>
      <c r="Q48" s="67" t="str">
        <f aca="true">IF(B48="","",IF(K48&lt;&gt;"",IF(K48&lt;=I48,"Terminé à temps","Terminé hors délai"),IF(N48=0,IF(TODAY()&lt;H48,"En attente",IF(TODAY()&gt;I48+30,"Critique","En retard")),IF(N48&gt;=M48,"À temps",IF(N48&gt;=M48*0.8,"À surveiller",IF(N48&gt;=M48*0.5,"En retard","Critique"))))))</f>
        <v/>
      </c>
      <c r="R48" s="68" t="n">
        <f aca="false">IFERROR(IF(Q48="Terminé à temps",100,IF(Q48="Terminé hors délai",75,IF(Q48="À temps",50,IF(Q48="À surveiller",40,IF(Q48="En retard",25,IF(Q48="Critique",10,IF(Q48="En attente",50,0))))))),0)</f>
        <v>0</v>
      </c>
      <c r="S48" s="7"/>
      <c r="T48" s="74"/>
      <c r="U48" s="70" t="n">
        <f aca="false">IFERROR(IF(T48="",0,T48*N48/100),0)</f>
        <v>0</v>
      </c>
      <c r="V48" s="7"/>
    </row>
    <row r="49" customFormat="false" ht="21.75" hidden="false" customHeight="true" outlineLevel="0" collapsed="false">
      <c r="B49" s="11"/>
      <c r="C49" s="11"/>
      <c r="D49" s="11"/>
      <c r="E49" s="11"/>
      <c r="F49" s="11"/>
      <c r="G49" s="11"/>
      <c r="H49" s="63"/>
      <c r="I49" s="63"/>
      <c r="J49" s="63"/>
      <c r="K49" s="63"/>
      <c r="L49" s="11"/>
      <c r="M49" s="64" t="n">
        <f aca="true">IF(OR(B49="",H49="",I49=""),0,IF(TODAY()&lt;H49,0,IF(TODAY()&gt;=I49,100,(TODAY()-H49)/(I49-H49)*100)))</f>
        <v>0</v>
      </c>
      <c r="N49" s="65" t="n">
        <v>0</v>
      </c>
      <c r="O49" s="66"/>
      <c r="P49" s="66"/>
      <c r="Q49" s="67" t="str">
        <f aca="true">IF(B49="","",IF(K49&lt;&gt;"",IF(K49&lt;=I49,"Terminé à temps","Terminé hors délai"),IF(N49=0,IF(TODAY()&lt;H49,"En attente",IF(TODAY()&gt;I49+30,"Critique","En retard")),IF(N49&gt;=M49,"À temps",IF(N49&gt;=M49*0.8,"À surveiller",IF(N49&gt;=M49*0.5,"En retard","Critique"))))))</f>
        <v/>
      </c>
      <c r="R49" s="68" t="n">
        <f aca="false">IFERROR(IF(Q49="Terminé à temps",100,IF(Q49="Terminé hors délai",75,IF(Q49="À temps",50,IF(Q49="À surveiller",40,IF(Q49="En retard",25,IF(Q49="Critique",10,IF(Q49="En attente",50,0))))))),0)</f>
        <v>0</v>
      </c>
      <c r="S49" s="11"/>
      <c r="T49" s="69"/>
      <c r="U49" s="70" t="n">
        <f aca="false">IFERROR(IF(T49="",0,T49*N49/100),0)</f>
        <v>0</v>
      </c>
      <c r="V49" s="11"/>
    </row>
    <row r="50" customFormat="false" ht="21.75" hidden="false" customHeight="true" outlineLevel="0" collapsed="false">
      <c r="B50" s="7"/>
      <c r="C50" s="7"/>
      <c r="D50" s="7"/>
      <c r="E50" s="7"/>
      <c r="F50" s="7"/>
      <c r="G50" s="7"/>
      <c r="H50" s="71"/>
      <c r="I50" s="71"/>
      <c r="J50" s="71"/>
      <c r="K50" s="71"/>
      <c r="L50" s="7"/>
      <c r="M50" s="64" t="n">
        <f aca="true">IF(OR(B50="",H50="",I50=""),0,IF(TODAY()&lt;H50,0,IF(TODAY()&gt;=I50,100,(TODAY()-H50)/(I50-H50)*100)))</f>
        <v>0</v>
      </c>
      <c r="N50" s="72" t="n">
        <v>0</v>
      </c>
      <c r="O50" s="73"/>
      <c r="P50" s="73"/>
      <c r="Q50" s="67" t="str">
        <f aca="true">IF(B50="","",IF(K50&lt;&gt;"",IF(K50&lt;=I50,"Terminé à temps","Terminé hors délai"),IF(N50=0,IF(TODAY()&lt;H50,"En attente",IF(TODAY()&gt;I50+30,"Critique","En retard")),IF(N50&gt;=M50,"À temps",IF(N50&gt;=M50*0.8,"À surveiller",IF(N50&gt;=M50*0.5,"En retard","Critique"))))))</f>
        <v/>
      </c>
      <c r="R50" s="68" t="n">
        <f aca="false">IFERROR(IF(Q50="Terminé à temps",100,IF(Q50="Terminé hors délai",75,IF(Q50="À temps",50,IF(Q50="À surveiller",40,IF(Q50="En retard",25,IF(Q50="Critique",10,IF(Q50="En attente",50,0))))))),0)</f>
        <v>0</v>
      </c>
      <c r="S50" s="7"/>
      <c r="T50" s="74"/>
      <c r="U50" s="70" t="n">
        <f aca="false">IFERROR(IF(T50="",0,T50*N50/100),0)</f>
        <v>0</v>
      </c>
      <c r="V50" s="7"/>
    </row>
    <row r="51" customFormat="false" ht="21.75" hidden="false" customHeight="true" outlineLevel="0" collapsed="false">
      <c r="B51" s="11"/>
      <c r="C51" s="11"/>
      <c r="D51" s="11"/>
      <c r="E51" s="11"/>
      <c r="F51" s="11"/>
      <c r="G51" s="11"/>
      <c r="H51" s="63"/>
      <c r="I51" s="63"/>
      <c r="J51" s="63"/>
      <c r="K51" s="63"/>
      <c r="L51" s="11"/>
      <c r="M51" s="64" t="n">
        <f aca="true">IF(OR(B51="",H51="",I51=""),0,IF(TODAY()&lt;H51,0,IF(TODAY()&gt;=I51,100,(TODAY()-H51)/(I51-H51)*100)))</f>
        <v>0</v>
      </c>
      <c r="N51" s="65" t="n">
        <v>0</v>
      </c>
      <c r="O51" s="66"/>
      <c r="P51" s="66"/>
      <c r="Q51" s="67" t="str">
        <f aca="true">IF(B51="","",IF(K51&lt;&gt;"",IF(K51&lt;=I51,"Terminé à temps","Terminé hors délai"),IF(N51=0,IF(TODAY()&lt;H51,"En attente",IF(TODAY()&gt;I51+30,"Critique","En retard")),IF(N51&gt;=M51,"À temps",IF(N51&gt;=M51*0.8,"À surveiller",IF(N51&gt;=M51*0.5,"En retard","Critique"))))))</f>
        <v/>
      </c>
      <c r="R51" s="68" t="n">
        <f aca="false">IFERROR(IF(Q51="Terminé à temps",100,IF(Q51="Terminé hors délai",75,IF(Q51="À temps",50,IF(Q51="À surveiller",40,IF(Q51="En retard",25,IF(Q51="Critique",10,IF(Q51="En attente",50,0))))))),0)</f>
        <v>0</v>
      </c>
      <c r="S51" s="11"/>
      <c r="T51" s="69"/>
      <c r="U51" s="70" t="n">
        <f aca="false">IFERROR(IF(T51="",0,T51*N51/100),0)</f>
        <v>0</v>
      </c>
      <c r="V51" s="11"/>
    </row>
    <row r="52" customFormat="false" ht="21.75" hidden="false" customHeight="true" outlineLevel="0" collapsed="false">
      <c r="B52" s="7"/>
      <c r="C52" s="7"/>
      <c r="D52" s="7"/>
      <c r="E52" s="7"/>
      <c r="F52" s="7"/>
      <c r="G52" s="7"/>
      <c r="H52" s="71"/>
      <c r="I52" s="71"/>
      <c r="J52" s="71"/>
      <c r="K52" s="71"/>
      <c r="L52" s="7"/>
      <c r="M52" s="64" t="n">
        <f aca="true">IF(OR(B52="",H52="",I52=""),0,IF(TODAY()&lt;H52,0,IF(TODAY()&gt;=I52,100,(TODAY()-H52)/(I52-H52)*100)))</f>
        <v>0</v>
      </c>
      <c r="N52" s="72" t="n">
        <v>0</v>
      </c>
      <c r="O52" s="73"/>
      <c r="P52" s="73"/>
      <c r="Q52" s="67" t="str">
        <f aca="true">IF(B52="","",IF(K52&lt;&gt;"",IF(K52&lt;=I52,"Terminé à temps","Terminé hors délai"),IF(N52=0,IF(TODAY()&lt;H52,"En attente",IF(TODAY()&gt;I52+30,"Critique","En retard")),IF(N52&gt;=M52,"À temps",IF(N52&gt;=M52*0.8,"À surveiller",IF(N52&gt;=M52*0.5,"En retard","Critique"))))))</f>
        <v/>
      </c>
      <c r="R52" s="68" t="n">
        <f aca="false">IFERROR(IF(Q52="Terminé à temps",100,IF(Q52="Terminé hors délai",75,IF(Q52="À temps",50,IF(Q52="À surveiller",40,IF(Q52="En retard",25,IF(Q52="Critique",10,IF(Q52="En attente",50,0))))))),0)</f>
        <v>0</v>
      </c>
      <c r="S52" s="7"/>
      <c r="T52" s="74"/>
      <c r="U52" s="70" t="n">
        <f aca="false">IFERROR(IF(T52="",0,T52*N52/100),0)</f>
        <v>0</v>
      </c>
      <c r="V52" s="7"/>
    </row>
    <row r="53" customFormat="false" ht="21.75" hidden="false" customHeight="true" outlineLevel="0" collapsed="false">
      <c r="B53" s="11"/>
      <c r="C53" s="11"/>
      <c r="D53" s="11"/>
      <c r="E53" s="11"/>
      <c r="F53" s="11"/>
      <c r="G53" s="11"/>
      <c r="H53" s="63"/>
      <c r="I53" s="63"/>
      <c r="J53" s="63"/>
      <c r="K53" s="63"/>
      <c r="L53" s="11"/>
      <c r="M53" s="64" t="n">
        <f aca="true">IF(OR(B53="",H53="",I53=""),0,IF(TODAY()&lt;H53,0,IF(TODAY()&gt;=I53,100,(TODAY()-H53)/(I53-H53)*100)))</f>
        <v>0</v>
      </c>
      <c r="N53" s="65" t="n">
        <v>0</v>
      </c>
      <c r="O53" s="66"/>
      <c r="P53" s="66"/>
      <c r="Q53" s="67" t="str">
        <f aca="true">IF(B53="","",IF(K53&lt;&gt;"",IF(K53&lt;=I53,"Terminé à temps","Terminé hors délai"),IF(N53=0,IF(TODAY()&lt;H53,"En attente",IF(TODAY()&gt;I53+30,"Critique","En retard")),IF(N53&gt;=M53,"À temps",IF(N53&gt;=M53*0.8,"À surveiller",IF(N53&gt;=M53*0.5,"En retard","Critique"))))))</f>
        <v/>
      </c>
      <c r="R53" s="68" t="n">
        <f aca="false">IFERROR(IF(Q53="Terminé à temps",100,IF(Q53="Terminé hors délai",75,IF(Q53="À temps",50,IF(Q53="À surveiller",40,IF(Q53="En retard",25,IF(Q53="Critique",10,IF(Q53="En attente",50,0))))))),0)</f>
        <v>0</v>
      </c>
      <c r="S53" s="11"/>
      <c r="T53" s="69"/>
      <c r="U53" s="70" t="n">
        <f aca="false">IFERROR(IF(T53="",0,T53*N53/100),0)</f>
        <v>0</v>
      </c>
      <c r="V53" s="11"/>
    </row>
    <row r="54" customFormat="false" ht="21.75" hidden="false" customHeight="true" outlineLevel="0" collapsed="false">
      <c r="B54" s="7"/>
      <c r="C54" s="7"/>
      <c r="D54" s="7"/>
      <c r="E54" s="7"/>
      <c r="F54" s="7"/>
      <c r="G54" s="7"/>
      <c r="H54" s="71"/>
      <c r="I54" s="71"/>
      <c r="J54" s="71"/>
      <c r="K54" s="71"/>
      <c r="L54" s="7"/>
      <c r="M54" s="64" t="n">
        <f aca="true">IF(OR(B54="",H54="",I54=""),0,IF(TODAY()&lt;H54,0,IF(TODAY()&gt;=I54,100,(TODAY()-H54)/(I54-H54)*100)))</f>
        <v>0</v>
      </c>
      <c r="N54" s="72" t="n">
        <v>0</v>
      </c>
      <c r="O54" s="73"/>
      <c r="P54" s="73"/>
      <c r="Q54" s="67" t="str">
        <f aca="true">IF(B54="","",IF(K54&lt;&gt;"",IF(K54&lt;=I54,"Terminé à temps","Terminé hors délai"),IF(N54=0,IF(TODAY()&lt;H54,"En attente",IF(TODAY()&gt;I54+30,"Critique","En retard")),IF(N54&gt;=M54,"À temps",IF(N54&gt;=M54*0.8,"À surveiller",IF(N54&gt;=M54*0.5,"En retard","Critique"))))))</f>
        <v/>
      </c>
      <c r="R54" s="68" t="n">
        <f aca="false">IFERROR(IF(Q54="Terminé à temps",100,IF(Q54="Terminé hors délai",75,IF(Q54="À temps",50,IF(Q54="À surveiller",40,IF(Q54="En retard",25,IF(Q54="Critique",10,IF(Q54="En attente",50,0))))))),0)</f>
        <v>0</v>
      </c>
      <c r="S54" s="7"/>
      <c r="T54" s="74"/>
      <c r="U54" s="70" t="n">
        <f aca="false">IFERROR(IF(T54="",0,T54*N54/100),0)</f>
        <v>0</v>
      </c>
      <c r="V54" s="7"/>
    </row>
    <row r="55" customFormat="false" ht="21.75" hidden="false" customHeight="true" outlineLevel="0" collapsed="false">
      <c r="B55" s="11"/>
      <c r="C55" s="11"/>
      <c r="D55" s="11"/>
      <c r="E55" s="11"/>
      <c r="F55" s="11"/>
      <c r="G55" s="11"/>
      <c r="H55" s="63"/>
      <c r="I55" s="63"/>
      <c r="J55" s="63"/>
      <c r="K55" s="63"/>
      <c r="L55" s="11"/>
      <c r="M55" s="64" t="n">
        <f aca="true">IF(OR(B55="",H55="",I55=""),0,IF(TODAY()&lt;H55,0,IF(TODAY()&gt;=I55,100,(TODAY()-H55)/(I55-H55)*100)))</f>
        <v>0</v>
      </c>
      <c r="N55" s="65" t="n">
        <v>0</v>
      </c>
      <c r="O55" s="66"/>
      <c r="P55" s="66"/>
      <c r="Q55" s="67" t="str">
        <f aca="true">IF(B55="","",IF(K55&lt;&gt;"",IF(K55&lt;=I55,"Terminé à temps","Terminé hors délai"),IF(N55=0,IF(TODAY()&lt;H55,"En attente",IF(TODAY()&gt;I55+30,"Critique","En retard")),IF(N55&gt;=M55,"À temps",IF(N55&gt;=M55*0.8,"À surveiller",IF(N55&gt;=M55*0.5,"En retard","Critique"))))))</f>
        <v/>
      </c>
      <c r="R55" s="68" t="n">
        <f aca="false">IFERROR(IF(Q55="Terminé à temps",100,IF(Q55="Terminé hors délai",75,IF(Q55="À temps",50,IF(Q55="À surveiller",40,IF(Q55="En retard",25,IF(Q55="Critique",10,IF(Q55="En attente",50,0))))))),0)</f>
        <v>0</v>
      </c>
      <c r="S55" s="11"/>
      <c r="T55" s="69"/>
      <c r="U55" s="70" t="n">
        <f aca="false">IFERROR(IF(T55="",0,T55*N55/100),0)</f>
        <v>0</v>
      </c>
      <c r="V55" s="11"/>
    </row>
    <row r="56" customFormat="false" ht="21.75" hidden="false" customHeight="true" outlineLevel="0" collapsed="false">
      <c r="B56" s="7"/>
      <c r="C56" s="7"/>
      <c r="D56" s="7"/>
      <c r="E56" s="7"/>
      <c r="F56" s="7"/>
      <c r="G56" s="7"/>
      <c r="H56" s="71"/>
      <c r="I56" s="71"/>
      <c r="J56" s="71"/>
      <c r="K56" s="71"/>
      <c r="L56" s="7"/>
      <c r="M56" s="64" t="n">
        <f aca="true">IF(OR(B56="",H56="",I56=""),0,IF(TODAY()&lt;H56,0,IF(TODAY()&gt;=I56,100,(TODAY()-H56)/(I56-H56)*100)))</f>
        <v>0</v>
      </c>
      <c r="N56" s="72" t="n">
        <v>0</v>
      </c>
      <c r="O56" s="73"/>
      <c r="P56" s="73"/>
      <c r="Q56" s="67" t="str">
        <f aca="true">IF(B56="","",IF(K56&lt;&gt;"",IF(K56&lt;=I56,"Terminé à temps","Terminé hors délai"),IF(N56=0,IF(TODAY()&lt;H56,"En attente",IF(TODAY()&gt;I56+30,"Critique","En retard")),IF(N56&gt;=M56,"À temps",IF(N56&gt;=M56*0.8,"À surveiller",IF(N56&gt;=M56*0.5,"En retard","Critique"))))))</f>
        <v/>
      </c>
      <c r="R56" s="68" t="n">
        <f aca="false">IFERROR(IF(Q56="Terminé à temps",100,IF(Q56="Terminé hors délai",75,IF(Q56="À temps",50,IF(Q56="À surveiller",40,IF(Q56="En retard",25,IF(Q56="Critique",10,IF(Q56="En attente",50,0))))))),0)</f>
        <v>0</v>
      </c>
      <c r="S56" s="7"/>
      <c r="T56" s="74"/>
      <c r="U56" s="70" t="n">
        <f aca="false">IFERROR(IF(T56="",0,T56*N56/100),0)</f>
        <v>0</v>
      </c>
      <c r="V56" s="7"/>
    </row>
    <row r="57" customFormat="false" ht="21.75" hidden="false" customHeight="true" outlineLevel="0" collapsed="false">
      <c r="B57" s="11"/>
      <c r="C57" s="11"/>
      <c r="D57" s="11"/>
      <c r="E57" s="11"/>
      <c r="F57" s="11"/>
      <c r="G57" s="11"/>
      <c r="H57" s="63"/>
      <c r="I57" s="63"/>
      <c r="J57" s="63"/>
      <c r="K57" s="63"/>
      <c r="L57" s="11"/>
      <c r="M57" s="64" t="n">
        <f aca="true">IF(OR(B57="",H57="",I57=""),0,IF(TODAY()&lt;H57,0,IF(TODAY()&gt;=I57,100,(TODAY()-H57)/(I57-H57)*100)))</f>
        <v>0</v>
      </c>
      <c r="N57" s="65" t="n">
        <v>0</v>
      </c>
      <c r="O57" s="66"/>
      <c r="P57" s="66"/>
      <c r="Q57" s="67" t="str">
        <f aca="true">IF(B57="","",IF(K57&lt;&gt;"",IF(K57&lt;=I57,"Terminé à temps","Terminé hors délai"),IF(N57=0,IF(TODAY()&lt;H57,"En attente",IF(TODAY()&gt;I57+30,"Critique","En retard")),IF(N57&gt;=M57,"À temps",IF(N57&gt;=M57*0.8,"À surveiller",IF(N57&gt;=M57*0.5,"En retard","Critique"))))))</f>
        <v/>
      </c>
      <c r="R57" s="68" t="n">
        <f aca="false">IFERROR(IF(Q57="Terminé à temps",100,IF(Q57="Terminé hors délai",75,IF(Q57="À temps",50,IF(Q57="À surveiller",40,IF(Q57="En retard",25,IF(Q57="Critique",10,IF(Q57="En attente",50,0))))))),0)</f>
        <v>0</v>
      </c>
      <c r="S57" s="11"/>
      <c r="T57" s="69"/>
      <c r="U57" s="70" t="n">
        <f aca="false">IFERROR(IF(T57="",0,T57*N57/100),0)</f>
        <v>0</v>
      </c>
      <c r="V57" s="11"/>
    </row>
    <row r="58" customFormat="false" ht="21.75" hidden="false" customHeight="true" outlineLevel="0" collapsed="false">
      <c r="B58" s="7"/>
      <c r="C58" s="7"/>
      <c r="D58" s="7"/>
      <c r="E58" s="7"/>
      <c r="F58" s="7"/>
      <c r="G58" s="7"/>
      <c r="H58" s="71"/>
      <c r="I58" s="71"/>
      <c r="J58" s="71"/>
      <c r="K58" s="71"/>
      <c r="L58" s="7"/>
      <c r="M58" s="64" t="n">
        <f aca="true">IF(OR(B58="",H58="",I58=""),0,IF(TODAY()&lt;H58,0,IF(TODAY()&gt;=I58,100,(TODAY()-H58)/(I58-H58)*100)))</f>
        <v>0</v>
      </c>
      <c r="N58" s="72" t="n">
        <v>0</v>
      </c>
      <c r="O58" s="73"/>
      <c r="P58" s="73"/>
      <c r="Q58" s="67" t="str">
        <f aca="true">IF(B58="","",IF(K58&lt;&gt;"",IF(K58&lt;=I58,"Terminé à temps","Terminé hors délai"),IF(N58=0,IF(TODAY()&lt;H58,"En attente",IF(TODAY()&gt;I58+30,"Critique","En retard")),IF(N58&gt;=M58,"À temps",IF(N58&gt;=M58*0.8,"À surveiller",IF(N58&gt;=M58*0.5,"En retard","Critique"))))))</f>
        <v/>
      </c>
      <c r="R58" s="68" t="n">
        <f aca="false">IFERROR(IF(Q58="Terminé à temps",100,IF(Q58="Terminé hors délai",75,IF(Q58="À temps",50,IF(Q58="À surveiller",40,IF(Q58="En retard",25,IF(Q58="Critique",10,IF(Q58="En attente",50,0))))))),0)</f>
        <v>0</v>
      </c>
      <c r="S58" s="7"/>
      <c r="T58" s="74"/>
      <c r="U58" s="70" t="n">
        <f aca="false">IFERROR(IF(T58="",0,T58*N58/100),0)</f>
        <v>0</v>
      </c>
      <c r="V58" s="7"/>
    </row>
    <row r="59" customFormat="false" ht="21.75" hidden="false" customHeight="true" outlineLevel="0" collapsed="false">
      <c r="B59" s="11"/>
      <c r="C59" s="11"/>
      <c r="D59" s="11"/>
      <c r="E59" s="11"/>
      <c r="F59" s="11"/>
      <c r="G59" s="11"/>
      <c r="H59" s="63"/>
      <c r="I59" s="63"/>
      <c r="J59" s="63"/>
      <c r="K59" s="63"/>
      <c r="L59" s="11"/>
      <c r="M59" s="64" t="n">
        <f aca="true">IF(OR(B59="",H59="",I59=""),0,IF(TODAY()&lt;H59,0,IF(TODAY()&gt;=I59,100,(TODAY()-H59)/(I59-H59)*100)))</f>
        <v>0</v>
      </c>
      <c r="N59" s="65" t="n">
        <v>0</v>
      </c>
      <c r="O59" s="66"/>
      <c r="P59" s="66"/>
      <c r="Q59" s="67" t="str">
        <f aca="true">IF(B59="","",IF(K59&lt;&gt;"",IF(K59&lt;=I59,"Terminé à temps","Terminé hors délai"),IF(N59=0,IF(TODAY()&lt;H59,"En attente",IF(TODAY()&gt;I59+30,"Critique","En retard")),IF(N59&gt;=M59,"À temps",IF(N59&gt;=M59*0.8,"À surveiller",IF(N59&gt;=M59*0.5,"En retard","Critique"))))))</f>
        <v/>
      </c>
      <c r="R59" s="68" t="n">
        <f aca="false">IFERROR(IF(Q59="Terminé à temps",100,IF(Q59="Terminé hors délai",75,IF(Q59="À temps",50,IF(Q59="À surveiller",40,IF(Q59="En retard",25,IF(Q59="Critique",10,IF(Q59="En attente",50,0))))))),0)</f>
        <v>0</v>
      </c>
      <c r="S59" s="11"/>
      <c r="T59" s="69"/>
      <c r="U59" s="70" t="n">
        <f aca="false">IFERROR(IF(T59="",0,T59*N59/100),0)</f>
        <v>0</v>
      </c>
      <c r="V59" s="11"/>
    </row>
    <row r="60" customFormat="false" ht="21.75" hidden="false" customHeight="true" outlineLevel="0" collapsed="false">
      <c r="B60" s="7"/>
      <c r="C60" s="7"/>
      <c r="D60" s="7"/>
      <c r="E60" s="7"/>
      <c r="F60" s="7"/>
      <c r="G60" s="7"/>
      <c r="H60" s="71"/>
      <c r="I60" s="71"/>
      <c r="J60" s="71"/>
      <c r="K60" s="71"/>
      <c r="L60" s="7"/>
      <c r="M60" s="64" t="n">
        <f aca="true">IF(OR(B60="",H60="",I60=""),0,IF(TODAY()&lt;H60,0,IF(TODAY()&gt;=I60,100,(TODAY()-H60)/(I60-H60)*100)))</f>
        <v>0</v>
      </c>
      <c r="N60" s="72" t="n">
        <v>0</v>
      </c>
      <c r="O60" s="73"/>
      <c r="P60" s="73"/>
      <c r="Q60" s="67" t="str">
        <f aca="true">IF(B60="","",IF(K60&lt;&gt;"",IF(K60&lt;=I60,"Terminé à temps","Terminé hors délai"),IF(N60=0,IF(TODAY()&lt;H60,"En attente",IF(TODAY()&gt;I60+30,"Critique","En retard")),IF(N60&gt;=M60,"À temps",IF(N60&gt;=M60*0.8,"À surveiller",IF(N60&gt;=M60*0.5,"En retard","Critique"))))))</f>
        <v/>
      </c>
      <c r="R60" s="68" t="n">
        <f aca="false">IFERROR(IF(Q60="Terminé à temps",100,IF(Q60="Terminé hors délai",75,IF(Q60="À temps",50,IF(Q60="À surveiller",40,IF(Q60="En retard",25,IF(Q60="Critique",10,IF(Q60="En attente",50,0))))))),0)</f>
        <v>0</v>
      </c>
      <c r="S60" s="7"/>
      <c r="T60" s="74"/>
      <c r="U60" s="70" t="n">
        <f aca="false">IFERROR(IF(T60="",0,T60*N60/100),0)</f>
        <v>0</v>
      </c>
      <c r="V60" s="7"/>
    </row>
    <row r="61" customFormat="false" ht="21.75" hidden="false" customHeight="true" outlineLevel="0" collapsed="false">
      <c r="B61" s="11"/>
      <c r="C61" s="11"/>
      <c r="D61" s="11"/>
      <c r="E61" s="11"/>
      <c r="F61" s="11"/>
      <c r="G61" s="11"/>
      <c r="H61" s="63"/>
      <c r="I61" s="63"/>
      <c r="J61" s="63"/>
      <c r="K61" s="63"/>
      <c r="L61" s="11"/>
      <c r="M61" s="64" t="n">
        <f aca="true">IF(OR(B61="",H61="",I61=""),0,IF(TODAY()&lt;H61,0,IF(TODAY()&gt;=I61,100,(TODAY()-H61)/(I61-H61)*100)))</f>
        <v>0</v>
      </c>
      <c r="N61" s="65" t="n">
        <v>0</v>
      </c>
      <c r="O61" s="66"/>
      <c r="P61" s="66"/>
      <c r="Q61" s="67" t="str">
        <f aca="true">IF(B61="","",IF(K61&lt;&gt;"",IF(K61&lt;=I61,"Terminé à temps","Terminé hors délai"),IF(N61=0,IF(TODAY()&lt;H61,"En attente",IF(TODAY()&gt;I61+30,"Critique","En retard")),IF(N61&gt;=M61,"À temps",IF(N61&gt;=M61*0.8,"À surveiller",IF(N61&gt;=M61*0.5,"En retard","Critique"))))))</f>
        <v/>
      </c>
      <c r="R61" s="68" t="n">
        <f aca="false">IFERROR(IF(Q61="Terminé à temps",100,IF(Q61="Terminé hors délai",75,IF(Q61="À temps",50,IF(Q61="À surveiller",40,IF(Q61="En retard",25,IF(Q61="Critique",10,IF(Q61="En attente",50,0))))))),0)</f>
        <v>0</v>
      </c>
      <c r="S61" s="11"/>
      <c r="T61" s="69"/>
      <c r="U61" s="70" t="n">
        <f aca="false">IFERROR(IF(T61="",0,T61*N61/100),0)</f>
        <v>0</v>
      </c>
      <c r="V61" s="11"/>
    </row>
    <row r="62" customFormat="false" ht="21.75" hidden="false" customHeight="true" outlineLevel="0" collapsed="false">
      <c r="B62" s="7"/>
      <c r="C62" s="7"/>
      <c r="D62" s="7"/>
      <c r="E62" s="7"/>
      <c r="F62" s="7"/>
      <c r="G62" s="7"/>
      <c r="H62" s="71"/>
      <c r="I62" s="71"/>
      <c r="J62" s="71"/>
      <c r="K62" s="71"/>
      <c r="L62" s="7"/>
      <c r="M62" s="64" t="n">
        <f aca="true">IF(OR(B62="",H62="",I62=""),0,IF(TODAY()&lt;H62,0,IF(TODAY()&gt;=I62,100,(TODAY()-H62)/(I62-H62)*100)))</f>
        <v>0</v>
      </c>
      <c r="N62" s="72" t="n">
        <v>0</v>
      </c>
      <c r="O62" s="73"/>
      <c r="P62" s="73"/>
      <c r="Q62" s="67" t="str">
        <f aca="true">IF(B62="","",IF(K62&lt;&gt;"",IF(K62&lt;=I62,"Terminé à temps","Terminé hors délai"),IF(N62=0,IF(TODAY()&lt;H62,"En attente",IF(TODAY()&gt;I62+30,"Critique","En retard")),IF(N62&gt;=M62,"À temps",IF(N62&gt;=M62*0.8,"À surveiller",IF(N62&gt;=M62*0.5,"En retard","Critique"))))))</f>
        <v/>
      </c>
      <c r="R62" s="68" t="n">
        <f aca="false">IFERROR(IF(Q62="Terminé à temps",100,IF(Q62="Terminé hors délai",75,IF(Q62="À temps",50,IF(Q62="À surveiller",40,IF(Q62="En retard",25,IF(Q62="Critique",10,IF(Q62="En attente",50,0))))))),0)</f>
        <v>0</v>
      </c>
      <c r="S62" s="7"/>
      <c r="T62" s="74"/>
      <c r="U62" s="70" t="n">
        <f aca="false">IFERROR(IF(T62="",0,T62*N62/100),0)</f>
        <v>0</v>
      </c>
      <c r="V62" s="7"/>
    </row>
    <row r="63" customFormat="false" ht="21.75" hidden="false" customHeight="true" outlineLevel="0" collapsed="false">
      <c r="B63" s="11"/>
      <c r="C63" s="11"/>
      <c r="D63" s="11"/>
      <c r="E63" s="11"/>
      <c r="F63" s="11"/>
      <c r="G63" s="11"/>
      <c r="H63" s="63"/>
      <c r="I63" s="63"/>
      <c r="J63" s="63"/>
      <c r="K63" s="63"/>
      <c r="L63" s="11"/>
      <c r="M63" s="64" t="n">
        <f aca="true">IF(OR(B63="",H63="",I63=""),0,IF(TODAY()&lt;H63,0,IF(TODAY()&gt;=I63,100,(TODAY()-H63)/(I63-H63)*100)))</f>
        <v>0</v>
      </c>
      <c r="N63" s="65" t="n">
        <v>0</v>
      </c>
      <c r="O63" s="66"/>
      <c r="P63" s="66"/>
      <c r="Q63" s="67" t="str">
        <f aca="true">IF(B63="","",IF(K63&lt;&gt;"",IF(K63&lt;=I63,"Terminé à temps","Terminé hors délai"),IF(N63=0,IF(TODAY()&lt;H63,"En attente",IF(TODAY()&gt;I63+30,"Critique","En retard")),IF(N63&gt;=M63,"À temps",IF(N63&gt;=M63*0.8,"À surveiller",IF(N63&gt;=M63*0.5,"En retard","Critique"))))))</f>
        <v/>
      </c>
      <c r="R63" s="68" t="n">
        <f aca="false">IFERROR(IF(Q63="Terminé à temps",100,IF(Q63="Terminé hors délai",75,IF(Q63="À temps",50,IF(Q63="À surveiller",40,IF(Q63="En retard",25,IF(Q63="Critique",10,IF(Q63="En attente",50,0))))))),0)</f>
        <v>0</v>
      </c>
      <c r="S63" s="11"/>
      <c r="T63" s="69"/>
      <c r="U63" s="70" t="n">
        <f aca="false">IFERROR(IF(T63="",0,T63*N63/100),0)</f>
        <v>0</v>
      </c>
      <c r="V63" s="11"/>
    </row>
    <row r="64" customFormat="false" ht="21.75" hidden="false" customHeight="true" outlineLevel="0" collapsed="false">
      <c r="B64" s="7"/>
      <c r="C64" s="7"/>
      <c r="D64" s="7"/>
      <c r="E64" s="7"/>
      <c r="F64" s="7"/>
      <c r="G64" s="7"/>
      <c r="H64" s="71"/>
      <c r="I64" s="71"/>
      <c r="J64" s="71"/>
      <c r="K64" s="71"/>
      <c r="L64" s="7"/>
      <c r="M64" s="64" t="n">
        <f aca="true">IF(OR(B64="",H64="",I64=""),0,IF(TODAY()&lt;H64,0,IF(TODAY()&gt;=I64,100,(TODAY()-H64)/(I64-H64)*100)))</f>
        <v>0</v>
      </c>
      <c r="N64" s="72" t="n">
        <v>0</v>
      </c>
      <c r="O64" s="73"/>
      <c r="P64" s="73"/>
      <c r="Q64" s="67" t="str">
        <f aca="true">IF(B64="","",IF(K64&lt;&gt;"",IF(K64&lt;=I64,"Terminé à temps","Terminé hors délai"),IF(N64=0,IF(TODAY()&lt;H64,"En attente",IF(TODAY()&gt;I64+30,"Critique","En retard")),IF(N64&gt;=M64,"À temps",IF(N64&gt;=M64*0.8,"À surveiller",IF(N64&gt;=M64*0.5,"En retard","Critique"))))))</f>
        <v/>
      </c>
      <c r="R64" s="68" t="n">
        <f aca="false">IFERROR(IF(Q64="Terminé à temps",100,IF(Q64="Terminé hors délai",75,IF(Q64="À temps",50,IF(Q64="À surveiller",40,IF(Q64="En retard",25,IF(Q64="Critique",10,IF(Q64="En attente",50,0))))))),0)</f>
        <v>0</v>
      </c>
      <c r="S64" s="7"/>
      <c r="T64" s="74"/>
      <c r="U64" s="70" t="n">
        <f aca="false">IFERROR(IF(T64="",0,T64*N64/100),0)</f>
        <v>0</v>
      </c>
      <c r="V64" s="7"/>
    </row>
    <row r="65" customFormat="false" ht="21.75" hidden="false" customHeight="true" outlineLevel="0" collapsed="false">
      <c r="B65" s="11"/>
      <c r="C65" s="11"/>
      <c r="D65" s="11"/>
      <c r="E65" s="11"/>
      <c r="F65" s="11"/>
      <c r="G65" s="11"/>
      <c r="H65" s="63"/>
      <c r="I65" s="63"/>
      <c r="J65" s="63"/>
      <c r="K65" s="63"/>
      <c r="L65" s="11"/>
      <c r="M65" s="64" t="n">
        <f aca="true">IF(OR(B65="",H65="",I65=""),0,IF(TODAY()&lt;H65,0,IF(TODAY()&gt;=I65,100,(TODAY()-H65)/(I65-H65)*100)))</f>
        <v>0</v>
      </c>
      <c r="N65" s="65" t="n">
        <v>0</v>
      </c>
      <c r="O65" s="66"/>
      <c r="P65" s="66"/>
      <c r="Q65" s="67" t="str">
        <f aca="true">IF(B65="","",IF(K65&lt;&gt;"",IF(K65&lt;=I65,"Terminé à temps","Terminé hors délai"),IF(N65=0,IF(TODAY()&lt;H65,"En attente",IF(TODAY()&gt;I65+30,"Critique","En retard")),IF(N65&gt;=M65,"À temps",IF(N65&gt;=M65*0.8,"À surveiller",IF(N65&gt;=M65*0.5,"En retard","Critique"))))))</f>
        <v/>
      </c>
      <c r="R65" s="68" t="n">
        <f aca="false">IFERROR(IF(Q65="Terminé à temps",100,IF(Q65="Terminé hors délai",75,IF(Q65="À temps",50,IF(Q65="À surveiller",40,IF(Q65="En retard",25,IF(Q65="Critique",10,IF(Q65="En attente",50,0))))))),0)</f>
        <v>0</v>
      </c>
      <c r="S65" s="11"/>
      <c r="T65" s="69"/>
      <c r="U65" s="70" t="n">
        <f aca="false">IFERROR(IF(T65="",0,T65*N65/100),0)</f>
        <v>0</v>
      </c>
      <c r="V65" s="11"/>
    </row>
    <row r="66" customFormat="false" ht="21.75" hidden="false" customHeight="true" outlineLevel="0" collapsed="false">
      <c r="B66" s="7"/>
      <c r="C66" s="7"/>
      <c r="D66" s="7"/>
      <c r="E66" s="7"/>
      <c r="F66" s="7"/>
      <c r="G66" s="7"/>
      <c r="H66" s="71"/>
      <c r="I66" s="71"/>
      <c r="J66" s="71"/>
      <c r="K66" s="71"/>
      <c r="L66" s="7"/>
      <c r="M66" s="64" t="n">
        <f aca="true">IF(OR(B66="",H66="",I66=""),0,IF(TODAY()&lt;H66,0,IF(TODAY()&gt;=I66,100,(TODAY()-H66)/(I66-H66)*100)))</f>
        <v>0</v>
      </c>
      <c r="N66" s="72" t="n">
        <v>0</v>
      </c>
      <c r="O66" s="73"/>
      <c r="P66" s="73"/>
      <c r="Q66" s="67" t="str">
        <f aca="true">IF(B66="","",IF(K66&lt;&gt;"",IF(K66&lt;=I66,"Terminé à temps","Terminé hors délai"),IF(N66=0,IF(TODAY()&lt;H66,"En attente",IF(TODAY()&gt;I66+30,"Critique","En retard")),IF(N66&gt;=M66,"À temps",IF(N66&gt;=M66*0.8,"À surveiller",IF(N66&gt;=M66*0.5,"En retard","Critique"))))))</f>
        <v/>
      </c>
      <c r="R66" s="68" t="n">
        <f aca="false">IFERROR(IF(Q66="Terminé à temps",100,IF(Q66="Terminé hors délai",75,IF(Q66="À temps",50,IF(Q66="À surveiller",40,IF(Q66="En retard",25,IF(Q66="Critique",10,IF(Q66="En attente",50,0))))))),0)</f>
        <v>0</v>
      </c>
      <c r="S66" s="7"/>
      <c r="T66" s="74"/>
      <c r="U66" s="70" t="n">
        <f aca="false">IFERROR(IF(T66="",0,T66*N66/100),0)</f>
        <v>0</v>
      </c>
      <c r="V66" s="7"/>
    </row>
    <row r="67" customFormat="false" ht="21.75" hidden="false" customHeight="true" outlineLevel="0" collapsed="false">
      <c r="B67" s="11"/>
      <c r="C67" s="11"/>
      <c r="D67" s="11"/>
      <c r="E67" s="11"/>
      <c r="F67" s="11"/>
      <c r="G67" s="11"/>
      <c r="H67" s="63"/>
      <c r="I67" s="63"/>
      <c r="J67" s="63"/>
      <c r="K67" s="63"/>
      <c r="L67" s="11"/>
      <c r="M67" s="64" t="n">
        <f aca="true">IF(OR(B67="",H67="",I67=""),0,IF(TODAY()&lt;H67,0,IF(TODAY()&gt;=I67,100,(TODAY()-H67)/(I67-H67)*100)))</f>
        <v>0</v>
      </c>
      <c r="N67" s="65" t="n">
        <v>0</v>
      </c>
      <c r="O67" s="66"/>
      <c r="P67" s="66"/>
      <c r="Q67" s="67" t="str">
        <f aca="true">IF(B67="","",IF(K67&lt;&gt;"",IF(K67&lt;=I67,"Terminé à temps","Terminé hors délai"),IF(N67=0,IF(TODAY()&lt;H67,"En attente",IF(TODAY()&gt;I67+30,"Critique","En retard")),IF(N67&gt;=M67,"À temps",IF(N67&gt;=M67*0.8,"À surveiller",IF(N67&gt;=M67*0.5,"En retard","Critique"))))))</f>
        <v/>
      </c>
      <c r="R67" s="68" t="n">
        <f aca="false">IFERROR(IF(Q67="Terminé à temps",100,IF(Q67="Terminé hors délai",75,IF(Q67="À temps",50,IF(Q67="À surveiller",40,IF(Q67="En retard",25,IF(Q67="Critique",10,IF(Q67="En attente",50,0))))))),0)</f>
        <v>0</v>
      </c>
      <c r="S67" s="11"/>
      <c r="T67" s="69"/>
      <c r="U67" s="70" t="n">
        <f aca="false">IFERROR(IF(T67="",0,T67*N67/100),0)</f>
        <v>0</v>
      </c>
      <c r="V67" s="11"/>
    </row>
    <row r="68" customFormat="false" ht="21.75" hidden="false" customHeight="true" outlineLevel="0" collapsed="false">
      <c r="B68" s="7"/>
      <c r="C68" s="7"/>
      <c r="D68" s="7"/>
      <c r="E68" s="7"/>
      <c r="F68" s="7"/>
      <c r="G68" s="7"/>
      <c r="H68" s="71"/>
      <c r="I68" s="71"/>
      <c r="J68" s="71"/>
      <c r="K68" s="71"/>
      <c r="L68" s="7"/>
      <c r="M68" s="64" t="n">
        <f aca="true">IF(OR(B68="",H68="",I68=""),0,IF(TODAY()&lt;H68,0,IF(TODAY()&gt;=I68,100,(TODAY()-H68)/(I68-H68)*100)))</f>
        <v>0</v>
      </c>
      <c r="N68" s="72" t="n">
        <v>0</v>
      </c>
      <c r="O68" s="73"/>
      <c r="P68" s="73"/>
      <c r="Q68" s="67" t="str">
        <f aca="true">IF(B68="","",IF(K68&lt;&gt;"",IF(K68&lt;=I68,"Terminé à temps","Terminé hors délai"),IF(N68=0,IF(TODAY()&lt;H68,"En attente",IF(TODAY()&gt;I68+30,"Critique","En retard")),IF(N68&gt;=M68,"À temps",IF(N68&gt;=M68*0.8,"À surveiller",IF(N68&gt;=M68*0.5,"En retard","Critique"))))))</f>
        <v/>
      </c>
      <c r="R68" s="68" t="n">
        <f aca="false">IFERROR(IF(Q68="Terminé à temps",100,IF(Q68="Terminé hors délai",75,IF(Q68="À temps",50,IF(Q68="À surveiller",40,IF(Q68="En retard",25,IF(Q68="Critique",10,IF(Q68="En attente",50,0))))))),0)</f>
        <v>0</v>
      </c>
      <c r="S68" s="7"/>
      <c r="T68" s="74"/>
      <c r="U68" s="70" t="n">
        <f aca="false">IFERROR(IF(T68="",0,T68*N68/100),0)</f>
        <v>0</v>
      </c>
      <c r="V68" s="7"/>
    </row>
    <row r="69" customFormat="false" ht="21.75" hidden="false" customHeight="true" outlineLevel="0" collapsed="false">
      <c r="B69" s="11"/>
      <c r="C69" s="11"/>
      <c r="D69" s="11"/>
      <c r="E69" s="11"/>
      <c r="F69" s="11"/>
      <c r="G69" s="11"/>
      <c r="H69" s="63"/>
      <c r="I69" s="63"/>
      <c r="J69" s="63"/>
      <c r="K69" s="63"/>
      <c r="L69" s="11"/>
      <c r="M69" s="64" t="n">
        <f aca="true">IF(OR(B69="",H69="",I69=""),0,IF(TODAY()&lt;H69,0,IF(TODAY()&gt;=I69,100,(TODAY()-H69)/(I69-H69)*100)))</f>
        <v>0</v>
      </c>
      <c r="N69" s="65" t="n">
        <v>0</v>
      </c>
      <c r="O69" s="66"/>
      <c r="P69" s="66"/>
      <c r="Q69" s="67" t="str">
        <f aca="true">IF(B69="","",IF(K69&lt;&gt;"",IF(K69&lt;=I69,"Terminé à temps","Terminé hors délai"),IF(N69=0,IF(TODAY()&lt;H69,"En attente",IF(TODAY()&gt;I69+30,"Critique","En retard")),IF(N69&gt;=M69,"À temps",IF(N69&gt;=M69*0.8,"À surveiller",IF(N69&gt;=M69*0.5,"En retard","Critique"))))))</f>
        <v/>
      </c>
      <c r="R69" s="68" t="n">
        <f aca="false">IFERROR(IF(Q69="Terminé à temps",100,IF(Q69="Terminé hors délai",75,IF(Q69="À temps",50,IF(Q69="À surveiller",40,IF(Q69="En retard",25,IF(Q69="Critique",10,IF(Q69="En attente",50,0))))))),0)</f>
        <v>0</v>
      </c>
      <c r="S69" s="11"/>
      <c r="T69" s="69"/>
      <c r="U69" s="70" t="n">
        <f aca="false">IFERROR(IF(T69="",0,T69*N69/100),0)</f>
        <v>0</v>
      </c>
      <c r="V69" s="11"/>
    </row>
    <row r="70" customFormat="false" ht="21.75" hidden="false" customHeight="true" outlineLevel="0" collapsed="false">
      <c r="B70" s="7"/>
      <c r="C70" s="7"/>
      <c r="D70" s="7"/>
      <c r="E70" s="7"/>
      <c r="F70" s="7"/>
      <c r="G70" s="7"/>
      <c r="H70" s="71"/>
      <c r="I70" s="71"/>
      <c r="J70" s="71"/>
      <c r="K70" s="71"/>
      <c r="L70" s="7"/>
      <c r="M70" s="64" t="n">
        <f aca="true">IF(OR(B70="",H70="",I70=""),0,IF(TODAY()&lt;H70,0,IF(TODAY()&gt;=I70,100,(TODAY()-H70)/(I70-H70)*100)))</f>
        <v>0</v>
      </c>
      <c r="N70" s="72" t="n">
        <v>0</v>
      </c>
      <c r="O70" s="73"/>
      <c r="P70" s="73"/>
      <c r="Q70" s="67" t="str">
        <f aca="true">IF(B70="","",IF(K70&lt;&gt;"",IF(K70&lt;=I70,"Terminé à temps","Terminé hors délai"),IF(N70=0,IF(TODAY()&lt;H70,"En attente",IF(TODAY()&gt;I70+30,"Critique","En retard")),IF(N70&gt;=M70,"À temps",IF(N70&gt;=M70*0.8,"À surveiller",IF(N70&gt;=M70*0.5,"En retard","Critique"))))))</f>
        <v/>
      </c>
      <c r="R70" s="68" t="n">
        <f aca="false">IFERROR(IF(Q70="Terminé à temps",100,IF(Q70="Terminé hors délai",75,IF(Q70="À temps",50,IF(Q70="À surveiller",40,IF(Q70="En retard",25,IF(Q70="Critique",10,IF(Q70="En attente",50,0))))))),0)</f>
        <v>0</v>
      </c>
      <c r="S70" s="7"/>
      <c r="T70" s="74"/>
      <c r="U70" s="70" t="n">
        <f aca="false">IFERROR(IF(T70="",0,T70*N70/100),0)</f>
        <v>0</v>
      </c>
      <c r="V70" s="7"/>
    </row>
    <row r="71" customFormat="false" ht="21.75" hidden="false" customHeight="true" outlineLevel="0" collapsed="false">
      <c r="B71" s="11"/>
      <c r="C71" s="11"/>
      <c r="D71" s="11"/>
      <c r="E71" s="11"/>
      <c r="F71" s="11"/>
      <c r="G71" s="11"/>
      <c r="H71" s="63"/>
      <c r="I71" s="63"/>
      <c r="J71" s="63"/>
      <c r="K71" s="63"/>
      <c r="L71" s="11"/>
      <c r="M71" s="64" t="n">
        <f aca="true">IF(OR(B71="",H71="",I71=""),0,IF(TODAY()&lt;H71,0,IF(TODAY()&gt;=I71,100,(TODAY()-H71)/(I71-H71)*100)))</f>
        <v>0</v>
      </c>
      <c r="N71" s="65" t="n">
        <v>0</v>
      </c>
      <c r="O71" s="66"/>
      <c r="P71" s="66"/>
      <c r="Q71" s="67" t="str">
        <f aca="true">IF(B71="","",IF(K71&lt;&gt;"",IF(K71&lt;=I71,"Terminé à temps","Terminé hors délai"),IF(N71=0,IF(TODAY()&lt;H71,"En attente",IF(TODAY()&gt;I71+30,"Critique","En retard")),IF(N71&gt;=M71,"À temps",IF(N71&gt;=M71*0.8,"À surveiller",IF(N71&gt;=M71*0.5,"En retard","Critique"))))))</f>
        <v/>
      </c>
      <c r="R71" s="68" t="n">
        <f aca="false">IFERROR(IF(Q71="Terminé à temps",100,IF(Q71="Terminé hors délai",75,IF(Q71="À temps",50,IF(Q71="À surveiller",40,IF(Q71="En retard",25,IF(Q71="Critique",10,IF(Q71="En attente",50,0))))))),0)</f>
        <v>0</v>
      </c>
      <c r="S71" s="11"/>
      <c r="T71" s="69"/>
      <c r="U71" s="70" t="n">
        <f aca="false">IFERROR(IF(T71="",0,T71*N71/100),0)</f>
        <v>0</v>
      </c>
      <c r="V71" s="11"/>
    </row>
    <row r="72" customFormat="false" ht="21.75" hidden="false" customHeight="true" outlineLevel="0" collapsed="false">
      <c r="B72" s="7"/>
      <c r="C72" s="7"/>
      <c r="D72" s="7"/>
      <c r="E72" s="7"/>
      <c r="F72" s="7"/>
      <c r="G72" s="7"/>
      <c r="H72" s="71"/>
      <c r="I72" s="71"/>
      <c r="J72" s="71"/>
      <c r="K72" s="71"/>
      <c r="L72" s="7"/>
      <c r="M72" s="64" t="n">
        <f aca="true">IF(OR(B72="",H72="",I72=""),0,IF(TODAY()&lt;H72,0,IF(TODAY()&gt;=I72,100,(TODAY()-H72)/(I72-H72)*100)))</f>
        <v>0</v>
      </c>
      <c r="N72" s="72" t="n">
        <v>0</v>
      </c>
      <c r="O72" s="73"/>
      <c r="P72" s="73"/>
      <c r="Q72" s="67" t="str">
        <f aca="true">IF(B72="","",IF(K72&lt;&gt;"",IF(K72&lt;=I72,"Terminé à temps","Terminé hors délai"),IF(N72=0,IF(TODAY()&lt;H72,"En attente",IF(TODAY()&gt;I72+30,"Critique","En retard")),IF(N72&gt;=M72,"À temps",IF(N72&gt;=M72*0.8,"À surveiller",IF(N72&gt;=M72*0.5,"En retard","Critique"))))))</f>
        <v/>
      </c>
      <c r="R72" s="68" t="n">
        <f aca="false">IFERROR(IF(Q72="Terminé à temps",100,IF(Q72="Terminé hors délai",75,IF(Q72="À temps",50,IF(Q72="À surveiller",40,IF(Q72="En retard",25,IF(Q72="Critique",10,IF(Q72="En attente",50,0))))))),0)</f>
        <v>0</v>
      </c>
      <c r="S72" s="7"/>
      <c r="T72" s="74"/>
      <c r="U72" s="70" t="n">
        <f aca="false">IFERROR(IF(T72="",0,T72*N72/100),0)</f>
        <v>0</v>
      </c>
      <c r="V72" s="7"/>
    </row>
    <row r="73" customFormat="false" ht="21.75" hidden="false" customHeight="true" outlineLevel="0" collapsed="false">
      <c r="B73" s="11"/>
      <c r="C73" s="11"/>
      <c r="D73" s="11"/>
      <c r="E73" s="11"/>
      <c r="F73" s="11"/>
      <c r="G73" s="11"/>
      <c r="H73" s="63"/>
      <c r="I73" s="63"/>
      <c r="J73" s="63"/>
      <c r="K73" s="63"/>
      <c r="L73" s="11"/>
      <c r="M73" s="64" t="n">
        <f aca="true">IF(OR(B73="",H73="",I73=""),0,IF(TODAY()&lt;H73,0,IF(TODAY()&gt;=I73,100,(TODAY()-H73)/(I73-H73)*100)))</f>
        <v>0</v>
      </c>
      <c r="N73" s="65" t="n">
        <v>0</v>
      </c>
      <c r="O73" s="66"/>
      <c r="P73" s="66"/>
      <c r="Q73" s="67" t="str">
        <f aca="true">IF(B73="","",IF(K73&lt;&gt;"",IF(K73&lt;=I73,"Terminé à temps","Terminé hors délai"),IF(N73=0,IF(TODAY()&lt;H73,"En attente",IF(TODAY()&gt;I73+30,"Critique","En retard")),IF(N73&gt;=M73,"À temps",IF(N73&gt;=M73*0.8,"À surveiller",IF(N73&gt;=M73*0.5,"En retard","Critique"))))))</f>
        <v/>
      </c>
      <c r="R73" s="68" t="n">
        <f aca="false">IFERROR(IF(Q73="Terminé à temps",100,IF(Q73="Terminé hors délai",75,IF(Q73="À temps",50,IF(Q73="À surveiller",40,IF(Q73="En retard",25,IF(Q73="Critique",10,IF(Q73="En attente",50,0))))))),0)</f>
        <v>0</v>
      </c>
      <c r="S73" s="11"/>
      <c r="T73" s="69"/>
      <c r="U73" s="70" t="n">
        <f aca="false">IFERROR(IF(T73="",0,T73*N73/100),0)</f>
        <v>0</v>
      </c>
      <c r="V73" s="11"/>
    </row>
    <row r="74" customFormat="false" ht="21.75" hidden="false" customHeight="true" outlineLevel="0" collapsed="false">
      <c r="B74" s="7"/>
      <c r="C74" s="7"/>
      <c r="D74" s="7"/>
      <c r="E74" s="7"/>
      <c r="F74" s="7"/>
      <c r="G74" s="7"/>
      <c r="H74" s="71"/>
      <c r="I74" s="71"/>
      <c r="J74" s="71"/>
      <c r="K74" s="71"/>
      <c r="L74" s="7"/>
      <c r="M74" s="64" t="n">
        <f aca="true">IF(OR(B74="",H74="",I74=""),0,IF(TODAY()&lt;H74,0,IF(TODAY()&gt;=I74,100,(TODAY()-H74)/(I74-H74)*100)))</f>
        <v>0</v>
      </c>
      <c r="N74" s="72" t="n">
        <v>0</v>
      </c>
      <c r="O74" s="73"/>
      <c r="P74" s="73"/>
      <c r="Q74" s="67" t="str">
        <f aca="true">IF(B74="","",IF(K74&lt;&gt;"",IF(K74&lt;=I74,"Terminé à temps","Terminé hors délai"),IF(N74=0,IF(TODAY()&lt;H74,"En attente",IF(TODAY()&gt;I74+30,"Critique","En retard")),IF(N74&gt;=M74,"À temps",IF(N74&gt;=M74*0.8,"À surveiller",IF(N74&gt;=M74*0.5,"En retard","Critique"))))))</f>
        <v/>
      </c>
      <c r="R74" s="68" t="n">
        <f aca="false">IFERROR(IF(Q74="Terminé à temps",100,IF(Q74="Terminé hors délai",75,IF(Q74="À temps",50,IF(Q74="À surveiller",40,IF(Q74="En retard",25,IF(Q74="Critique",10,IF(Q74="En attente",50,0))))))),0)</f>
        <v>0</v>
      </c>
      <c r="S74" s="7"/>
      <c r="T74" s="74"/>
      <c r="U74" s="70" t="n">
        <f aca="false">IFERROR(IF(T74="",0,T74*N74/100),0)</f>
        <v>0</v>
      </c>
      <c r="V74" s="7"/>
    </row>
    <row r="75" customFormat="false" ht="21.75" hidden="false" customHeight="true" outlineLevel="0" collapsed="false">
      <c r="B75" s="11"/>
      <c r="C75" s="11"/>
      <c r="D75" s="11"/>
      <c r="E75" s="11"/>
      <c r="F75" s="11"/>
      <c r="G75" s="11"/>
      <c r="H75" s="63"/>
      <c r="I75" s="63"/>
      <c r="J75" s="63"/>
      <c r="K75" s="63"/>
      <c r="L75" s="11"/>
      <c r="M75" s="64" t="n">
        <f aca="true">IF(OR(B75="",H75="",I75=""),0,IF(TODAY()&lt;H75,0,IF(TODAY()&gt;=I75,100,(TODAY()-H75)/(I75-H75)*100)))</f>
        <v>0</v>
      </c>
      <c r="N75" s="65" t="n">
        <v>0</v>
      </c>
      <c r="O75" s="66"/>
      <c r="P75" s="66"/>
      <c r="Q75" s="67" t="str">
        <f aca="true">IF(B75="","",IF(K75&lt;&gt;"",IF(K75&lt;=I75,"Terminé à temps","Terminé hors délai"),IF(N75=0,IF(TODAY()&lt;H75,"En attente",IF(TODAY()&gt;I75+30,"Critique","En retard")),IF(N75&gt;=M75,"À temps",IF(N75&gt;=M75*0.8,"À surveiller",IF(N75&gt;=M75*0.5,"En retard","Critique"))))))</f>
        <v/>
      </c>
      <c r="R75" s="68" t="n">
        <f aca="false">IFERROR(IF(Q75="Terminé à temps",100,IF(Q75="Terminé hors délai",75,IF(Q75="À temps",50,IF(Q75="À surveiller",40,IF(Q75="En retard",25,IF(Q75="Critique",10,IF(Q75="En attente",50,0))))))),0)</f>
        <v>0</v>
      </c>
      <c r="S75" s="11"/>
      <c r="T75" s="69"/>
      <c r="U75" s="70" t="n">
        <f aca="false">IFERROR(IF(T75="",0,T75*N75/100),0)</f>
        <v>0</v>
      </c>
      <c r="V75" s="11"/>
    </row>
    <row r="76" customFormat="false" ht="21.75" hidden="false" customHeight="true" outlineLevel="0" collapsed="false">
      <c r="B76" s="7"/>
      <c r="C76" s="7"/>
      <c r="D76" s="7"/>
      <c r="E76" s="7"/>
      <c r="F76" s="7"/>
      <c r="G76" s="7"/>
      <c r="H76" s="71"/>
      <c r="I76" s="71"/>
      <c r="J76" s="71"/>
      <c r="K76" s="71"/>
      <c r="L76" s="7"/>
      <c r="M76" s="64" t="n">
        <f aca="true">IF(OR(B76="",H76="",I76=""),0,IF(TODAY()&lt;H76,0,IF(TODAY()&gt;=I76,100,(TODAY()-H76)/(I76-H76)*100)))</f>
        <v>0</v>
      </c>
      <c r="N76" s="72" t="n">
        <v>0</v>
      </c>
      <c r="O76" s="73"/>
      <c r="P76" s="73"/>
      <c r="Q76" s="67" t="str">
        <f aca="true">IF(B76="","",IF(K76&lt;&gt;"",IF(K76&lt;=I76,"Terminé à temps","Terminé hors délai"),IF(N76=0,IF(TODAY()&lt;H76,"En attente",IF(TODAY()&gt;I76+30,"Critique","En retard")),IF(N76&gt;=M76,"À temps",IF(N76&gt;=M76*0.8,"À surveiller",IF(N76&gt;=M76*0.5,"En retard","Critique"))))))</f>
        <v/>
      </c>
      <c r="R76" s="68" t="n">
        <f aca="false">IFERROR(IF(Q76="Terminé à temps",100,IF(Q76="Terminé hors délai",75,IF(Q76="À temps",50,IF(Q76="À surveiller",40,IF(Q76="En retard",25,IF(Q76="Critique",10,IF(Q76="En attente",50,0))))))),0)</f>
        <v>0</v>
      </c>
      <c r="S76" s="7"/>
      <c r="T76" s="74"/>
      <c r="U76" s="70" t="n">
        <f aca="false">IFERROR(IF(T76="",0,T76*N76/100),0)</f>
        <v>0</v>
      </c>
      <c r="V76" s="7"/>
    </row>
    <row r="77" customFormat="false" ht="21.75" hidden="false" customHeight="true" outlineLevel="0" collapsed="false">
      <c r="B77" s="11"/>
      <c r="C77" s="11"/>
      <c r="D77" s="11"/>
      <c r="E77" s="11"/>
      <c r="F77" s="11"/>
      <c r="G77" s="11"/>
      <c r="H77" s="63"/>
      <c r="I77" s="63"/>
      <c r="J77" s="63"/>
      <c r="K77" s="63"/>
      <c r="L77" s="11"/>
      <c r="M77" s="64" t="n">
        <f aca="true">IF(OR(B77="",H77="",I77=""),0,IF(TODAY()&lt;H77,0,IF(TODAY()&gt;=I77,100,(TODAY()-H77)/(I77-H77)*100)))</f>
        <v>0</v>
      </c>
      <c r="N77" s="65" t="n">
        <v>0</v>
      </c>
      <c r="O77" s="66"/>
      <c r="P77" s="66"/>
      <c r="Q77" s="67" t="str">
        <f aca="true">IF(B77="","",IF(K77&lt;&gt;"",IF(K77&lt;=I77,"Terminé à temps","Terminé hors délai"),IF(N77=0,IF(TODAY()&lt;H77,"En attente",IF(TODAY()&gt;I77+30,"Critique","En retard")),IF(N77&gt;=M77,"À temps",IF(N77&gt;=M77*0.8,"À surveiller",IF(N77&gt;=M77*0.5,"En retard","Critique"))))))</f>
        <v/>
      </c>
      <c r="R77" s="68" t="n">
        <f aca="false">IFERROR(IF(Q77="Terminé à temps",100,IF(Q77="Terminé hors délai",75,IF(Q77="À temps",50,IF(Q77="À surveiller",40,IF(Q77="En retard",25,IF(Q77="Critique",10,IF(Q77="En attente",50,0))))))),0)</f>
        <v>0</v>
      </c>
      <c r="S77" s="11"/>
      <c r="T77" s="69"/>
      <c r="U77" s="70" t="n">
        <f aca="false">IFERROR(IF(T77="",0,T77*N77/100),0)</f>
        <v>0</v>
      </c>
      <c r="V77" s="11"/>
    </row>
    <row r="78" customFormat="false" ht="21.75" hidden="false" customHeight="true" outlineLevel="0" collapsed="false">
      <c r="B78" s="7"/>
      <c r="C78" s="7"/>
      <c r="D78" s="7"/>
      <c r="E78" s="7"/>
      <c r="F78" s="7"/>
      <c r="G78" s="7"/>
      <c r="H78" s="71"/>
      <c r="I78" s="71"/>
      <c r="J78" s="71"/>
      <c r="K78" s="71"/>
      <c r="L78" s="7"/>
      <c r="M78" s="64" t="n">
        <f aca="true">IF(OR(B78="",H78="",I78=""),0,IF(TODAY()&lt;H78,0,IF(TODAY()&gt;=I78,100,(TODAY()-H78)/(I78-H78)*100)))</f>
        <v>0</v>
      </c>
      <c r="N78" s="72" t="n">
        <v>0</v>
      </c>
      <c r="O78" s="73"/>
      <c r="P78" s="73"/>
      <c r="Q78" s="67" t="str">
        <f aca="true">IF(B78="","",IF(K78&lt;&gt;"",IF(K78&lt;=I78,"Terminé à temps","Terminé hors délai"),IF(N78=0,IF(TODAY()&lt;H78,"En attente",IF(TODAY()&gt;I78+30,"Critique","En retard")),IF(N78&gt;=M78,"À temps",IF(N78&gt;=M78*0.8,"À surveiller",IF(N78&gt;=M78*0.5,"En retard","Critique"))))))</f>
        <v/>
      </c>
      <c r="R78" s="68" t="n">
        <f aca="false">IFERROR(IF(Q78="Terminé à temps",100,IF(Q78="Terminé hors délai",75,IF(Q78="À temps",50,IF(Q78="À surveiller",40,IF(Q78="En retard",25,IF(Q78="Critique",10,IF(Q78="En attente",50,0))))))),0)</f>
        <v>0</v>
      </c>
      <c r="S78" s="7"/>
      <c r="T78" s="74"/>
      <c r="U78" s="70" t="n">
        <f aca="false">IFERROR(IF(T78="",0,T78*N78/100),0)</f>
        <v>0</v>
      </c>
      <c r="V78" s="7"/>
    </row>
    <row r="79" customFormat="false" ht="21.75" hidden="false" customHeight="true" outlineLevel="0" collapsed="false">
      <c r="B79" s="11"/>
      <c r="C79" s="11"/>
      <c r="D79" s="11"/>
      <c r="E79" s="11"/>
      <c r="F79" s="11"/>
      <c r="G79" s="11"/>
      <c r="H79" s="63"/>
      <c r="I79" s="63"/>
      <c r="J79" s="63"/>
      <c r="K79" s="63"/>
      <c r="L79" s="11"/>
      <c r="M79" s="64" t="n">
        <f aca="true">IF(OR(B79="",H79="",I79=""),0,IF(TODAY()&lt;H79,0,IF(TODAY()&gt;=I79,100,(TODAY()-H79)/(I79-H79)*100)))</f>
        <v>0</v>
      </c>
      <c r="N79" s="65" t="n">
        <v>0</v>
      </c>
      <c r="O79" s="66"/>
      <c r="P79" s="66"/>
      <c r="Q79" s="67" t="str">
        <f aca="true">IF(B79="","",IF(K79&lt;&gt;"",IF(K79&lt;=I79,"Terminé à temps","Terminé hors délai"),IF(N79=0,IF(TODAY()&lt;H79,"En attente",IF(TODAY()&gt;I79+30,"Critique","En retard")),IF(N79&gt;=M79,"À temps",IF(N79&gt;=M79*0.8,"À surveiller",IF(N79&gt;=M79*0.5,"En retard","Critique"))))))</f>
        <v/>
      </c>
      <c r="R79" s="68" t="n">
        <f aca="false">IFERROR(IF(Q79="Terminé à temps",100,IF(Q79="Terminé hors délai",75,IF(Q79="À temps",50,IF(Q79="À surveiller",40,IF(Q79="En retard",25,IF(Q79="Critique",10,IF(Q79="En attente",50,0))))))),0)</f>
        <v>0</v>
      </c>
      <c r="S79" s="11"/>
      <c r="T79" s="69"/>
      <c r="U79" s="70" t="n">
        <f aca="false">IFERROR(IF(T79="",0,T79*N79/100),0)</f>
        <v>0</v>
      </c>
      <c r="V79" s="11"/>
    </row>
    <row r="80" customFormat="false" ht="21.75" hidden="false" customHeight="true" outlineLevel="0" collapsed="false">
      <c r="B80" s="7"/>
      <c r="C80" s="7"/>
      <c r="D80" s="7"/>
      <c r="E80" s="7"/>
      <c r="F80" s="7"/>
      <c r="G80" s="7"/>
      <c r="H80" s="71"/>
      <c r="I80" s="71"/>
      <c r="J80" s="71"/>
      <c r="K80" s="71"/>
      <c r="L80" s="7"/>
      <c r="M80" s="64" t="n">
        <f aca="true">IF(OR(B80="",H80="",I80=""),0,IF(TODAY()&lt;H80,0,IF(TODAY()&gt;=I80,100,(TODAY()-H80)/(I80-H80)*100)))</f>
        <v>0</v>
      </c>
      <c r="N80" s="72" t="n">
        <v>0</v>
      </c>
      <c r="O80" s="73"/>
      <c r="P80" s="73"/>
      <c r="Q80" s="67" t="str">
        <f aca="true">IF(B80="","",IF(K80&lt;&gt;"",IF(K80&lt;=I80,"Terminé à temps","Terminé hors délai"),IF(N80=0,IF(TODAY()&lt;H80,"En attente",IF(TODAY()&gt;I80+30,"Critique","En retard")),IF(N80&gt;=M80,"À temps",IF(N80&gt;=M80*0.8,"À surveiller",IF(N80&gt;=M80*0.5,"En retard","Critique"))))))</f>
        <v/>
      </c>
      <c r="R80" s="68" t="n">
        <f aca="false">IFERROR(IF(Q80="Terminé à temps",100,IF(Q80="Terminé hors délai",75,IF(Q80="À temps",50,IF(Q80="À surveiller",40,IF(Q80="En retard",25,IF(Q80="Critique",10,IF(Q80="En attente",50,0))))))),0)</f>
        <v>0</v>
      </c>
      <c r="S80" s="7"/>
      <c r="T80" s="74"/>
      <c r="U80" s="70" t="n">
        <f aca="false">IFERROR(IF(T80="",0,T80*N80/100),0)</f>
        <v>0</v>
      </c>
      <c r="V80" s="7"/>
    </row>
    <row r="81" customFormat="false" ht="21.75" hidden="false" customHeight="true" outlineLevel="0" collapsed="false">
      <c r="B81" s="11"/>
      <c r="C81" s="11"/>
      <c r="D81" s="11"/>
      <c r="E81" s="11"/>
      <c r="F81" s="11"/>
      <c r="G81" s="11"/>
      <c r="H81" s="63"/>
      <c r="I81" s="63"/>
      <c r="J81" s="63"/>
      <c r="K81" s="63"/>
      <c r="L81" s="11"/>
      <c r="M81" s="64" t="n">
        <f aca="true">IF(OR(B81="",H81="",I81=""),0,IF(TODAY()&lt;H81,0,IF(TODAY()&gt;=I81,100,(TODAY()-H81)/(I81-H81)*100)))</f>
        <v>0</v>
      </c>
      <c r="N81" s="65" t="n">
        <v>0</v>
      </c>
      <c r="O81" s="66"/>
      <c r="P81" s="66"/>
      <c r="Q81" s="67" t="str">
        <f aca="true">IF(B81="","",IF(K81&lt;&gt;"",IF(K81&lt;=I81,"Terminé à temps","Terminé hors délai"),IF(N81=0,IF(TODAY()&lt;H81,"En attente",IF(TODAY()&gt;I81+30,"Critique","En retard")),IF(N81&gt;=M81,"À temps",IF(N81&gt;=M81*0.8,"À surveiller",IF(N81&gt;=M81*0.5,"En retard","Critique"))))))</f>
        <v/>
      </c>
      <c r="R81" s="68" t="n">
        <f aca="false">IFERROR(IF(Q81="Terminé à temps",100,IF(Q81="Terminé hors délai",75,IF(Q81="À temps",50,IF(Q81="À surveiller",40,IF(Q81="En retard",25,IF(Q81="Critique",10,IF(Q81="En attente",50,0))))))),0)</f>
        <v>0</v>
      </c>
      <c r="S81" s="11"/>
      <c r="T81" s="69"/>
      <c r="U81" s="70" t="n">
        <f aca="false">IFERROR(IF(T81="",0,T81*N81/100),0)</f>
        <v>0</v>
      </c>
      <c r="V81" s="11"/>
    </row>
    <row r="82" customFormat="false" ht="21.75" hidden="false" customHeight="true" outlineLevel="0" collapsed="false">
      <c r="B82" s="7"/>
      <c r="C82" s="7"/>
      <c r="D82" s="7"/>
      <c r="E82" s="7"/>
      <c r="F82" s="7"/>
      <c r="G82" s="7"/>
      <c r="H82" s="71"/>
      <c r="I82" s="71"/>
      <c r="J82" s="71"/>
      <c r="K82" s="71"/>
      <c r="L82" s="7"/>
      <c r="M82" s="64" t="n">
        <f aca="true">IF(OR(B82="",H82="",I82=""),0,IF(TODAY()&lt;H82,0,IF(TODAY()&gt;=I82,100,(TODAY()-H82)/(I82-H82)*100)))</f>
        <v>0</v>
      </c>
      <c r="N82" s="72" t="n">
        <v>0</v>
      </c>
      <c r="O82" s="73"/>
      <c r="P82" s="73"/>
      <c r="Q82" s="67" t="str">
        <f aca="true">IF(B82="","",IF(K82&lt;&gt;"",IF(K82&lt;=I82,"Terminé à temps","Terminé hors délai"),IF(N82=0,IF(TODAY()&lt;H82,"En attente",IF(TODAY()&gt;I82+30,"Critique","En retard")),IF(N82&gt;=M82,"À temps",IF(N82&gt;=M82*0.8,"À surveiller",IF(N82&gt;=M82*0.5,"En retard","Critique"))))))</f>
        <v/>
      </c>
      <c r="R82" s="68" t="n">
        <f aca="false">IFERROR(IF(Q82="Terminé à temps",100,IF(Q82="Terminé hors délai",75,IF(Q82="À temps",50,IF(Q82="À surveiller",40,IF(Q82="En retard",25,IF(Q82="Critique",10,IF(Q82="En attente",50,0))))))),0)</f>
        <v>0</v>
      </c>
      <c r="S82" s="7"/>
      <c r="T82" s="74"/>
      <c r="U82" s="70" t="n">
        <f aca="false">IFERROR(IF(T82="",0,T82*N82/100),0)</f>
        <v>0</v>
      </c>
      <c r="V82" s="7"/>
    </row>
    <row r="83" customFormat="false" ht="21.75" hidden="false" customHeight="true" outlineLevel="0" collapsed="false">
      <c r="B83" s="11"/>
      <c r="C83" s="11"/>
      <c r="D83" s="11"/>
      <c r="E83" s="11"/>
      <c r="F83" s="11"/>
      <c r="G83" s="11"/>
      <c r="H83" s="63"/>
      <c r="I83" s="63"/>
      <c r="J83" s="63"/>
      <c r="K83" s="63"/>
      <c r="L83" s="11"/>
      <c r="M83" s="64" t="n">
        <f aca="true">IF(OR(B83="",H83="",I83=""),0,IF(TODAY()&lt;H83,0,IF(TODAY()&gt;=I83,100,(TODAY()-H83)/(I83-H83)*100)))</f>
        <v>0</v>
      </c>
      <c r="N83" s="65" t="n">
        <v>0</v>
      </c>
      <c r="O83" s="66"/>
      <c r="P83" s="66"/>
      <c r="Q83" s="67" t="str">
        <f aca="true">IF(B83="","",IF(K83&lt;&gt;"",IF(K83&lt;=I83,"Terminé à temps","Terminé hors délai"),IF(N83=0,IF(TODAY()&lt;H83,"En attente",IF(TODAY()&gt;I83+30,"Critique","En retard")),IF(N83&gt;=M83,"À temps",IF(N83&gt;=M83*0.8,"À surveiller",IF(N83&gt;=M83*0.5,"En retard","Critique"))))))</f>
        <v/>
      </c>
      <c r="R83" s="68" t="n">
        <f aca="false">IFERROR(IF(Q83="Terminé à temps",100,IF(Q83="Terminé hors délai",75,IF(Q83="À temps",50,IF(Q83="À surveiller",40,IF(Q83="En retard",25,IF(Q83="Critique",10,IF(Q83="En attente",50,0))))))),0)</f>
        <v>0</v>
      </c>
      <c r="S83" s="11"/>
      <c r="T83" s="69"/>
      <c r="U83" s="70" t="n">
        <f aca="false">IFERROR(IF(T83="",0,T83*N83/100),0)</f>
        <v>0</v>
      </c>
      <c r="V83" s="11"/>
    </row>
    <row r="84" customFormat="false" ht="21.75" hidden="false" customHeight="true" outlineLevel="0" collapsed="false">
      <c r="B84" s="7"/>
      <c r="C84" s="7"/>
      <c r="D84" s="7"/>
      <c r="E84" s="7"/>
      <c r="F84" s="7"/>
      <c r="G84" s="7"/>
      <c r="H84" s="71"/>
      <c r="I84" s="71"/>
      <c r="J84" s="71"/>
      <c r="K84" s="71"/>
      <c r="L84" s="7"/>
      <c r="M84" s="64" t="n">
        <f aca="true">IF(OR(B84="",H84="",I84=""),0,IF(TODAY()&lt;H84,0,IF(TODAY()&gt;=I84,100,(TODAY()-H84)/(I84-H84)*100)))</f>
        <v>0</v>
      </c>
      <c r="N84" s="72" t="n">
        <v>0</v>
      </c>
      <c r="O84" s="73"/>
      <c r="P84" s="73"/>
      <c r="Q84" s="67" t="str">
        <f aca="true">IF(B84="","",IF(K84&lt;&gt;"",IF(K84&lt;=I84,"Terminé à temps","Terminé hors délai"),IF(N84=0,IF(TODAY()&lt;H84,"En attente",IF(TODAY()&gt;I84+30,"Critique","En retard")),IF(N84&gt;=M84,"À temps",IF(N84&gt;=M84*0.8,"À surveiller",IF(N84&gt;=M84*0.5,"En retard","Critique"))))))</f>
        <v/>
      </c>
      <c r="R84" s="68" t="n">
        <f aca="false">IFERROR(IF(Q84="Terminé à temps",100,IF(Q84="Terminé hors délai",75,IF(Q84="À temps",50,IF(Q84="À surveiller",40,IF(Q84="En retard",25,IF(Q84="Critique",10,IF(Q84="En attente",50,0))))))),0)</f>
        <v>0</v>
      </c>
      <c r="S84" s="7"/>
      <c r="T84" s="74"/>
      <c r="U84" s="70" t="n">
        <f aca="false">IFERROR(IF(T84="",0,T84*N84/100),0)</f>
        <v>0</v>
      </c>
      <c r="V84" s="7"/>
    </row>
    <row r="85" customFormat="false" ht="21.75" hidden="false" customHeight="true" outlineLevel="0" collapsed="false">
      <c r="B85" s="11"/>
      <c r="C85" s="11"/>
      <c r="D85" s="11"/>
      <c r="E85" s="11"/>
      <c r="F85" s="11"/>
      <c r="G85" s="11"/>
      <c r="H85" s="63"/>
      <c r="I85" s="63"/>
      <c r="J85" s="63"/>
      <c r="K85" s="63"/>
      <c r="L85" s="11"/>
      <c r="M85" s="64" t="n">
        <f aca="true">IF(OR(B85="",H85="",I85=""),0,IF(TODAY()&lt;H85,0,IF(TODAY()&gt;=I85,100,(TODAY()-H85)/(I85-H85)*100)))</f>
        <v>0</v>
      </c>
      <c r="N85" s="65" t="n">
        <v>0</v>
      </c>
      <c r="O85" s="66"/>
      <c r="P85" s="66"/>
      <c r="Q85" s="67" t="str">
        <f aca="true">IF(B85="","",IF(K85&lt;&gt;"",IF(K85&lt;=I85,"Terminé à temps","Terminé hors délai"),IF(N85=0,IF(TODAY()&lt;H85,"En attente",IF(TODAY()&gt;I85+30,"Critique","En retard")),IF(N85&gt;=M85,"À temps",IF(N85&gt;=M85*0.8,"À surveiller",IF(N85&gt;=M85*0.5,"En retard","Critique"))))))</f>
        <v/>
      </c>
      <c r="R85" s="68" t="n">
        <f aca="false">IFERROR(IF(Q85="Terminé à temps",100,IF(Q85="Terminé hors délai",75,IF(Q85="À temps",50,IF(Q85="À surveiller",40,IF(Q85="En retard",25,IF(Q85="Critique",10,IF(Q85="En attente",50,0))))))),0)</f>
        <v>0</v>
      </c>
      <c r="S85" s="11"/>
      <c r="T85" s="69"/>
      <c r="U85" s="70" t="n">
        <f aca="false">IFERROR(IF(T85="",0,T85*N85/100),0)</f>
        <v>0</v>
      </c>
      <c r="V85" s="11"/>
    </row>
    <row r="86" customFormat="false" ht="21.75" hidden="false" customHeight="true" outlineLevel="0" collapsed="false">
      <c r="B86" s="7"/>
      <c r="C86" s="7"/>
      <c r="D86" s="7"/>
      <c r="E86" s="7"/>
      <c r="F86" s="7"/>
      <c r="G86" s="7"/>
      <c r="H86" s="71"/>
      <c r="I86" s="71"/>
      <c r="J86" s="71"/>
      <c r="K86" s="71"/>
      <c r="L86" s="7"/>
      <c r="M86" s="64" t="n">
        <f aca="true">IF(OR(B86="",H86="",I86=""),0,IF(TODAY()&lt;H86,0,IF(TODAY()&gt;=I86,100,(TODAY()-H86)/(I86-H86)*100)))</f>
        <v>0</v>
      </c>
      <c r="N86" s="72" t="n">
        <v>0</v>
      </c>
      <c r="O86" s="73"/>
      <c r="P86" s="73"/>
      <c r="Q86" s="67" t="str">
        <f aca="true">IF(B86="","",IF(K86&lt;&gt;"",IF(K86&lt;=I86,"Terminé à temps","Terminé hors délai"),IF(N86=0,IF(TODAY()&lt;H86,"En attente",IF(TODAY()&gt;I86+30,"Critique","En retard")),IF(N86&gt;=M86,"À temps",IF(N86&gt;=M86*0.8,"À surveiller",IF(N86&gt;=M86*0.5,"En retard","Critique"))))))</f>
        <v/>
      </c>
      <c r="R86" s="68" t="n">
        <f aca="false">IFERROR(IF(Q86="Terminé à temps",100,IF(Q86="Terminé hors délai",75,IF(Q86="À temps",50,IF(Q86="À surveiller",40,IF(Q86="En retard",25,IF(Q86="Critique",10,IF(Q86="En attente",50,0))))))),0)</f>
        <v>0</v>
      </c>
      <c r="S86" s="7"/>
      <c r="T86" s="74"/>
      <c r="U86" s="70" t="n">
        <f aca="false">IFERROR(IF(T86="",0,T86*N86/100),0)</f>
        <v>0</v>
      </c>
      <c r="V86" s="7"/>
    </row>
    <row r="87" customFormat="false" ht="21.75" hidden="false" customHeight="true" outlineLevel="0" collapsed="false">
      <c r="B87" s="11"/>
      <c r="C87" s="11"/>
      <c r="D87" s="11"/>
      <c r="E87" s="11"/>
      <c r="F87" s="11"/>
      <c r="G87" s="11"/>
      <c r="H87" s="63"/>
      <c r="I87" s="63"/>
      <c r="J87" s="63"/>
      <c r="K87" s="63"/>
      <c r="L87" s="11"/>
      <c r="M87" s="64" t="n">
        <f aca="true">IF(OR(B87="",H87="",I87=""),0,IF(TODAY()&lt;H87,0,IF(TODAY()&gt;=I87,100,(TODAY()-H87)/(I87-H87)*100)))</f>
        <v>0</v>
      </c>
      <c r="N87" s="65" t="n">
        <v>0</v>
      </c>
      <c r="O87" s="66"/>
      <c r="P87" s="66"/>
      <c r="Q87" s="67" t="str">
        <f aca="true">IF(B87="","",IF(K87&lt;&gt;"",IF(K87&lt;=I87,"Terminé à temps","Terminé hors délai"),IF(N87=0,IF(TODAY()&lt;H87,"En attente",IF(TODAY()&gt;I87+30,"Critique","En retard")),IF(N87&gt;=M87,"À temps",IF(N87&gt;=M87*0.8,"À surveiller",IF(N87&gt;=M87*0.5,"En retard","Critique"))))))</f>
        <v/>
      </c>
      <c r="R87" s="68" t="n">
        <f aca="false">IFERROR(IF(Q87="Terminé à temps",100,IF(Q87="Terminé hors délai",75,IF(Q87="À temps",50,IF(Q87="À surveiller",40,IF(Q87="En retard",25,IF(Q87="Critique",10,IF(Q87="En attente",50,0))))))),0)</f>
        <v>0</v>
      </c>
      <c r="S87" s="11"/>
      <c r="T87" s="69"/>
      <c r="U87" s="70" t="n">
        <f aca="false">IFERROR(IF(T87="",0,T87*N87/100),0)</f>
        <v>0</v>
      </c>
      <c r="V87" s="11"/>
    </row>
    <row r="88" customFormat="false" ht="21.75" hidden="false" customHeight="true" outlineLevel="0" collapsed="false">
      <c r="B88" s="7"/>
      <c r="C88" s="7"/>
      <c r="D88" s="7"/>
      <c r="E88" s="7"/>
      <c r="F88" s="7"/>
      <c r="G88" s="7"/>
      <c r="H88" s="71"/>
      <c r="I88" s="71"/>
      <c r="J88" s="71"/>
      <c r="K88" s="71"/>
      <c r="L88" s="7"/>
      <c r="M88" s="64" t="n">
        <f aca="true">IF(OR(B88="",H88="",I88=""),0,IF(TODAY()&lt;H88,0,IF(TODAY()&gt;=I88,100,(TODAY()-H88)/(I88-H88)*100)))</f>
        <v>0</v>
      </c>
      <c r="N88" s="72" t="n">
        <v>0</v>
      </c>
      <c r="O88" s="73"/>
      <c r="P88" s="73"/>
      <c r="Q88" s="67" t="str">
        <f aca="true">IF(B88="","",IF(K88&lt;&gt;"",IF(K88&lt;=I88,"Terminé à temps","Terminé hors délai"),IF(N88=0,IF(TODAY()&lt;H88,"En attente",IF(TODAY()&gt;I88+30,"Critique","En retard")),IF(N88&gt;=M88,"À temps",IF(N88&gt;=M88*0.8,"À surveiller",IF(N88&gt;=M88*0.5,"En retard","Critique"))))))</f>
        <v/>
      </c>
      <c r="R88" s="68" t="n">
        <f aca="false">IFERROR(IF(Q88="Terminé à temps",100,IF(Q88="Terminé hors délai",75,IF(Q88="À temps",50,IF(Q88="À surveiller",40,IF(Q88="En retard",25,IF(Q88="Critique",10,IF(Q88="En attente",50,0))))))),0)</f>
        <v>0</v>
      </c>
      <c r="S88" s="7"/>
      <c r="T88" s="74"/>
      <c r="U88" s="70" t="n">
        <f aca="false">IFERROR(IF(T88="",0,T88*N88/100),0)</f>
        <v>0</v>
      </c>
      <c r="V88" s="7"/>
    </row>
    <row r="89" customFormat="false" ht="21.75" hidden="false" customHeight="true" outlineLevel="0" collapsed="false">
      <c r="B89" s="11"/>
      <c r="C89" s="11"/>
      <c r="D89" s="11"/>
      <c r="E89" s="11"/>
      <c r="F89" s="11"/>
      <c r="G89" s="11"/>
      <c r="H89" s="63"/>
      <c r="I89" s="63"/>
      <c r="J89" s="63"/>
      <c r="K89" s="63"/>
      <c r="L89" s="11"/>
      <c r="M89" s="64" t="n">
        <f aca="true">IF(OR(B89="",H89="",I89=""),0,IF(TODAY()&lt;H89,0,IF(TODAY()&gt;=I89,100,(TODAY()-H89)/(I89-H89)*100)))</f>
        <v>0</v>
      </c>
      <c r="N89" s="65" t="n">
        <v>0</v>
      </c>
      <c r="O89" s="66"/>
      <c r="P89" s="66"/>
      <c r="Q89" s="67" t="str">
        <f aca="true">IF(B89="","",IF(K89&lt;&gt;"",IF(K89&lt;=I89,"Terminé à temps","Terminé hors délai"),IF(N89=0,IF(TODAY()&lt;H89,"En attente",IF(TODAY()&gt;I89+30,"Critique","En retard")),IF(N89&gt;=M89,"À temps",IF(N89&gt;=M89*0.8,"À surveiller",IF(N89&gt;=M89*0.5,"En retard","Critique"))))))</f>
        <v/>
      </c>
      <c r="R89" s="68" t="n">
        <f aca="false">IFERROR(IF(Q89="Terminé à temps",100,IF(Q89="Terminé hors délai",75,IF(Q89="À temps",50,IF(Q89="À surveiller",40,IF(Q89="En retard",25,IF(Q89="Critique",10,IF(Q89="En attente",50,0))))))),0)</f>
        <v>0</v>
      </c>
      <c r="S89" s="11"/>
      <c r="T89" s="69"/>
      <c r="U89" s="70" t="n">
        <f aca="false">IFERROR(IF(T89="",0,T89*N89/100),0)</f>
        <v>0</v>
      </c>
      <c r="V89" s="11"/>
    </row>
    <row r="90" customFormat="false" ht="21.75" hidden="false" customHeight="true" outlineLevel="0" collapsed="false">
      <c r="B90" s="7"/>
      <c r="C90" s="7"/>
      <c r="D90" s="7"/>
      <c r="E90" s="7"/>
      <c r="F90" s="7"/>
      <c r="G90" s="7"/>
      <c r="H90" s="71"/>
      <c r="I90" s="71"/>
      <c r="J90" s="71"/>
      <c r="K90" s="71"/>
      <c r="L90" s="7"/>
      <c r="M90" s="64" t="n">
        <f aca="true">IF(OR(B90="",H90="",I90=""),0,IF(TODAY()&lt;H90,0,IF(TODAY()&gt;=I90,100,(TODAY()-H90)/(I90-H90)*100)))</f>
        <v>0</v>
      </c>
      <c r="N90" s="72" t="n">
        <v>0</v>
      </c>
      <c r="O90" s="73"/>
      <c r="P90" s="73"/>
      <c r="Q90" s="67" t="str">
        <f aca="true">IF(B90="","",IF(K90&lt;&gt;"",IF(K90&lt;=I90,"Terminé à temps","Terminé hors délai"),IF(N90=0,IF(TODAY()&lt;H90,"En attente",IF(TODAY()&gt;I90+30,"Critique","En retard")),IF(N90&gt;=M90,"À temps",IF(N90&gt;=M90*0.8,"À surveiller",IF(N90&gt;=M90*0.5,"En retard","Critique"))))))</f>
        <v/>
      </c>
      <c r="R90" s="68" t="n">
        <f aca="false">IFERROR(IF(Q90="Terminé à temps",100,IF(Q90="Terminé hors délai",75,IF(Q90="À temps",50,IF(Q90="À surveiller",40,IF(Q90="En retard",25,IF(Q90="Critique",10,IF(Q90="En attente",50,0))))))),0)</f>
        <v>0</v>
      </c>
      <c r="S90" s="7"/>
      <c r="T90" s="74"/>
      <c r="U90" s="70" t="n">
        <f aca="false">IFERROR(IF(T90="",0,T90*N90/100),0)</f>
        <v>0</v>
      </c>
      <c r="V90" s="7"/>
    </row>
    <row r="91" customFormat="false" ht="21.75" hidden="false" customHeight="true" outlineLevel="0" collapsed="false">
      <c r="B91" s="11"/>
      <c r="C91" s="11"/>
      <c r="D91" s="11"/>
      <c r="E91" s="11"/>
      <c r="F91" s="11"/>
      <c r="G91" s="11"/>
      <c r="H91" s="63"/>
      <c r="I91" s="63"/>
      <c r="J91" s="63"/>
      <c r="K91" s="63"/>
      <c r="L91" s="11"/>
      <c r="M91" s="64" t="n">
        <f aca="true">IF(OR(B91="",H91="",I91=""),0,IF(TODAY()&lt;H91,0,IF(TODAY()&gt;=I91,100,(TODAY()-H91)/(I91-H91)*100)))</f>
        <v>0</v>
      </c>
      <c r="N91" s="65" t="n">
        <v>0</v>
      </c>
      <c r="O91" s="66"/>
      <c r="P91" s="66"/>
      <c r="Q91" s="67" t="str">
        <f aca="true">IF(B91="","",IF(K91&lt;&gt;"",IF(K91&lt;=I91,"Terminé à temps","Terminé hors délai"),IF(N91=0,IF(TODAY()&lt;H91,"En attente",IF(TODAY()&gt;I91+30,"Critique","En retard")),IF(N91&gt;=M91,"À temps",IF(N91&gt;=M91*0.8,"À surveiller",IF(N91&gt;=M91*0.5,"En retard","Critique"))))))</f>
        <v/>
      </c>
      <c r="R91" s="68" t="n">
        <f aca="false">IFERROR(IF(Q91="Terminé à temps",100,IF(Q91="Terminé hors délai",75,IF(Q91="À temps",50,IF(Q91="À surveiller",40,IF(Q91="En retard",25,IF(Q91="Critique",10,IF(Q91="En attente",50,0))))))),0)</f>
        <v>0</v>
      </c>
      <c r="S91" s="11"/>
      <c r="T91" s="69"/>
      <c r="U91" s="70" t="n">
        <f aca="false">IFERROR(IF(T91="",0,T91*N91/100),0)</f>
        <v>0</v>
      </c>
      <c r="V91" s="11"/>
    </row>
    <row r="92" customFormat="false" ht="21.75" hidden="false" customHeight="true" outlineLevel="0" collapsed="false">
      <c r="B92" s="7"/>
      <c r="C92" s="7"/>
      <c r="D92" s="7"/>
      <c r="E92" s="7"/>
      <c r="F92" s="7"/>
      <c r="G92" s="7"/>
      <c r="H92" s="71"/>
      <c r="I92" s="71"/>
      <c r="J92" s="71"/>
      <c r="K92" s="71"/>
      <c r="L92" s="7"/>
      <c r="M92" s="64" t="n">
        <f aca="true">IF(OR(B92="",H92="",I92=""),0,IF(TODAY()&lt;H92,0,IF(TODAY()&gt;=I92,100,(TODAY()-H92)/(I92-H92)*100)))</f>
        <v>0</v>
      </c>
      <c r="N92" s="72" t="n">
        <v>0</v>
      </c>
      <c r="O92" s="73"/>
      <c r="P92" s="73"/>
      <c r="Q92" s="67" t="str">
        <f aca="true">IF(B92="","",IF(K92&lt;&gt;"",IF(K92&lt;=I92,"Terminé à temps","Terminé hors délai"),IF(N92=0,IF(TODAY()&lt;H92,"En attente",IF(TODAY()&gt;I92+30,"Critique","En retard")),IF(N92&gt;=M92,"À temps",IF(N92&gt;=M92*0.8,"À surveiller",IF(N92&gt;=M92*0.5,"En retard","Critique"))))))</f>
        <v/>
      </c>
      <c r="R92" s="68" t="n">
        <f aca="false">IFERROR(IF(Q92="Terminé à temps",100,IF(Q92="Terminé hors délai",75,IF(Q92="À temps",50,IF(Q92="À surveiller",40,IF(Q92="En retard",25,IF(Q92="Critique",10,IF(Q92="En attente",50,0))))))),0)</f>
        <v>0</v>
      </c>
      <c r="S92" s="7"/>
      <c r="T92" s="74"/>
      <c r="U92" s="70" t="n">
        <f aca="false">IFERROR(IF(T92="",0,T92*N92/100),0)</f>
        <v>0</v>
      </c>
      <c r="V92" s="7"/>
    </row>
    <row r="93" customFormat="false" ht="21.75" hidden="false" customHeight="true" outlineLevel="0" collapsed="false">
      <c r="B93" s="11"/>
      <c r="C93" s="11"/>
      <c r="D93" s="11"/>
      <c r="E93" s="11"/>
      <c r="F93" s="11"/>
      <c r="G93" s="11"/>
      <c r="H93" s="63"/>
      <c r="I93" s="63"/>
      <c r="J93" s="63"/>
      <c r="K93" s="63"/>
      <c r="L93" s="11"/>
      <c r="M93" s="64" t="n">
        <f aca="true">IF(OR(B93="",H93="",I93=""),0,IF(TODAY()&lt;H93,0,IF(TODAY()&gt;=I93,100,(TODAY()-H93)/(I93-H93)*100)))</f>
        <v>0</v>
      </c>
      <c r="N93" s="65" t="n">
        <v>0</v>
      </c>
      <c r="O93" s="66"/>
      <c r="P93" s="66"/>
      <c r="Q93" s="67" t="str">
        <f aca="true">IF(B93="","",IF(K93&lt;&gt;"",IF(K93&lt;=I93,"Terminé à temps","Terminé hors délai"),IF(N93=0,IF(TODAY()&lt;H93,"En attente",IF(TODAY()&gt;I93+30,"Critique","En retard")),IF(N93&gt;=M93,"À temps",IF(N93&gt;=M93*0.8,"À surveiller",IF(N93&gt;=M93*0.5,"En retard","Critique"))))))</f>
        <v/>
      </c>
      <c r="R93" s="68" t="n">
        <f aca="false">IFERROR(IF(Q93="Terminé à temps",100,IF(Q93="Terminé hors délai",75,IF(Q93="À temps",50,IF(Q93="À surveiller",40,IF(Q93="En retard",25,IF(Q93="Critique",10,IF(Q93="En attente",50,0))))))),0)</f>
        <v>0</v>
      </c>
      <c r="S93" s="11"/>
      <c r="T93" s="69"/>
      <c r="U93" s="70" t="n">
        <f aca="false">IFERROR(IF(T93="",0,T93*N93/100),0)</f>
        <v>0</v>
      </c>
      <c r="V93" s="11"/>
    </row>
    <row r="94" customFormat="false" ht="21.75" hidden="false" customHeight="true" outlineLevel="0" collapsed="false">
      <c r="B94" s="7"/>
      <c r="C94" s="7"/>
      <c r="D94" s="7"/>
      <c r="E94" s="7"/>
      <c r="F94" s="7"/>
      <c r="G94" s="7"/>
      <c r="H94" s="71"/>
      <c r="I94" s="71"/>
      <c r="J94" s="71"/>
      <c r="K94" s="71"/>
      <c r="L94" s="7"/>
      <c r="M94" s="64" t="n">
        <f aca="true">IF(OR(B94="",H94="",I94=""),0,IF(TODAY()&lt;H94,0,IF(TODAY()&gt;=I94,100,(TODAY()-H94)/(I94-H94)*100)))</f>
        <v>0</v>
      </c>
      <c r="N94" s="72" t="n">
        <v>0</v>
      </c>
      <c r="O94" s="73"/>
      <c r="P94" s="73"/>
      <c r="Q94" s="67" t="str">
        <f aca="true">IF(B94="","",IF(K94&lt;&gt;"",IF(K94&lt;=I94,"Terminé à temps","Terminé hors délai"),IF(N94=0,IF(TODAY()&lt;H94,"En attente",IF(TODAY()&gt;I94+30,"Critique","En retard")),IF(N94&gt;=M94,"À temps",IF(N94&gt;=M94*0.8,"À surveiller",IF(N94&gt;=M94*0.5,"En retard","Critique"))))))</f>
        <v/>
      </c>
      <c r="R94" s="68" t="n">
        <f aca="false">IFERROR(IF(Q94="Terminé à temps",100,IF(Q94="Terminé hors délai",75,IF(Q94="À temps",50,IF(Q94="À surveiller",40,IF(Q94="En retard",25,IF(Q94="Critique",10,IF(Q94="En attente",50,0))))))),0)</f>
        <v>0</v>
      </c>
      <c r="S94" s="7"/>
      <c r="T94" s="74"/>
      <c r="U94" s="70" t="n">
        <f aca="false">IFERROR(IF(T94="",0,T94*N94/100),0)</f>
        <v>0</v>
      </c>
      <c r="V94" s="7"/>
    </row>
    <row r="95" customFormat="false" ht="21.75" hidden="false" customHeight="true" outlineLevel="0" collapsed="false">
      <c r="B95" s="11"/>
      <c r="C95" s="11"/>
      <c r="D95" s="11"/>
      <c r="E95" s="11"/>
      <c r="F95" s="11"/>
      <c r="G95" s="11"/>
      <c r="H95" s="63"/>
      <c r="I95" s="63"/>
      <c r="J95" s="63"/>
      <c r="K95" s="63"/>
      <c r="L95" s="11"/>
      <c r="M95" s="64" t="n">
        <f aca="true">IF(OR(B95="",H95="",I95=""),0,IF(TODAY()&lt;H95,0,IF(TODAY()&gt;=I95,100,(TODAY()-H95)/(I95-H95)*100)))</f>
        <v>0</v>
      </c>
      <c r="N95" s="65" t="n">
        <v>0</v>
      </c>
      <c r="O95" s="66"/>
      <c r="P95" s="66"/>
      <c r="Q95" s="67" t="str">
        <f aca="true">IF(B95="","",IF(K95&lt;&gt;"",IF(K95&lt;=I95,"Terminé à temps","Terminé hors délai"),IF(N95=0,IF(TODAY()&lt;H95,"En attente",IF(TODAY()&gt;I95+30,"Critique","En retard")),IF(N95&gt;=M95,"À temps",IF(N95&gt;=M95*0.8,"À surveiller",IF(N95&gt;=M95*0.5,"En retard","Critique"))))))</f>
        <v/>
      </c>
      <c r="R95" s="68" t="n">
        <f aca="false">IFERROR(IF(Q95="Terminé à temps",100,IF(Q95="Terminé hors délai",75,IF(Q95="À temps",50,IF(Q95="À surveiller",40,IF(Q95="En retard",25,IF(Q95="Critique",10,IF(Q95="En attente",50,0))))))),0)</f>
        <v>0</v>
      </c>
      <c r="S95" s="11"/>
      <c r="T95" s="69"/>
      <c r="U95" s="70" t="n">
        <f aca="false">IFERROR(IF(T95="",0,T95*N95/100),0)</f>
        <v>0</v>
      </c>
      <c r="V95" s="11"/>
    </row>
    <row r="96" customFormat="false" ht="21.75" hidden="false" customHeight="true" outlineLevel="0" collapsed="false">
      <c r="B96" s="7"/>
      <c r="C96" s="7"/>
      <c r="D96" s="7"/>
      <c r="E96" s="7"/>
      <c r="F96" s="7"/>
      <c r="G96" s="7"/>
      <c r="H96" s="71"/>
      <c r="I96" s="71"/>
      <c r="J96" s="71"/>
      <c r="K96" s="71"/>
      <c r="L96" s="7"/>
      <c r="M96" s="64" t="n">
        <f aca="true">IF(OR(B96="",H96="",I96=""),0,IF(TODAY()&lt;H96,0,IF(TODAY()&gt;=I96,100,(TODAY()-H96)/(I96-H96)*100)))</f>
        <v>0</v>
      </c>
      <c r="N96" s="72" t="n">
        <v>0</v>
      </c>
      <c r="O96" s="73"/>
      <c r="P96" s="73"/>
      <c r="Q96" s="67" t="str">
        <f aca="true">IF(B96="","",IF(K96&lt;&gt;"",IF(K96&lt;=I96,"Terminé à temps","Terminé hors délai"),IF(N96=0,IF(TODAY()&lt;H96,"En attente",IF(TODAY()&gt;I96+30,"Critique","En retard")),IF(N96&gt;=M96,"À temps",IF(N96&gt;=M96*0.8,"À surveiller",IF(N96&gt;=M96*0.5,"En retard","Critique"))))))</f>
        <v/>
      </c>
      <c r="R96" s="68" t="n">
        <f aca="false">IFERROR(IF(Q96="Terminé à temps",100,IF(Q96="Terminé hors délai",75,IF(Q96="À temps",50,IF(Q96="À surveiller",40,IF(Q96="En retard",25,IF(Q96="Critique",10,IF(Q96="En attente",50,0))))))),0)</f>
        <v>0</v>
      </c>
      <c r="S96" s="7"/>
      <c r="T96" s="74"/>
      <c r="U96" s="70" t="n">
        <f aca="false">IFERROR(IF(T96="",0,T96*N96/100),0)</f>
        <v>0</v>
      </c>
      <c r="V96" s="7"/>
    </row>
    <row r="97" customFormat="false" ht="21.75" hidden="false" customHeight="true" outlineLevel="0" collapsed="false">
      <c r="B97" s="11"/>
      <c r="C97" s="11"/>
      <c r="D97" s="11"/>
      <c r="E97" s="11"/>
      <c r="F97" s="11"/>
      <c r="G97" s="11"/>
      <c r="H97" s="63"/>
      <c r="I97" s="63"/>
      <c r="J97" s="63"/>
      <c r="K97" s="63"/>
      <c r="L97" s="11"/>
      <c r="M97" s="64" t="n">
        <f aca="true">IF(OR(B97="",H97="",I97=""),0,IF(TODAY()&lt;H97,0,IF(TODAY()&gt;=I97,100,(TODAY()-H97)/(I97-H97)*100)))</f>
        <v>0</v>
      </c>
      <c r="N97" s="65" t="n">
        <v>0</v>
      </c>
      <c r="O97" s="66"/>
      <c r="P97" s="66"/>
      <c r="Q97" s="67" t="str">
        <f aca="true">IF(B97="","",IF(K97&lt;&gt;"",IF(K97&lt;=I97,"Terminé à temps","Terminé hors délai"),IF(N97=0,IF(TODAY()&lt;H97,"En attente",IF(TODAY()&gt;I97+30,"Critique","En retard")),IF(N97&gt;=M97,"À temps",IF(N97&gt;=M97*0.8,"À surveiller",IF(N97&gt;=M97*0.5,"En retard","Critique"))))))</f>
        <v/>
      </c>
      <c r="R97" s="68" t="n">
        <f aca="false">IFERROR(IF(Q97="Terminé à temps",100,IF(Q97="Terminé hors délai",75,IF(Q97="À temps",50,IF(Q97="À surveiller",40,IF(Q97="En retard",25,IF(Q97="Critique",10,IF(Q97="En attente",50,0))))))),0)</f>
        <v>0</v>
      </c>
      <c r="S97" s="11"/>
      <c r="T97" s="69"/>
      <c r="U97" s="70" t="n">
        <f aca="false">IFERROR(IF(T97="",0,T97*N97/100),0)</f>
        <v>0</v>
      </c>
      <c r="V97" s="11"/>
    </row>
    <row r="98" customFormat="false" ht="21.75" hidden="false" customHeight="true" outlineLevel="0" collapsed="false">
      <c r="B98" s="7"/>
      <c r="C98" s="7"/>
      <c r="D98" s="7"/>
      <c r="E98" s="7"/>
      <c r="F98" s="7"/>
      <c r="G98" s="7"/>
      <c r="H98" s="71"/>
      <c r="I98" s="71"/>
      <c r="J98" s="71"/>
      <c r="K98" s="71"/>
      <c r="L98" s="7"/>
      <c r="M98" s="64" t="n">
        <f aca="true">IF(OR(B98="",H98="",I98=""),0,IF(TODAY()&lt;H98,0,IF(TODAY()&gt;=I98,100,(TODAY()-H98)/(I98-H98)*100)))</f>
        <v>0</v>
      </c>
      <c r="N98" s="72" t="n">
        <v>0</v>
      </c>
      <c r="O98" s="73"/>
      <c r="P98" s="73"/>
      <c r="Q98" s="67" t="str">
        <f aca="true">IF(B98="","",IF(K98&lt;&gt;"",IF(K98&lt;=I98,"Terminé à temps","Terminé hors délai"),IF(N98=0,IF(TODAY()&lt;H98,"En attente",IF(TODAY()&gt;I98+30,"Critique","En retard")),IF(N98&gt;=M98,"À temps",IF(N98&gt;=M98*0.8,"À surveiller",IF(N98&gt;=M98*0.5,"En retard","Critique"))))))</f>
        <v/>
      </c>
      <c r="R98" s="68" t="n">
        <f aca="false">IFERROR(IF(Q98="Terminé à temps",100,IF(Q98="Terminé hors délai",75,IF(Q98="À temps",50,IF(Q98="À surveiller",40,IF(Q98="En retard",25,IF(Q98="Critique",10,IF(Q98="En attente",50,0))))))),0)</f>
        <v>0</v>
      </c>
      <c r="S98" s="7"/>
      <c r="T98" s="74"/>
      <c r="U98" s="70" t="n">
        <f aca="false">IFERROR(IF(T98="",0,T98*N98/100),0)</f>
        <v>0</v>
      </c>
      <c r="V98" s="7"/>
    </row>
    <row r="99" customFormat="false" ht="21.75" hidden="false" customHeight="true" outlineLevel="0" collapsed="false">
      <c r="B99" s="11"/>
      <c r="C99" s="11"/>
      <c r="D99" s="11"/>
      <c r="E99" s="11"/>
      <c r="F99" s="11"/>
      <c r="G99" s="11"/>
      <c r="H99" s="63"/>
      <c r="I99" s="63"/>
      <c r="J99" s="63"/>
      <c r="K99" s="63"/>
      <c r="L99" s="11"/>
      <c r="M99" s="64" t="n">
        <f aca="true">IF(OR(B99="",H99="",I99=""),0,IF(TODAY()&lt;H99,0,IF(TODAY()&gt;=I99,100,(TODAY()-H99)/(I99-H99)*100)))</f>
        <v>0</v>
      </c>
      <c r="N99" s="65" t="n">
        <v>0</v>
      </c>
      <c r="O99" s="66"/>
      <c r="P99" s="66"/>
      <c r="Q99" s="67" t="str">
        <f aca="true">IF(B99="","",IF(K99&lt;&gt;"",IF(K99&lt;=I99,"Terminé à temps","Terminé hors délai"),IF(N99=0,IF(TODAY()&lt;H99,"En attente",IF(TODAY()&gt;I99+30,"Critique","En retard")),IF(N99&gt;=M99,"À temps",IF(N99&gt;=M99*0.8,"À surveiller",IF(N99&gt;=M99*0.5,"En retard","Critique"))))))</f>
        <v/>
      </c>
      <c r="R99" s="68" t="n">
        <f aca="false">IFERROR(IF(Q99="Terminé à temps",100,IF(Q99="Terminé hors délai",75,IF(Q99="À temps",50,IF(Q99="À surveiller",40,IF(Q99="En retard",25,IF(Q99="Critique",10,IF(Q99="En attente",50,0))))))),0)</f>
        <v>0</v>
      </c>
      <c r="S99" s="11"/>
      <c r="T99" s="69"/>
      <c r="U99" s="70" t="n">
        <f aca="false">IFERROR(IF(T99="",0,T99*N99/100),0)</f>
        <v>0</v>
      </c>
      <c r="V99" s="11"/>
    </row>
    <row r="100" customFormat="false" ht="21.75" hidden="false" customHeight="true" outlineLevel="0" collapsed="false">
      <c r="B100" s="7"/>
      <c r="C100" s="7"/>
      <c r="D100" s="7"/>
      <c r="E100" s="7"/>
      <c r="F100" s="7"/>
      <c r="G100" s="7"/>
      <c r="H100" s="71"/>
      <c r="I100" s="71"/>
      <c r="J100" s="71"/>
      <c r="K100" s="71"/>
      <c r="L100" s="7"/>
      <c r="M100" s="64" t="n">
        <f aca="true">IF(OR(B100="",H100="",I100=""),0,IF(TODAY()&lt;H100,0,IF(TODAY()&gt;=I100,100,(TODAY()-H100)/(I100-H100)*100)))</f>
        <v>0</v>
      </c>
      <c r="N100" s="72" t="n">
        <v>0</v>
      </c>
      <c r="O100" s="73"/>
      <c r="P100" s="73"/>
      <c r="Q100" s="67" t="str">
        <f aca="true">IF(B100="","",IF(K100&lt;&gt;"",IF(K100&lt;=I100,"Terminé à temps","Terminé hors délai"),IF(N100=0,IF(TODAY()&lt;H100,"En attente",IF(TODAY()&gt;I100+30,"Critique","En retard")),IF(N100&gt;=M100,"À temps",IF(N100&gt;=M100*0.8,"À surveiller",IF(N100&gt;=M100*0.5,"En retard","Critique"))))))</f>
        <v/>
      </c>
      <c r="R100" s="68" t="n">
        <f aca="false">IFERROR(IF(Q100="Terminé à temps",100,IF(Q100="Terminé hors délai",75,IF(Q100="À temps",50,IF(Q100="À surveiller",40,IF(Q100="En retard",25,IF(Q100="Critique",10,IF(Q100="En attente",50,0))))))),0)</f>
        <v>0</v>
      </c>
      <c r="S100" s="7"/>
      <c r="T100" s="74"/>
      <c r="U100" s="70" t="n">
        <f aca="false">IFERROR(IF(T100="",0,T100*N100/100),0)</f>
        <v>0</v>
      </c>
      <c r="V100" s="7"/>
    </row>
    <row r="101" customFormat="false" ht="21.75" hidden="false" customHeight="true" outlineLevel="0" collapsed="false">
      <c r="B101" s="11"/>
      <c r="C101" s="11"/>
      <c r="D101" s="11"/>
      <c r="E101" s="11"/>
      <c r="F101" s="11"/>
      <c r="G101" s="11"/>
      <c r="H101" s="63"/>
      <c r="I101" s="63"/>
      <c r="J101" s="63"/>
      <c r="K101" s="63"/>
      <c r="L101" s="11"/>
      <c r="M101" s="64" t="n">
        <f aca="true">IF(OR(B101="",H101="",I101=""),0,IF(TODAY()&lt;H101,0,IF(TODAY()&gt;=I101,100,(TODAY()-H101)/(I101-H101)*100)))</f>
        <v>0</v>
      </c>
      <c r="N101" s="65" t="n">
        <v>0</v>
      </c>
      <c r="O101" s="66"/>
      <c r="P101" s="66"/>
      <c r="Q101" s="67" t="str">
        <f aca="true">IF(B101="","",IF(K101&lt;&gt;"",IF(K101&lt;=I101,"Terminé à temps","Terminé hors délai"),IF(N101=0,IF(TODAY()&lt;H101,"En attente",IF(TODAY()&gt;I101+30,"Critique","En retard")),IF(N101&gt;=M101,"À temps",IF(N101&gt;=M101*0.8,"À surveiller",IF(N101&gt;=M101*0.5,"En retard","Critique"))))))</f>
        <v/>
      </c>
      <c r="R101" s="68" t="n">
        <f aca="false">IFERROR(IF(Q101="Terminé à temps",100,IF(Q101="Terminé hors délai",75,IF(Q101="À temps",50,IF(Q101="À surveiller",40,IF(Q101="En retard",25,IF(Q101="Critique",10,IF(Q101="En attente",50,0))))))),0)</f>
        <v>0</v>
      </c>
      <c r="S101" s="11"/>
      <c r="T101" s="69"/>
      <c r="U101" s="70" t="n">
        <f aca="false">IFERROR(IF(T101="",0,T101*N101/100),0)</f>
        <v>0</v>
      </c>
      <c r="V101" s="11"/>
    </row>
    <row r="102" customFormat="false" ht="21.75" hidden="false" customHeight="true" outlineLevel="0" collapsed="false">
      <c r="B102" s="7"/>
      <c r="C102" s="7"/>
      <c r="D102" s="7"/>
      <c r="E102" s="7"/>
      <c r="F102" s="7"/>
      <c r="G102" s="7"/>
      <c r="H102" s="71"/>
      <c r="I102" s="71"/>
      <c r="J102" s="71"/>
      <c r="K102" s="71"/>
      <c r="L102" s="7"/>
      <c r="M102" s="64" t="n">
        <f aca="true">IF(OR(B102="",H102="",I102=""),0,IF(TODAY()&lt;H102,0,IF(TODAY()&gt;=I102,100,(TODAY()-H102)/(I102-H102)*100)))</f>
        <v>0</v>
      </c>
      <c r="N102" s="72" t="n">
        <v>0</v>
      </c>
      <c r="O102" s="73"/>
      <c r="P102" s="73"/>
      <c r="Q102" s="67" t="str">
        <f aca="true">IF(B102="","",IF(K102&lt;&gt;"",IF(K102&lt;=I102,"Terminé à temps","Terminé hors délai"),IF(N102=0,IF(TODAY()&lt;H102,"En attente",IF(TODAY()&gt;I102+30,"Critique","En retard")),IF(N102&gt;=M102,"À temps",IF(N102&gt;=M102*0.8,"À surveiller",IF(N102&gt;=M102*0.5,"En retard","Critique"))))))</f>
        <v/>
      </c>
      <c r="R102" s="68" t="n">
        <f aca="false">IFERROR(IF(Q102="Terminé à temps",100,IF(Q102="Terminé hors délai",75,IF(Q102="À temps",50,IF(Q102="À surveiller",40,IF(Q102="En retard",25,IF(Q102="Critique",10,IF(Q102="En attente",50,0))))))),0)</f>
        <v>0</v>
      </c>
      <c r="S102" s="7"/>
      <c r="T102" s="74"/>
      <c r="U102" s="70" t="n">
        <f aca="false">IFERROR(IF(T102="",0,T102*N102/100),0)</f>
        <v>0</v>
      </c>
      <c r="V102" s="7"/>
    </row>
    <row r="103" customFormat="false" ht="21.75" hidden="false" customHeight="true" outlineLevel="0" collapsed="false">
      <c r="B103" s="11"/>
      <c r="C103" s="11"/>
      <c r="D103" s="11"/>
      <c r="E103" s="11"/>
      <c r="F103" s="11"/>
      <c r="G103" s="11"/>
      <c r="H103" s="63"/>
      <c r="I103" s="63"/>
      <c r="J103" s="63"/>
      <c r="K103" s="63"/>
      <c r="L103" s="11"/>
      <c r="M103" s="64" t="n">
        <f aca="true">IF(OR(B103="",H103="",I103=""),0,IF(TODAY()&lt;H103,0,IF(TODAY()&gt;=I103,100,(TODAY()-H103)/(I103-H103)*100)))</f>
        <v>0</v>
      </c>
      <c r="N103" s="65" t="n">
        <v>0</v>
      </c>
      <c r="O103" s="66"/>
      <c r="P103" s="66"/>
      <c r="Q103" s="67" t="str">
        <f aca="true">IF(B103="","",IF(K103&lt;&gt;"",IF(K103&lt;=I103,"Terminé à temps","Terminé hors délai"),IF(N103=0,IF(TODAY()&lt;H103,"En attente",IF(TODAY()&gt;I103+30,"Critique","En retard")),IF(N103&gt;=M103,"À temps",IF(N103&gt;=M103*0.8,"À surveiller",IF(N103&gt;=M103*0.5,"En retard","Critique"))))))</f>
        <v/>
      </c>
      <c r="R103" s="68" t="n">
        <f aca="false">IFERROR(IF(Q103="Terminé à temps",100,IF(Q103="Terminé hors délai",75,IF(Q103="À temps",50,IF(Q103="À surveiller",40,IF(Q103="En retard",25,IF(Q103="Critique",10,IF(Q103="En attente",50,0))))))),0)</f>
        <v>0</v>
      </c>
      <c r="S103" s="11"/>
      <c r="T103" s="69"/>
      <c r="U103" s="70" t="n">
        <f aca="false">IFERROR(IF(T103="",0,T103*N103/100),0)</f>
        <v>0</v>
      </c>
      <c r="V103" s="11"/>
    </row>
    <row r="104" customFormat="false" ht="21.75" hidden="false" customHeight="true" outlineLevel="0" collapsed="false">
      <c r="B104" s="7"/>
      <c r="C104" s="7"/>
      <c r="D104" s="7"/>
      <c r="E104" s="7"/>
      <c r="F104" s="7"/>
      <c r="G104" s="7"/>
      <c r="H104" s="71"/>
      <c r="I104" s="71"/>
      <c r="J104" s="71"/>
      <c r="K104" s="71"/>
      <c r="L104" s="7"/>
      <c r="M104" s="64" t="n">
        <f aca="true">IF(OR(B104="",H104="",I104=""),0,IF(TODAY()&lt;H104,0,IF(TODAY()&gt;=I104,100,(TODAY()-H104)/(I104-H104)*100)))</f>
        <v>0</v>
      </c>
      <c r="N104" s="72" t="n">
        <v>0</v>
      </c>
      <c r="O104" s="73"/>
      <c r="P104" s="73"/>
      <c r="Q104" s="67" t="str">
        <f aca="true">IF(B104="","",IF(K104&lt;&gt;"",IF(K104&lt;=I104,"Terminé à temps","Terminé hors délai"),IF(N104=0,IF(TODAY()&lt;H104,"En attente",IF(TODAY()&gt;I104+30,"Critique","En retard")),IF(N104&gt;=M104,"À temps",IF(N104&gt;=M104*0.8,"À surveiller",IF(N104&gt;=M104*0.5,"En retard","Critique"))))))</f>
        <v/>
      </c>
      <c r="R104" s="68" t="n">
        <f aca="false">IFERROR(IF(Q104="Terminé à temps",100,IF(Q104="Terminé hors délai",75,IF(Q104="À temps",50,IF(Q104="À surveiller",40,IF(Q104="En retard",25,IF(Q104="Critique",10,IF(Q104="En attente",50,0))))))),0)</f>
        <v>0</v>
      </c>
      <c r="S104" s="7"/>
      <c r="T104" s="74"/>
      <c r="U104" s="70" t="n">
        <f aca="false">IFERROR(IF(T104="",0,T104*N104/100),0)</f>
        <v>0</v>
      </c>
      <c r="V104" s="7"/>
    </row>
    <row r="105" customFormat="false" ht="21.75" hidden="false" customHeight="true" outlineLevel="0" collapsed="false">
      <c r="B105" s="11"/>
      <c r="C105" s="11"/>
      <c r="D105" s="11"/>
      <c r="E105" s="11"/>
      <c r="F105" s="11"/>
      <c r="G105" s="11"/>
      <c r="H105" s="63"/>
      <c r="I105" s="63"/>
      <c r="J105" s="63"/>
      <c r="K105" s="63"/>
      <c r="L105" s="11"/>
      <c r="M105" s="64" t="n">
        <f aca="true">IF(OR(B105="",H105="",I105=""),0,IF(TODAY()&lt;H105,0,IF(TODAY()&gt;=I105,100,(TODAY()-H105)/(I105-H105)*100)))</f>
        <v>0</v>
      </c>
      <c r="N105" s="65" t="n">
        <v>0</v>
      </c>
      <c r="O105" s="66"/>
      <c r="P105" s="66"/>
      <c r="Q105" s="67" t="str">
        <f aca="true">IF(B105="","",IF(K105&lt;&gt;"",IF(K105&lt;=I105,"Terminé à temps","Terminé hors délai"),IF(N105=0,IF(TODAY()&lt;H105,"En attente",IF(TODAY()&gt;I105+30,"Critique","En retard")),IF(N105&gt;=M105,"À temps",IF(N105&gt;=M105*0.8,"À surveiller",IF(N105&gt;=M105*0.5,"En retard","Critique"))))))</f>
        <v/>
      </c>
      <c r="R105" s="68" t="n">
        <f aca="false">IFERROR(IF(Q105="Terminé à temps",100,IF(Q105="Terminé hors délai",75,IF(Q105="À temps",50,IF(Q105="À surveiller",40,IF(Q105="En retard",25,IF(Q105="Critique",10,IF(Q105="En attente",50,0))))))),0)</f>
        <v>0</v>
      </c>
      <c r="S105" s="11"/>
      <c r="T105" s="69"/>
      <c r="U105" s="70" t="n">
        <f aca="false">IFERROR(IF(T105="",0,T105*N105/100),0)</f>
        <v>0</v>
      </c>
      <c r="V105" s="11"/>
    </row>
    <row r="106" customFormat="false" ht="21.75" hidden="false" customHeight="true" outlineLevel="0" collapsed="false">
      <c r="B106" s="7"/>
      <c r="C106" s="7"/>
      <c r="D106" s="7"/>
      <c r="E106" s="7"/>
      <c r="F106" s="7"/>
      <c r="G106" s="7"/>
      <c r="H106" s="71"/>
      <c r="I106" s="71"/>
      <c r="J106" s="71"/>
      <c r="K106" s="71"/>
      <c r="L106" s="7"/>
      <c r="M106" s="64" t="n">
        <f aca="true">IF(OR(B106="",H106="",I106=""),0,IF(TODAY()&lt;H106,0,IF(TODAY()&gt;=I106,100,(TODAY()-H106)/(I106-H106)*100)))</f>
        <v>0</v>
      </c>
      <c r="N106" s="72" t="n">
        <v>0</v>
      </c>
      <c r="O106" s="73"/>
      <c r="P106" s="73"/>
      <c r="Q106" s="67" t="str">
        <f aca="true">IF(B106="","",IF(K106&lt;&gt;"",IF(K106&lt;=I106,"Terminé à temps","Terminé hors délai"),IF(N106=0,IF(TODAY()&lt;H106,"En attente",IF(TODAY()&gt;I106+30,"Critique","En retard")),IF(N106&gt;=M106,"À temps",IF(N106&gt;=M106*0.8,"À surveiller",IF(N106&gt;=M106*0.5,"En retard","Critique"))))))</f>
        <v/>
      </c>
      <c r="R106" s="68" t="n">
        <f aca="false">IFERROR(IF(Q106="Terminé à temps",100,IF(Q106="Terminé hors délai",75,IF(Q106="À temps",50,IF(Q106="À surveiller",40,IF(Q106="En retard",25,IF(Q106="Critique",10,IF(Q106="En attente",50,0))))))),0)</f>
        <v>0</v>
      </c>
      <c r="S106" s="7"/>
      <c r="T106" s="74"/>
      <c r="U106" s="70" t="n">
        <f aca="false">IFERROR(IF(T106="",0,T106*N106/100),0)</f>
        <v>0</v>
      </c>
      <c r="V106" s="7"/>
    </row>
    <row r="107" customFormat="false" ht="21.75" hidden="false" customHeight="true" outlineLevel="0" collapsed="false">
      <c r="B107" s="11"/>
      <c r="C107" s="11"/>
      <c r="D107" s="11"/>
      <c r="E107" s="11"/>
      <c r="F107" s="11"/>
      <c r="G107" s="11"/>
      <c r="H107" s="63"/>
      <c r="I107" s="63"/>
      <c r="J107" s="63"/>
      <c r="K107" s="63"/>
      <c r="L107" s="11"/>
      <c r="M107" s="64" t="n">
        <f aca="true">IF(OR(B107="",H107="",I107=""),0,IF(TODAY()&lt;H107,0,IF(TODAY()&gt;=I107,100,(TODAY()-H107)/(I107-H107)*100)))</f>
        <v>0</v>
      </c>
      <c r="N107" s="65" t="n">
        <v>0</v>
      </c>
      <c r="O107" s="66"/>
      <c r="P107" s="66"/>
      <c r="Q107" s="67" t="str">
        <f aca="true">IF(B107="","",IF(K107&lt;&gt;"",IF(K107&lt;=I107,"Terminé à temps","Terminé hors délai"),IF(N107=0,IF(TODAY()&lt;H107,"En attente",IF(TODAY()&gt;I107+30,"Critique","En retard")),IF(N107&gt;=M107,"À temps",IF(N107&gt;=M107*0.8,"À surveiller",IF(N107&gt;=M107*0.5,"En retard","Critique"))))))</f>
        <v/>
      </c>
      <c r="R107" s="68" t="n">
        <f aca="false">IFERROR(IF(Q107="Terminé à temps",100,IF(Q107="Terminé hors délai",75,IF(Q107="À temps",50,IF(Q107="À surveiller",40,IF(Q107="En retard",25,IF(Q107="Critique",10,IF(Q107="En attente",50,0))))))),0)</f>
        <v>0</v>
      </c>
      <c r="S107" s="11"/>
      <c r="T107" s="69"/>
      <c r="U107" s="70" t="n">
        <f aca="false">IFERROR(IF(T107="",0,T107*N107/100),0)</f>
        <v>0</v>
      </c>
      <c r="V107" s="11"/>
    </row>
    <row r="108" customFormat="false" ht="21.75" hidden="false" customHeight="true" outlineLevel="0" collapsed="false">
      <c r="B108" s="7"/>
      <c r="C108" s="7"/>
      <c r="D108" s="7"/>
      <c r="E108" s="7"/>
      <c r="F108" s="7"/>
      <c r="G108" s="7"/>
      <c r="H108" s="71"/>
      <c r="I108" s="71"/>
      <c r="J108" s="71"/>
      <c r="K108" s="71"/>
      <c r="L108" s="7"/>
      <c r="M108" s="64" t="n">
        <f aca="true">IF(OR(B108="",H108="",I108=""),0,IF(TODAY()&lt;H108,0,IF(TODAY()&gt;=I108,100,(TODAY()-H108)/(I108-H108)*100)))</f>
        <v>0</v>
      </c>
      <c r="N108" s="72" t="n">
        <v>0</v>
      </c>
      <c r="O108" s="73"/>
      <c r="P108" s="73"/>
      <c r="Q108" s="67" t="str">
        <f aca="true">IF(B108="","",IF(K108&lt;&gt;"",IF(K108&lt;=I108,"Terminé à temps","Terminé hors délai"),IF(N108=0,IF(TODAY()&lt;H108,"En attente",IF(TODAY()&gt;I108+30,"Critique","En retard")),IF(N108&gt;=M108,"À temps",IF(N108&gt;=M108*0.8,"À surveiller",IF(N108&gt;=M108*0.5,"En retard","Critique"))))))</f>
        <v/>
      </c>
      <c r="R108" s="68" t="n">
        <f aca="false">IFERROR(IF(Q108="Terminé à temps",100,IF(Q108="Terminé hors délai",75,IF(Q108="À temps",50,IF(Q108="À surveiller",40,IF(Q108="En retard",25,IF(Q108="Critique",10,IF(Q108="En attente",50,0))))))),0)</f>
        <v>0</v>
      </c>
      <c r="S108" s="7"/>
      <c r="T108" s="74"/>
      <c r="U108" s="70" t="n">
        <f aca="false">IFERROR(IF(T108="",0,T108*N108/100),0)</f>
        <v>0</v>
      </c>
      <c r="V108" s="7"/>
    </row>
    <row r="109" customFormat="false" ht="21.75" hidden="false" customHeight="true" outlineLevel="0" collapsed="false">
      <c r="B109" s="11"/>
      <c r="C109" s="11"/>
      <c r="D109" s="11"/>
      <c r="E109" s="11"/>
      <c r="F109" s="11"/>
      <c r="G109" s="11"/>
      <c r="H109" s="63"/>
      <c r="I109" s="63"/>
      <c r="J109" s="63"/>
      <c r="K109" s="63"/>
      <c r="L109" s="11"/>
      <c r="M109" s="64" t="n">
        <f aca="true">IF(OR(B109="",H109="",I109=""),0,IF(TODAY()&lt;H109,0,IF(TODAY()&gt;=I109,100,(TODAY()-H109)/(I109-H109)*100)))</f>
        <v>0</v>
      </c>
      <c r="N109" s="65" t="n">
        <v>0</v>
      </c>
      <c r="O109" s="66"/>
      <c r="P109" s="66"/>
      <c r="Q109" s="67" t="str">
        <f aca="true">IF(B109="","",IF(K109&lt;&gt;"",IF(K109&lt;=I109,"Terminé à temps","Terminé hors délai"),IF(N109=0,IF(TODAY()&lt;H109,"En attente",IF(TODAY()&gt;I109+30,"Critique","En retard")),IF(N109&gt;=M109,"À temps",IF(N109&gt;=M109*0.8,"À surveiller",IF(N109&gt;=M109*0.5,"En retard","Critique"))))))</f>
        <v/>
      </c>
      <c r="R109" s="68" t="n">
        <f aca="false">IFERROR(IF(Q109="Terminé à temps",100,IF(Q109="Terminé hors délai",75,IF(Q109="À temps",50,IF(Q109="À surveiller",40,IF(Q109="En retard",25,IF(Q109="Critique",10,IF(Q109="En attente",50,0))))))),0)</f>
        <v>0</v>
      </c>
      <c r="S109" s="11"/>
      <c r="T109" s="69"/>
      <c r="U109" s="70" t="n">
        <f aca="false">IFERROR(IF(T109="",0,T109*N109/100),0)</f>
        <v>0</v>
      </c>
      <c r="V109" s="11"/>
    </row>
    <row r="110" customFormat="false" ht="21.75" hidden="false" customHeight="true" outlineLevel="0" collapsed="false">
      <c r="B110" s="7"/>
      <c r="C110" s="7"/>
      <c r="D110" s="7"/>
      <c r="E110" s="7"/>
      <c r="F110" s="7"/>
      <c r="G110" s="7"/>
      <c r="H110" s="71"/>
      <c r="I110" s="71"/>
      <c r="J110" s="71"/>
      <c r="K110" s="71"/>
      <c r="L110" s="7"/>
      <c r="M110" s="64" t="n">
        <f aca="true">IF(OR(B110="",H110="",I110=""),0,IF(TODAY()&lt;H110,0,IF(TODAY()&gt;=I110,100,(TODAY()-H110)/(I110-H110)*100)))</f>
        <v>0</v>
      </c>
      <c r="N110" s="72" t="n">
        <v>0</v>
      </c>
      <c r="O110" s="73"/>
      <c r="P110" s="73"/>
      <c r="Q110" s="67" t="str">
        <f aca="true">IF(B110="","",IF(K110&lt;&gt;"",IF(K110&lt;=I110,"Terminé à temps","Terminé hors délai"),IF(N110=0,IF(TODAY()&lt;H110,"En attente",IF(TODAY()&gt;I110+30,"Critique","En retard")),IF(N110&gt;=M110,"À temps",IF(N110&gt;=M110*0.8,"À surveiller",IF(N110&gt;=M110*0.5,"En retard","Critique"))))))</f>
        <v/>
      </c>
      <c r="R110" s="68" t="n">
        <f aca="false">IFERROR(IF(Q110="Terminé à temps",100,IF(Q110="Terminé hors délai",75,IF(Q110="À temps",50,IF(Q110="À surveiller",40,IF(Q110="En retard",25,IF(Q110="Critique",10,IF(Q110="En attente",50,0))))))),0)</f>
        <v>0</v>
      </c>
      <c r="S110" s="7"/>
      <c r="T110" s="74"/>
      <c r="U110" s="70" t="n">
        <f aca="false">IFERROR(IF(T110="",0,T110*N110/100),0)</f>
        <v>0</v>
      </c>
      <c r="V110" s="7"/>
    </row>
    <row r="111" customFormat="false" ht="21.75" hidden="false" customHeight="true" outlineLevel="0" collapsed="false">
      <c r="B111" s="11"/>
      <c r="C111" s="11"/>
      <c r="D111" s="11"/>
      <c r="E111" s="11"/>
      <c r="F111" s="11"/>
      <c r="G111" s="11"/>
      <c r="H111" s="63"/>
      <c r="I111" s="63"/>
      <c r="J111" s="63"/>
      <c r="K111" s="63"/>
      <c r="L111" s="11"/>
      <c r="M111" s="64" t="n">
        <f aca="true">IF(OR(B111="",H111="",I111=""),0,IF(TODAY()&lt;H111,0,IF(TODAY()&gt;=I111,100,(TODAY()-H111)/(I111-H111)*100)))</f>
        <v>0</v>
      </c>
      <c r="N111" s="65" t="n">
        <v>0</v>
      </c>
      <c r="O111" s="66"/>
      <c r="P111" s="66"/>
      <c r="Q111" s="67" t="str">
        <f aca="true">IF(B111="","",IF(K111&lt;&gt;"",IF(K111&lt;=I111,"Terminé à temps","Terminé hors délai"),IF(N111=0,IF(TODAY()&lt;H111,"En attente",IF(TODAY()&gt;I111+30,"Critique","En retard")),IF(N111&gt;=M111,"À temps",IF(N111&gt;=M111*0.8,"À surveiller",IF(N111&gt;=M111*0.5,"En retard","Critique"))))))</f>
        <v/>
      </c>
      <c r="R111" s="68" t="n">
        <f aca="false">IFERROR(IF(Q111="Terminé à temps",100,IF(Q111="Terminé hors délai",75,IF(Q111="À temps",50,IF(Q111="À surveiller",40,IF(Q111="En retard",25,IF(Q111="Critique",10,IF(Q111="En attente",50,0))))))),0)</f>
        <v>0</v>
      </c>
      <c r="S111" s="11"/>
      <c r="T111" s="69"/>
      <c r="U111" s="70" t="n">
        <f aca="false">IFERROR(IF(T111="",0,T111*N111/100),0)</f>
        <v>0</v>
      </c>
      <c r="V111" s="11"/>
    </row>
    <row r="112" customFormat="false" ht="21.75" hidden="false" customHeight="true" outlineLevel="0" collapsed="false">
      <c r="B112" s="7"/>
      <c r="C112" s="7"/>
      <c r="D112" s="7"/>
      <c r="E112" s="7"/>
      <c r="F112" s="7"/>
      <c r="G112" s="7"/>
      <c r="H112" s="71"/>
      <c r="I112" s="71"/>
      <c r="J112" s="71"/>
      <c r="K112" s="71"/>
      <c r="L112" s="7"/>
      <c r="M112" s="64" t="n">
        <f aca="true">IF(OR(B112="",H112="",I112=""),0,IF(TODAY()&lt;H112,0,IF(TODAY()&gt;=I112,100,(TODAY()-H112)/(I112-H112)*100)))</f>
        <v>0</v>
      </c>
      <c r="N112" s="72" t="n">
        <v>0</v>
      </c>
      <c r="O112" s="73"/>
      <c r="P112" s="73"/>
      <c r="Q112" s="67" t="str">
        <f aca="true">IF(B112="","",IF(K112&lt;&gt;"",IF(K112&lt;=I112,"Terminé à temps","Terminé hors délai"),IF(N112=0,IF(TODAY()&lt;H112,"En attente",IF(TODAY()&gt;I112+30,"Critique","En retard")),IF(N112&gt;=M112,"À temps",IF(N112&gt;=M112*0.8,"À surveiller",IF(N112&gt;=M112*0.5,"En retard","Critique"))))))</f>
        <v/>
      </c>
      <c r="R112" s="68" t="n">
        <f aca="false">IFERROR(IF(Q112="Terminé à temps",100,IF(Q112="Terminé hors délai",75,IF(Q112="À temps",50,IF(Q112="À surveiller",40,IF(Q112="En retard",25,IF(Q112="Critique",10,IF(Q112="En attente",50,0))))))),0)</f>
        <v>0</v>
      </c>
      <c r="S112" s="7"/>
      <c r="T112" s="74"/>
      <c r="U112" s="70" t="n">
        <f aca="false">IFERROR(IF(T112="",0,T112*N112/100),0)</f>
        <v>0</v>
      </c>
      <c r="V112" s="7"/>
    </row>
    <row r="113" customFormat="false" ht="21.75" hidden="false" customHeight="true" outlineLevel="0" collapsed="false">
      <c r="B113" s="11"/>
      <c r="C113" s="11"/>
      <c r="D113" s="11"/>
      <c r="E113" s="11"/>
      <c r="F113" s="11"/>
      <c r="G113" s="11"/>
      <c r="H113" s="63"/>
      <c r="I113" s="63"/>
      <c r="J113" s="63"/>
      <c r="K113" s="63"/>
      <c r="L113" s="11"/>
      <c r="M113" s="64" t="n">
        <f aca="true">IF(OR(B113="",H113="",I113=""),0,IF(TODAY()&lt;H113,0,IF(TODAY()&gt;=I113,100,(TODAY()-H113)/(I113-H113)*100)))</f>
        <v>0</v>
      </c>
      <c r="N113" s="65" t="n">
        <v>0</v>
      </c>
      <c r="O113" s="66"/>
      <c r="P113" s="66"/>
      <c r="Q113" s="67" t="str">
        <f aca="true">IF(B113="","",IF(K113&lt;&gt;"",IF(K113&lt;=I113,"Terminé à temps","Terminé hors délai"),IF(N113=0,IF(TODAY()&lt;H113,"En attente",IF(TODAY()&gt;I113+30,"Critique","En retard")),IF(N113&gt;=M113,"À temps",IF(N113&gt;=M113*0.8,"À surveiller",IF(N113&gt;=M113*0.5,"En retard","Critique"))))))</f>
        <v/>
      </c>
      <c r="R113" s="68" t="n">
        <f aca="false">IFERROR(IF(Q113="Terminé à temps",100,IF(Q113="Terminé hors délai",75,IF(Q113="À temps",50,IF(Q113="À surveiller",40,IF(Q113="En retard",25,IF(Q113="Critique",10,IF(Q113="En attente",50,0))))))),0)</f>
        <v>0</v>
      </c>
      <c r="S113" s="11"/>
      <c r="T113" s="69"/>
      <c r="U113" s="70" t="n">
        <f aca="false">IFERROR(IF(T113="",0,T113*N113/100),0)</f>
        <v>0</v>
      </c>
      <c r="V113" s="11"/>
    </row>
    <row r="114" customFormat="false" ht="21.75" hidden="false" customHeight="true" outlineLevel="0" collapsed="false">
      <c r="B114" s="7"/>
      <c r="C114" s="7"/>
      <c r="D114" s="7"/>
      <c r="E114" s="7"/>
      <c r="F114" s="7"/>
      <c r="G114" s="7"/>
      <c r="H114" s="71"/>
      <c r="I114" s="71"/>
      <c r="J114" s="71"/>
      <c r="K114" s="71"/>
      <c r="L114" s="7"/>
      <c r="M114" s="64" t="n">
        <f aca="true">IF(OR(B114="",H114="",I114=""),0,IF(TODAY()&lt;H114,0,IF(TODAY()&gt;=I114,100,(TODAY()-H114)/(I114-H114)*100)))</f>
        <v>0</v>
      </c>
      <c r="N114" s="72" t="n">
        <v>0</v>
      </c>
      <c r="O114" s="73"/>
      <c r="P114" s="73"/>
      <c r="Q114" s="67" t="str">
        <f aca="true">IF(B114="","",IF(K114&lt;&gt;"",IF(K114&lt;=I114,"Terminé à temps","Terminé hors délai"),IF(N114=0,IF(TODAY()&lt;H114,"En attente",IF(TODAY()&gt;I114+30,"Critique","En retard")),IF(N114&gt;=M114,"À temps",IF(N114&gt;=M114*0.8,"À surveiller",IF(N114&gt;=M114*0.5,"En retard","Critique"))))))</f>
        <v/>
      </c>
      <c r="R114" s="68" t="n">
        <f aca="false">IFERROR(IF(Q114="Terminé à temps",100,IF(Q114="Terminé hors délai",75,IF(Q114="À temps",50,IF(Q114="À surveiller",40,IF(Q114="En retard",25,IF(Q114="Critique",10,IF(Q114="En attente",50,0))))))),0)</f>
        <v>0</v>
      </c>
      <c r="S114" s="7"/>
      <c r="T114" s="74"/>
      <c r="U114" s="70" t="n">
        <f aca="false">IFERROR(IF(T114="",0,T114*N114/100),0)</f>
        <v>0</v>
      </c>
      <c r="V114" s="7"/>
    </row>
    <row r="115" customFormat="false" ht="21.75" hidden="false" customHeight="true" outlineLevel="0" collapsed="false">
      <c r="B115" s="11"/>
      <c r="C115" s="11"/>
      <c r="D115" s="11"/>
      <c r="E115" s="11"/>
      <c r="F115" s="11"/>
      <c r="G115" s="11"/>
      <c r="H115" s="63"/>
      <c r="I115" s="63"/>
      <c r="J115" s="63"/>
      <c r="K115" s="63"/>
      <c r="L115" s="11"/>
      <c r="M115" s="64" t="n">
        <f aca="true">IF(OR(B115="",H115="",I115=""),0,IF(TODAY()&lt;H115,0,IF(TODAY()&gt;=I115,100,(TODAY()-H115)/(I115-H115)*100)))</f>
        <v>0</v>
      </c>
      <c r="N115" s="65" t="n">
        <v>0</v>
      </c>
      <c r="O115" s="66"/>
      <c r="P115" s="66"/>
      <c r="Q115" s="67" t="str">
        <f aca="true">IF(B115="","",IF(K115&lt;&gt;"",IF(K115&lt;=I115,"Terminé à temps","Terminé hors délai"),IF(N115=0,IF(TODAY()&lt;H115,"En attente",IF(TODAY()&gt;I115+30,"Critique","En retard")),IF(N115&gt;=M115,"À temps",IF(N115&gt;=M115*0.8,"À surveiller",IF(N115&gt;=M115*0.5,"En retard","Critique"))))))</f>
        <v/>
      </c>
      <c r="R115" s="68" t="n">
        <f aca="false">IFERROR(IF(Q115="Terminé à temps",100,IF(Q115="Terminé hors délai",75,IF(Q115="À temps",50,IF(Q115="À surveiller",40,IF(Q115="En retard",25,IF(Q115="Critique",10,IF(Q115="En attente",50,0))))))),0)</f>
        <v>0</v>
      </c>
      <c r="S115" s="11"/>
      <c r="T115" s="69"/>
      <c r="U115" s="70" t="n">
        <f aca="false">IFERROR(IF(T115="",0,T115*N115/100),0)</f>
        <v>0</v>
      </c>
      <c r="V115" s="11"/>
    </row>
    <row r="116" customFormat="false" ht="21.75" hidden="false" customHeight="true" outlineLevel="0" collapsed="false">
      <c r="B116" s="7"/>
      <c r="C116" s="7"/>
      <c r="D116" s="7"/>
      <c r="E116" s="7"/>
      <c r="F116" s="7"/>
      <c r="G116" s="7"/>
      <c r="H116" s="71"/>
      <c r="I116" s="71"/>
      <c r="J116" s="71"/>
      <c r="K116" s="71"/>
      <c r="L116" s="7"/>
      <c r="M116" s="64" t="n">
        <f aca="true">IF(OR(B116="",H116="",I116=""),0,IF(TODAY()&lt;H116,0,IF(TODAY()&gt;=I116,100,(TODAY()-H116)/(I116-H116)*100)))</f>
        <v>0</v>
      </c>
      <c r="N116" s="72" t="n">
        <v>0</v>
      </c>
      <c r="O116" s="73"/>
      <c r="P116" s="73"/>
      <c r="Q116" s="67" t="str">
        <f aca="true">IF(B116="","",IF(K116&lt;&gt;"",IF(K116&lt;=I116,"Terminé à temps","Terminé hors délai"),IF(N116=0,IF(TODAY()&lt;H116,"En attente",IF(TODAY()&gt;I116+30,"Critique","En retard")),IF(N116&gt;=M116,"À temps",IF(N116&gt;=M116*0.8,"À surveiller",IF(N116&gt;=M116*0.5,"En retard","Critique"))))))</f>
        <v/>
      </c>
      <c r="R116" s="68" t="n">
        <f aca="false">IFERROR(IF(Q116="Terminé à temps",100,IF(Q116="Terminé hors délai",75,IF(Q116="À temps",50,IF(Q116="À surveiller",40,IF(Q116="En retard",25,IF(Q116="Critique",10,IF(Q116="En attente",50,0))))))),0)</f>
        <v>0</v>
      </c>
      <c r="S116" s="7"/>
      <c r="T116" s="74"/>
      <c r="U116" s="70" t="n">
        <f aca="false">IFERROR(IF(T116="",0,T116*N116/100),0)</f>
        <v>0</v>
      </c>
      <c r="V116" s="7"/>
    </row>
    <row r="117" customFormat="false" ht="21.75" hidden="false" customHeight="true" outlineLevel="0" collapsed="false">
      <c r="B117" s="11"/>
      <c r="C117" s="11"/>
      <c r="D117" s="11"/>
      <c r="E117" s="11"/>
      <c r="F117" s="11"/>
      <c r="G117" s="11"/>
      <c r="H117" s="63"/>
      <c r="I117" s="63"/>
      <c r="J117" s="63"/>
      <c r="K117" s="63"/>
      <c r="L117" s="11"/>
      <c r="M117" s="64" t="n">
        <f aca="true">IF(OR(B117="",H117="",I117=""),0,IF(TODAY()&lt;H117,0,IF(TODAY()&gt;=I117,100,(TODAY()-H117)/(I117-H117)*100)))</f>
        <v>0</v>
      </c>
      <c r="N117" s="65" t="n">
        <v>0</v>
      </c>
      <c r="O117" s="66"/>
      <c r="P117" s="66"/>
      <c r="Q117" s="67" t="str">
        <f aca="true">IF(B117="","",IF(K117&lt;&gt;"",IF(K117&lt;=I117,"Terminé à temps","Terminé hors délai"),IF(N117=0,IF(TODAY()&lt;H117,"En attente",IF(TODAY()&gt;I117+30,"Critique","En retard")),IF(N117&gt;=M117,"À temps",IF(N117&gt;=M117*0.8,"À surveiller",IF(N117&gt;=M117*0.5,"En retard","Critique"))))))</f>
        <v/>
      </c>
      <c r="R117" s="68" t="n">
        <f aca="false">IFERROR(IF(Q117="Terminé à temps",100,IF(Q117="Terminé hors délai",75,IF(Q117="À temps",50,IF(Q117="À surveiller",40,IF(Q117="En retard",25,IF(Q117="Critique",10,IF(Q117="En attente",50,0))))))),0)</f>
        <v>0</v>
      </c>
      <c r="S117" s="11"/>
      <c r="T117" s="69"/>
      <c r="U117" s="70" t="n">
        <f aca="false">IFERROR(IF(T117="",0,T117*N117/100),0)</f>
        <v>0</v>
      </c>
      <c r="V117" s="11"/>
    </row>
    <row r="118" customFormat="false" ht="21.75" hidden="false" customHeight="true" outlineLevel="0" collapsed="false">
      <c r="B118" s="7"/>
      <c r="C118" s="7"/>
      <c r="D118" s="7"/>
      <c r="E118" s="7"/>
      <c r="F118" s="7"/>
      <c r="G118" s="7"/>
      <c r="H118" s="71"/>
      <c r="I118" s="71"/>
      <c r="J118" s="71"/>
      <c r="K118" s="71"/>
      <c r="L118" s="7"/>
      <c r="M118" s="64" t="n">
        <f aca="true">IF(OR(B118="",H118="",I118=""),0,IF(TODAY()&lt;H118,0,IF(TODAY()&gt;=I118,100,(TODAY()-H118)/(I118-H118)*100)))</f>
        <v>0</v>
      </c>
      <c r="N118" s="72" t="n">
        <v>0</v>
      </c>
      <c r="O118" s="73"/>
      <c r="P118" s="73"/>
      <c r="Q118" s="67" t="str">
        <f aca="true">IF(B118="","",IF(K118&lt;&gt;"",IF(K118&lt;=I118,"Terminé à temps","Terminé hors délai"),IF(N118=0,IF(TODAY()&lt;H118,"En attente",IF(TODAY()&gt;I118+30,"Critique","En retard")),IF(N118&gt;=M118,"À temps",IF(N118&gt;=M118*0.8,"À surveiller",IF(N118&gt;=M118*0.5,"En retard","Critique"))))))</f>
        <v/>
      </c>
      <c r="R118" s="68" t="n">
        <f aca="false">IFERROR(IF(Q118="Terminé à temps",100,IF(Q118="Terminé hors délai",75,IF(Q118="À temps",50,IF(Q118="À surveiller",40,IF(Q118="En retard",25,IF(Q118="Critique",10,IF(Q118="En attente",50,0))))))),0)</f>
        <v>0</v>
      </c>
      <c r="S118" s="7"/>
      <c r="T118" s="74"/>
      <c r="U118" s="70" t="n">
        <f aca="false">IFERROR(IF(T118="",0,T118*N118/100),0)</f>
        <v>0</v>
      </c>
      <c r="V118" s="7"/>
    </row>
    <row r="119" customFormat="false" ht="21.75" hidden="false" customHeight="true" outlineLevel="0" collapsed="false">
      <c r="B119" s="11"/>
      <c r="C119" s="11"/>
      <c r="D119" s="11"/>
      <c r="E119" s="11"/>
      <c r="F119" s="11"/>
      <c r="G119" s="11"/>
      <c r="H119" s="63"/>
      <c r="I119" s="63"/>
      <c r="J119" s="63"/>
      <c r="K119" s="63"/>
      <c r="L119" s="11"/>
      <c r="M119" s="64" t="n">
        <f aca="true">IF(OR(B119="",H119="",I119=""),0,IF(TODAY()&lt;H119,0,IF(TODAY()&gt;=I119,100,(TODAY()-H119)/(I119-H119)*100)))</f>
        <v>0</v>
      </c>
      <c r="N119" s="65" t="n">
        <v>0</v>
      </c>
      <c r="O119" s="66"/>
      <c r="P119" s="66"/>
      <c r="Q119" s="67" t="str">
        <f aca="true">IF(B119="","",IF(K119&lt;&gt;"",IF(K119&lt;=I119,"Terminé à temps","Terminé hors délai"),IF(N119=0,IF(TODAY()&lt;H119,"En attente",IF(TODAY()&gt;I119+30,"Critique","En retard")),IF(N119&gt;=M119,"À temps",IF(N119&gt;=M119*0.8,"À surveiller",IF(N119&gt;=M119*0.5,"En retard","Critique"))))))</f>
        <v/>
      </c>
      <c r="R119" s="68" t="n">
        <f aca="false">IFERROR(IF(Q119="Terminé à temps",100,IF(Q119="Terminé hors délai",75,IF(Q119="À temps",50,IF(Q119="À surveiller",40,IF(Q119="En retard",25,IF(Q119="Critique",10,IF(Q119="En attente",50,0))))))),0)</f>
        <v>0</v>
      </c>
      <c r="S119" s="11"/>
      <c r="T119" s="69"/>
      <c r="U119" s="70" t="n">
        <f aca="false">IFERROR(IF(T119="",0,T119*N119/100),0)</f>
        <v>0</v>
      </c>
      <c r="V119" s="11"/>
    </row>
    <row r="120" customFormat="false" ht="21.75" hidden="false" customHeight="true" outlineLevel="0" collapsed="false">
      <c r="B120" s="7"/>
      <c r="C120" s="7"/>
      <c r="D120" s="7"/>
      <c r="E120" s="7"/>
      <c r="F120" s="7"/>
      <c r="G120" s="7"/>
      <c r="H120" s="71"/>
      <c r="I120" s="71"/>
      <c r="J120" s="71"/>
      <c r="K120" s="71"/>
      <c r="L120" s="7"/>
      <c r="M120" s="64" t="n">
        <f aca="true">IF(OR(B120="",H120="",I120=""),0,IF(TODAY()&lt;H120,0,IF(TODAY()&gt;=I120,100,(TODAY()-H120)/(I120-H120)*100)))</f>
        <v>0</v>
      </c>
      <c r="N120" s="72" t="n">
        <v>0</v>
      </c>
      <c r="O120" s="73"/>
      <c r="P120" s="73"/>
      <c r="Q120" s="67" t="str">
        <f aca="true">IF(B120="","",IF(K120&lt;&gt;"",IF(K120&lt;=I120,"Terminé à temps","Terminé hors délai"),IF(N120=0,IF(TODAY()&lt;H120,"En attente",IF(TODAY()&gt;I120+30,"Critique","En retard")),IF(N120&gt;=M120,"À temps",IF(N120&gt;=M120*0.8,"À surveiller",IF(N120&gt;=M120*0.5,"En retard","Critique"))))))</f>
        <v/>
      </c>
      <c r="R120" s="68" t="n">
        <f aca="false">IFERROR(IF(Q120="Terminé à temps",100,IF(Q120="Terminé hors délai",75,IF(Q120="À temps",50,IF(Q120="À surveiller",40,IF(Q120="En retard",25,IF(Q120="Critique",10,IF(Q120="En attente",50,0))))))),0)</f>
        <v>0</v>
      </c>
      <c r="S120" s="7"/>
      <c r="T120" s="74"/>
      <c r="U120" s="70" t="n">
        <f aca="false">IFERROR(IF(T120="",0,T120*N120/100),0)</f>
        <v>0</v>
      </c>
      <c r="V120" s="7"/>
    </row>
    <row r="121" customFormat="false" ht="21.75" hidden="false" customHeight="true" outlineLevel="0" collapsed="false">
      <c r="B121" s="11"/>
      <c r="C121" s="11"/>
      <c r="D121" s="11"/>
      <c r="E121" s="11"/>
      <c r="F121" s="11"/>
      <c r="G121" s="11"/>
      <c r="H121" s="63"/>
      <c r="I121" s="63"/>
      <c r="J121" s="63"/>
      <c r="K121" s="63"/>
      <c r="L121" s="11"/>
      <c r="M121" s="64" t="n">
        <f aca="true">IF(OR(B121="",H121="",I121=""),0,IF(TODAY()&lt;H121,0,IF(TODAY()&gt;=I121,100,(TODAY()-H121)/(I121-H121)*100)))</f>
        <v>0</v>
      </c>
      <c r="N121" s="65" t="n">
        <v>0</v>
      </c>
      <c r="O121" s="66"/>
      <c r="P121" s="66"/>
      <c r="Q121" s="67" t="str">
        <f aca="true">IF(B121="","",IF(K121&lt;&gt;"",IF(K121&lt;=I121,"Terminé à temps","Terminé hors délai"),IF(N121=0,IF(TODAY()&lt;H121,"En attente",IF(TODAY()&gt;I121+30,"Critique","En retard")),IF(N121&gt;=M121,"À temps",IF(N121&gt;=M121*0.8,"À surveiller",IF(N121&gt;=M121*0.5,"En retard","Critique"))))))</f>
        <v/>
      </c>
      <c r="R121" s="68" t="n">
        <f aca="false">IFERROR(IF(Q121="Terminé à temps",100,IF(Q121="Terminé hors délai",75,IF(Q121="À temps",50,IF(Q121="À surveiller",40,IF(Q121="En retard",25,IF(Q121="Critique",10,IF(Q121="En attente",50,0))))))),0)</f>
        <v>0</v>
      </c>
      <c r="S121" s="11"/>
      <c r="T121" s="69"/>
      <c r="U121" s="70" t="n">
        <f aca="false">IFERROR(IF(T121="",0,T121*N121/100),0)</f>
        <v>0</v>
      </c>
      <c r="V121" s="11"/>
    </row>
    <row r="122" customFormat="false" ht="21.75" hidden="false" customHeight="true" outlineLevel="0" collapsed="false">
      <c r="B122" s="7"/>
      <c r="C122" s="7"/>
      <c r="D122" s="7"/>
      <c r="E122" s="7"/>
      <c r="F122" s="7"/>
      <c r="G122" s="7"/>
      <c r="H122" s="71"/>
      <c r="I122" s="71"/>
      <c r="J122" s="71"/>
      <c r="K122" s="71"/>
      <c r="L122" s="7"/>
      <c r="M122" s="64" t="n">
        <f aca="true">IF(OR(B122="",H122="",I122=""),0,IF(TODAY()&lt;H122,0,IF(TODAY()&gt;=I122,100,(TODAY()-H122)/(I122-H122)*100)))</f>
        <v>0</v>
      </c>
      <c r="N122" s="72" t="n">
        <v>0</v>
      </c>
      <c r="O122" s="73"/>
      <c r="P122" s="73"/>
      <c r="Q122" s="67" t="str">
        <f aca="true">IF(B122="","",IF(K122&lt;&gt;"",IF(K122&lt;=I122,"Terminé à temps","Terminé hors délai"),IF(N122=0,IF(TODAY()&lt;H122,"En attente",IF(TODAY()&gt;I122+30,"Critique","En retard")),IF(N122&gt;=M122,"À temps",IF(N122&gt;=M122*0.8,"À surveiller",IF(N122&gt;=M122*0.5,"En retard","Critique"))))))</f>
        <v/>
      </c>
      <c r="R122" s="68" t="n">
        <f aca="false">IFERROR(IF(Q122="Terminé à temps",100,IF(Q122="Terminé hors délai",75,IF(Q122="À temps",50,IF(Q122="À surveiller",40,IF(Q122="En retard",25,IF(Q122="Critique",10,IF(Q122="En attente",50,0))))))),0)</f>
        <v>0</v>
      </c>
      <c r="S122" s="7"/>
      <c r="T122" s="74"/>
      <c r="U122" s="70" t="n">
        <f aca="false">IFERROR(IF(T122="",0,T122*N122/100),0)</f>
        <v>0</v>
      </c>
      <c r="V122" s="7"/>
    </row>
    <row r="123" customFormat="false" ht="21.75" hidden="false" customHeight="true" outlineLevel="0" collapsed="false">
      <c r="B123" s="11"/>
      <c r="C123" s="11"/>
      <c r="D123" s="11"/>
      <c r="E123" s="11"/>
      <c r="F123" s="11"/>
      <c r="G123" s="11"/>
      <c r="H123" s="63"/>
      <c r="I123" s="63"/>
      <c r="J123" s="63"/>
      <c r="K123" s="63"/>
      <c r="L123" s="11"/>
      <c r="M123" s="64" t="n">
        <f aca="true">IF(OR(B123="",H123="",I123=""),0,IF(TODAY()&lt;H123,0,IF(TODAY()&gt;=I123,100,(TODAY()-H123)/(I123-H123)*100)))</f>
        <v>0</v>
      </c>
      <c r="N123" s="65" t="n">
        <v>0</v>
      </c>
      <c r="O123" s="66"/>
      <c r="P123" s="66"/>
      <c r="Q123" s="67" t="str">
        <f aca="true">IF(B123="","",IF(K123&lt;&gt;"",IF(K123&lt;=I123,"Terminé à temps","Terminé hors délai"),IF(N123=0,IF(TODAY()&lt;H123,"En attente",IF(TODAY()&gt;I123+30,"Critique","En retard")),IF(N123&gt;=M123,"À temps",IF(N123&gt;=M123*0.8,"À surveiller",IF(N123&gt;=M123*0.5,"En retard","Critique"))))))</f>
        <v/>
      </c>
      <c r="R123" s="68" t="n">
        <f aca="false">IFERROR(IF(Q123="Terminé à temps",100,IF(Q123="Terminé hors délai",75,IF(Q123="À temps",50,IF(Q123="À surveiller",40,IF(Q123="En retard",25,IF(Q123="Critique",10,IF(Q123="En attente",50,0))))))),0)</f>
        <v>0</v>
      </c>
      <c r="S123" s="11"/>
      <c r="T123" s="69"/>
      <c r="U123" s="70" t="n">
        <f aca="false">IFERROR(IF(T123="",0,T123*N123/100),0)</f>
        <v>0</v>
      </c>
      <c r="V123" s="11"/>
    </row>
    <row r="124" customFormat="false" ht="21.75" hidden="false" customHeight="true" outlineLevel="0" collapsed="false">
      <c r="B124" s="7"/>
      <c r="C124" s="7"/>
      <c r="D124" s="7"/>
      <c r="E124" s="7"/>
      <c r="F124" s="7"/>
      <c r="G124" s="7"/>
      <c r="H124" s="71"/>
      <c r="I124" s="71"/>
      <c r="J124" s="71"/>
      <c r="K124" s="71"/>
      <c r="L124" s="7"/>
      <c r="M124" s="64" t="n">
        <f aca="true">IF(OR(B124="",H124="",I124=""),0,IF(TODAY()&lt;H124,0,IF(TODAY()&gt;=I124,100,(TODAY()-H124)/(I124-H124)*100)))</f>
        <v>0</v>
      </c>
      <c r="N124" s="72" t="n">
        <v>0</v>
      </c>
      <c r="O124" s="73"/>
      <c r="P124" s="73"/>
      <c r="Q124" s="67" t="str">
        <f aca="true">IF(B124="","",IF(K124&lt;&gt;"",IF(K124&lt;=I124,"Terminé à temps","Terminé hors délai"),IF(N124=0,IF(TODAY()&lt;H124,"En attente",IF(TODAY()&gt;I124+30,"Critique","En retard")),IF(N124&gt;=M124,"À temps",IF(N124&gt;=M124*0.8,"À surveiller",IF(N124&gt;=M124*0.5,"En retard","Critique"))))))</f>
        <v/>
      </c>
      <c r="R124" s="68" t="n">
        <f aca="false">IFERROR(IF(Q124="Terminé à temps",100,IF(Q124="Terminé hors délai",75,IF(Q124="À temps",50,IF(Q124="À surveiller",40,IF(Q124="En retard",25,IF(Q124="Critique",10,IF(Q124="En attente",50,0))))))),0)</f>
        <v>0</v>
      </c>
      <c r="S124" s="7"/>
      <c r="T124" s="74"/>
      <c r="U124" s="70" t="n">
        <f aca="false">IFERROR(IF(T124="",0,T124*N124/100),0)</f>
        <v>0</v>
      </c>
      <c r="V124" s="7"/>
    </row>
    <row r="125" customFormat="false" ht="21.75" hidden="false" customHeight="true" outlineLevel="0" collapsed="false">
      <c r="B125" s="11"/>
      <c r="C125" s="11"/>
      <c r="D125" s="11"/>
      <c r="E125" s="11"/>
      <c r="F125" s="11"/>
      <c r="G125" s="11"/>
      <c r="H125" s="63"/>
      <c r="I125" s="63"/>
      <c r="J125" s="63"/>
      <c r="K125" s="63"/>
      <c r="L125" s="11"/>
      <c r="M125" s="64" t="n">
        <f aca="true">IF(OR(B125="",H125="",I125=""),0,IF(TODAY()&lt;H125,0,IF(TODAY()&gt;=I125,100,(TODAY()-H125)/(I125-H125)*100)))</f>
        <v>0</v>
      </c>
      <c r="N125" s="65" t="n">
        <v>0</v>
      </c>
      <c r="O125" s="66"/>
      <c r="P125" s="66"/>
      <c r="Q125" s="67" t="str">
        <f aca="true">IF(B125="","",IF(K125&lt;&gt;"",IF(K125&lt;=I125,"Terminé à temps","Terminé hors délai"),IF(N125=0,IF(TODAY()&lt;H125,"En attente",IF(TODAY()&gt;I125+30,"Critique","En retard")),IF(N125&gt;=M125,"À temps",IF(N125&gt;=M125*0.8,"À surveiller",IF(N125&gt;=M125*0.5,"En retard","Critique"))))))</f>
        <v/>
      </c>
      <c r="R125" s="68" t="n">
        <f aca="false">IFERROR(IF(Q125="Terminé à temps",100,IF(Q125="Terminé hors délai",75,IF(Q125="À temps",50,IF(Q125="À surveiller",40,IF(Q125="En retard",25,IF(Q125="Critique",10,IF(Q125="En attente",50,0))))))),0)</f>
        <v>0</v>
      </c>
      <c r="S125" s="11"/>
      <c r="T125" s="69"/>
      <c r="U125" s="70" t="n">
        <f aca="false">IFERROR(IF(T125="",0,T125*N125/100),0)</f>
        <v>0</v>
      </c>
      <c r="V125" s="11"/>
    </row>
    <row r="126" customFormat="false" ht="21.75" hidden="false" customHeight="true" outlineLevel="0" collapsed="false">
      <c r="B126" s="7"/>
      <c r="C126" s="7"/>
      <c r="D126" s="7"/>
      <c r="E126" s="7"/>
      <c r="F126" s="7"/>
      <c r="G126" s="7"/>
      <c r="H126" s="71"/>
      <c r="I126" s="71"/>
      <c r="J126" s="71"/>
      <c r="K126" s="71"/>
      <c r="L126" s="7"/>
      <c r="M126" s="64" t="n">
        <f aca="true">IF(OR(B126="",H126="",I126=""),0,IF(TODAY()&lt;H126,0,IF(TODAY()&gt;=I126,100,(TODAY()-H126)/(I126-H126)*100)))</f>
        <v>0</v>
      </c>
      <c r="N126" s="72" t="n">
        <v>0</v>
      </c>
      <c r="O126" s="73"/>
      <c r="P126" s="73"/>
      <c r="Q126" s="67" t="str">
        <f aca="true">IF(B126="","",IF(K126&lt;&gt;"",IF(K126&lt;=I126,"Terminé à temps","Terminé hors délai"),IF(N126=0,IF(TODAY()&lt;H126,"En attente",IF(TODAY()&gt;I126+30,"Critique","En retard")),IF(N126&gt;=M126,"À temps",IF(N126&gt;=M126*0.8,"À surveiller",IF(N126&gt;=M126*0.5,"En retard","Critique"))))))</f>
        <v/>
      </c>
      <c r="R126" s="68" t="n">
        <f aca="false">IFERROR(IF(Q126="Terminé à temps",100,IF(Q126="Terminé hors délai",75,IF(Q126="À temps",50,IF(Q126="À surveiller",40,IF(Q126="En retard",25,IF(Q126="Critique",10,IF(Q126="En attente",50,0))))))),0)</f>
        <v>0</v>
      </c>
      <c r="S126" s="7"/>
      <c r="T126" s="74"/>
      <c r="U126" s="70" t="n">
        <f aca="false">IFERROR(IF(T126="",0,T126*N126/100),0)</f>
        <v>0</v>
      </c>
      <c r="V126" s="7"/>
    </row>
    <row r="127" customFormat="false" ht="21.75" hidden="false" customHeight="true" outlineLevel="0" collapsed="false">
      <c r="B127" s="11"/>
      <c r="C127" s="11"/>
      <c r="D127" s="11"/>
      <c r="E127" s="11"/>
      <c r="F127" s="11"/>
      <c r="G127" s="11"/>
      <c r="H127" s="63"/>
      <c r="I127" s="63"/>
      <c r="J127" s="63"/>
      <c r="K127" s="63"/>
      <c r="L127" s="11"/>
      <c r="M127" s="64" t="n">
        <f aca="true">IF(OR(B127="",H127="",I127=""),0,IF(TODAY()&lt;H127,0,IF(TODAY()&gt;=I127,100,(TODAY()-H127)/(I127-H127)*100)))</f>
        <v>0</v>
      </c>
      <c r="N127" s="65" t="n">
        <v>0</v>
      </c>
      <c r="O127" s="66"/>
      <c r="P127" s="66"/>
      <c r="Q127" s="67" t="str">
        <f aca="true">IF(B127="","",IF(K127&lt;&gt;"",IF(K127&lt;=I127,"Terminé à temps","Terminé hors délai"),IF(N127=0,IF(TODAY()&lt;H127,"En attente",IF(TODAY()&gt;I127+30,"Critique","En retard")),IF(N127&gt;=M127,"À temps",IF(N127&gt;=M127*0.8,"À surveiller",IF(N127&gt;=M127*0.5,"En retard","Critique"))))))</f>
        <v/>
      </c>
      <c r="R127" s="68" t="n">
        <f aca="false">IFERROR(IF(Q127="Terminé à temps",100,IF(Q127="Terminé hors délai",75,IF(Q127="À temps",50,IF(Q127="À surveiller",40,IF(Q127="En retard",25,IF(Q127="Critique",10,IF(Q127="En attente",50,0))))))),0)</f>
        <v>0</v>
      </c>
      <c r="S127" s="11"/>
      <c r="T127" s="69"/>
      <c r="U127" s="70" t="n">
        <f aca="false">IFERROR(IF(T127="",0,T127*N127/100),0)</f>
        <v>0</v>
      </c>
      <c r="V127" s="11"/>
    </row>
    <row r="128" customFormat="false" ht="21.75" hidden="false" customHeight="true" outlineLevel="0" collapsed="false">
      <c r="B128" s="7"/>
      <c r="C128" s="7"/>
      <c r="D128" s="7"/>
      <c r="E128" s="7"/>
      <c r="F128" s="7"/>
      <c r="G128" s="7"/>
      <c r="H128" s="71"/>
      <c r="I128" s="71"/>
      <c r="J128" s="71"/>
      <c r="K128" s="71"/>
      <c r="L128" s="7"/>
      <c r="M128" s="64" t="n">
        <f aca="true">IF(OR(B128="",H128="",I128=""),0,IF(TODAY()&lt;H128,0,IF(TODAY()&gt;=I128,100,(TODAY()-H128)/(I128-H128)*100)))</f>
        <v>0</v>
      </c>
      <c r="N128" s="72" t="n">
        <v>0</v>
      </c>
      <c r="O128" s="73"/>
      <c r="P128" s="73"/>
      <c r="Q128" s="67" t="str">
        <f aca="true">IF(B128="","",IF(K128&lt;&gt;"",IF(K128&lt;=I128,"Terminé à temps","Terminé hors délai"),IF(N128=0,IF(TODAY()&lt;H128,"En attente",IF(TODAY()&gt;I128+30,"Critique","En retard")),IF(N128&gt;=M128,"À temps",IF(N128&gt;=M128*0.8,"À surveiller",IF(N128&gt;=M128*0.5,"En retard","Critique"))))))</f>
        <v/>
      </c>
      <c r="R128" s="68" t="n">
        <f aca="false">IFERROR(IF(Q128="Terminé à temps",100,IF(Q128="Terminé hors délai",75,IF(Q128="À temps",50,IF(Q128="À surveiller",40,IF(Q128="En retard",25,IF(Q128="Critique",10,IF(Q128="En attente",50,0))))))),0)</f>
        <v>0</v>
      </c>
      <c r="S128" s="7"/>
      <c r="T128" s="74"/>
      <c r="U128" s="70" t="n">
        <f aca="false">IFERROR(IF(T128="",0,T128*N128/100),0)</f>
        <v>0</v>
      </c>
      <c r="V128" s="7"/>
    </row>
    <row r="129" customFormat="false" ht="21.75" hidden="false" customHeight="true" outlineLevel="0" collapsed="false">
      <c r="B129" s="11"/>
      <c r="C129" s="11"/>
      <c r="D129" s="11"/>
      <c r="E129" s="11"/>
      <c r="F129" s="11"/>
      <c r="G129" s="11"/>
      <c r="H129" s="63"/>
      <c r="I129" s="63"/>
      <c r="J129" s="63"/>
      <c r="K129" s="63"/>
      <c r="L129" s="11"/>
      <c r="M129" s="64" t="n">
        <f aca="true">IF(OR(B129="",H129="",I129=""),0,IF(TODAY()&lt;H129,0,IF(TODAY()&gt;=I129,100,(TODAY()-H129)/(I129-H129)*100)))</f>
        <v>0</v>
      </c>
      <c r="N129" s="65" t="n">
        <v>0</v>
      </c>
      <c r="O129" s="66"/>
      <c r="P129" s="66"/>
      <c r="Q129" s="67" t="str">
        <f aca="true">IF(B129="","",IF(K129&lt;&gt;"",IF(K129&lt;=I129,"Terminé à temps","Terminé hors délai"),IF(N129=0,IF(TODAY()&lt;H129,"En attente",IF(TODAY()&gt;I129+30,"Critique","En retard")),IF(N129&gt;=M129,"À temps",IF(N129&gt;=M129*0.8,"À surveiller",IF(N129&gt;=M129*0.5,"En retard","Critique"))))))</f>
        <v/>
      </c>
      <c r="R129" s="68" t="n">
        <f aca="false">IFERROR(IF(Q129="Terminé à temps",100,IF(Q129="Terminé hors délai",75,IF(Q129="À temps",50,IF(Q129="À surveiller",40,IF(Q129="En retard",25,IF(Q129="Critique",10,IF(Q129="En attente",50,0))))))),0)</f>
        <v>0</v>
      </c>
      <c r="S129" s="11"/>
      <c r="T129" s="69"/>
      <c r="U129" s="70" t="n">
        <f aca="false">IFERROR(IF(T129="",0,T129*N129/100),0)</f>
        <v>0</v>
      </c>
      <c r="V129" s="11"/>
    </row>
    <row r="130" customFormat="false" ht="21.75" hidden="false" customHeight="true" outlineLevel="0" collapsed="false">
      <c r="B130" s="7"/>
      <c r="C130" s="7"/>
      <c r="D130" s="7"/>
      <c r="E130" s="7"/>
      <c r="F130" s="7"/>
      <c r="G130" s="7"/>
      <c r="H130" s="71"/>
      <c r="I130" s="71"/>
      <c r="J130" s="71"/>
      <c r="K130" s="71"/>
      <c r="L130" s="7"/>
      <c r="M130" s="64" t="n">
        <f aca="true">IF(OR(B130="",H130="",I130=""),0,IF(TODAY()&lt;H130,0,IF(TODAY()&gt;=I130,100,(TODAY()-H130)/(I130-H130)*100)))</f>
        <v>0</v>
      </c>
      <c r="N130" s="72" t="n">
        <v>0</v>
      </c>
      <c r="O130" s="73"/>
      <c r="P130" s="73"/>
      <c r="Q130" s="67" t="str">
        <f aca="true">IF(B130="","",IF(K130&lt;&gt;"",IF(K130&lt;=I130,"Terminé à temps","Terminé hors délai"),IF(N130=0,IF(TODAY()&lt;H130,"En attente",IF(TODAY()&gt;I130+30,"Critique","En retard")),IF(N130&gt;=M130,"À temps",IF(N130&gt;=M130*0.8,"À surveiller",IF(N130&gt;=M130*0.5,"En retard","Critique"))))))</f>
        <v/>
      </c>
      <c r="R130" s="68" t="n">
        <f aca="false">IFERROR(IF(Q130="Terminé à temps",100,IF(Q130="Terminé hors délai",75,IF(Q130="À temps",50,IF(Q130="À surveiller",40,IF(Q130="En retard",25,IF(Q130="Critique",10,IF(Q130="En attente",50,0))))))),0)</f>
        <v>0</v>
      </c>
      <c r="S130" s="7"/>
      <c r="T130" s="74"/>
      <c r="U130" s="70" t="n">
        <f aca="false">IFERROR(IF(T130="",0,T130*N130/100),0)</f>
        <v>0</v>
      </c>
      <c r="V130" s="7"/>
    </row>
    <row r="131" customFormat="false" ht="21.75" hidden="false" customHeight="true" outlineLevel="0" collapsed="false">
      <c r="B131" s="11"/>
      <c r="C131" s="11"/>
      <c r="D131" s="11"/>
      <c r="E131" s="11"/>
      <c r="F131" s="11"/>
      <c r="G131" s="11"/>
      <c r="H131" s="63"/>
      <c r="I131" s="63"/>
      <c r="J131" s="63"/>
      <c r="K131" s="63"/>
      <c r="L131" s="11"/>
      <c r="M131" s="64" t="n">
        <f aca="true">IF(OR(B131="",H131="",I131=""),0,IF(TODAY()&lt;H131,0,IF(TODAY()&gt;=I131,100,(TODAY()-H131)/(I131-H131)*100)))</f>
        <v>0</v>
      </c>
      <c r="N131" s="65" t="n">
        <v>0</v>
      </c>
      <c r="O131" s="66"/>
      <c r="P131" s="66"/>
      <c r="Q131" s="67" t="str">
        <f aca="true">IF(B131="","",IF(K131&lt;&gt;"",IF(K131&lt;=I131,"Terminé à temps","Terminé hors délai"),IF(N131=0,IF(TODAY()&lt;H131,"En attente",IF(TODAY()&gt;I131+30,"Critique","En retard")),IF(N131&gt;=M131,"À temps",IF(N131&gt;=M131*0.8,"À surveiller",IF(N131&gt;=M131*0.5,"En retard","Critique"))))))</f>
        <v/>
      </c>
      <c r="R131" s="68" t="n">
        <f aca="false">IFERROR(IF(Q131="Terminé à temps",100,IF(Q131="Terminé hors délai",75,IF(Q131="À temps",50,IF(Q131="À surveiller",40,IF(Q131="En retard",25,IF(Q131="Critique",10,IF(Q131="En attente",50,0))))))),0)</f>
        <v>0</v>
      </c>
      <c r="S131" s="11"/>
      <c r="T131" s="69"/>
      <c r="U131" s="70" t="n">
        <f aca="false">IFERROR(IF(T131="",0,T131*N131/100),0)</f>
        <v>0</v>
      </c>
      <c r="V131" s="11"/>
    </row>
    <row r="132" customFormat="false" ht="21.75" hidden="false" customHeight="true" outlineLevel="0" collapsed="false">
      <c r="B132" s="7"/>
      <c r="C132" s="7"/>
      <c r="D132" s="7"/>
      <c r="E132" s="7"/>
      <c r="F132" s="7"/>
      <c r="G132" s="7"/>
      <c r="H132" s="71"/>
      <c r="I132" s="71"/>
      <c r="J132" s="71"/>
      <c r="K132" s="71"/>
      <c r="L132" s="7"/>
      <c r="M132" s="64" t="n">
        <f aca="true">IF(OR(B132="",H132="",I132=""),0,IF(TODAY()&lt;H132,0,IF(TODAY()&gt;=I132,100,(TODAY()-H132)/(I132-H132)*100)))</f>
        <v>0</v>
      </c>
      <c r="N132" s="72" t="n">
        <v>0</v>
      </c>
      <c r="O132" s="73"/>
      <c r="P132" s="73"/>
      <c r="Q132" s="67" t="str">
        <f aca="true">IF(B132="","",IF(K132&lt;&gt;"",IF(K132&lt;=I132,"Terminé à temps","Terminé hors délai"),IF(N132=0,IF(TODAY()&lt;H132,"En attente",IF(TODAY()&gt;I132+30,"Critique","En retard")),IF(N132&gt;=M132,"À temps",IF(N132&gt;=M132*0.8,"À surveiller",IF(N132&gt;=M132*0.5,"En retard","Critique"))))))</f>
        <v/>
      </c>
      <c r="R132" s="68" t="n">
        <f aca="false">IFERROR(IF(Q132="Terminé à temps",100,IF(Q132="Terminé hors délai",75,IF(Q132="À temps",50,IF(Q132="À surveiller",40,IF(Q132="En retard",25,IF(Q132="Critique",10,IF(Q132="En attente",50,0))))))),0)</f>
        <v>0</v>
      </c>
      <c r="S132" s="7"/>
      <c r="T132" s="74"/>
      <c r="U132" s="70" t="n">
        <f aca="false">IFERROR(IF(T132="",0,T132*N132/100),0)</f>
        <v>0</v>
      </c>
      <c r="V132" s="7"/>
    </row>
    <row r="133" customFormat="false" ht="21.75" hidden="false" customHeight="true" outlineLevel="0" collapsed="false">
      <c r="B133" s="11"/>
      <c r="C133" s="11"/>
      <c r="D133" s="11"/>
      <c r="E133" s="11"/>
      <c r="F133" s="11"/>
      <c r="G133" s="11"/>
      <c r="H133" s="63"/>
      <c r="I133" s="63"/>
      <c r="J133" s="63"/>
      <c r="K133" s="63"/>
      <c r="L133" s="11"/>
      <c r="M133" s="64" t="n">
        <f aca="true">IF(OR(B133="",H133="",I133=""),0,IF(TODAY()&lt;H133,0,IF(TODAY()&gt;=I133,100,(TODAY()-H133)/(I133-H133)*100)))</f>
        <v>0</v>
      </c>
      <c r="N133" s="65" t="n">
        <v>0</v>
      </c>
      <c r="O133" s="66"/>
      <c r="P133" s="66"/>
      <c r="Q133" s="67" t="str">
        <f aca="true">IF(B133="","",IF(K133&lt;&gt;"",IF(K133&lt;=I133,"Terminé à temps","Terminé hors délai"),IF(N133=0,IF(TODAY()&lt;H133,"En attente",IF(TODAY()&gt;I133+30,"Critique","En retard")),IF(N133&gt;=M133,"À temps",IF(N133&gt;=M133*0.8,"À surveiller",IF(N133&gt;=M133*0.5,"En retard","Critique"))))))</f>
        <v/>
      </c>
      <c r="R133" s="68" t="n">
        <f aca="false">IFERROR(IF(Q133="Terminé à temps",100,IF(Q133="Terminé hors délai",75,IF(Q133="À temps",50,IF(Q133="À surveiller",40,IF(Q133="En retard",25,IF(Q133="Critique",10,IF(Q133="En attente",50,0))))))),0)</f>
        <v>0</v>
      </c>
      <c r="S133" s="11"/>
      <c r="T133" s="69"/>
      <c r="U133" s="70" t="n">
        <f aca="false">IFERROR(IF(T133="",0,T133*N133/100),0)</f>
        <v>0</v>
      </c>
      <c r="V133" s="11"/>
    </row>
    <row r="134" customFormat="false" ht="21.75" hidden="false" customHeight="true" outlineLevel="0" collapsed="false">
      <c r="B134" s="7"/>
      <c r="C134" s="7"/>
      <c r="D134" s="7"/>
      <c r="E134" s="7"/>
      <c r="F134" s="7"/>
      <c r="G134" s="7"/>
      <c r="H134" s="71"/>
      <c r="I134" s="71"/>
      <c r="J134" s="71"/>
      <c r="K134" s="71"/>
      <c r="L134" s="7"/>
      <c r="M134" s="64" t="n">
        <f aca="true">IF(OR(B134="",H134="",I134=""),0,IF(TODAY()&lt;H134,0,IF(TODAY()&gt;=I134,100,(TODAY()-H134)/(I134-H134)*100)))</f>
        <v>0</v>
      </c>
      <c r="N134" s="72" t="n">
        <v>0</v>
      </c>
      <c r="O134" s="73"/>
      <c r="P134" s="73"/>
      <c r="Q134" s="67" t="str">
        <f aca="true">IF(B134="","",IF(K134&lt;&gt;"",IF(K134&lt;=I134,"Terminé à temps","Terminé hors délai"),IF(N134=0,IF(TODAY()&lt;H134,"En attente",IF(TODAY()&gt;I134+30,"Critique","En retard")),IF(N134&gt;=M134,"À temps",IF(N134&gt;=M134*0.8,"À surveiller",IF(N134&gt;=M134*0.5,"En retard","Critique"))))))</f>
        <v/>
      </c>
      <c r="R134" s="68" t="n">
        <f aca="false">IFERROR(IF(Q134="Terminé à temps",100,IF(Q134="Terminé hors délai",75,IF(Q134="À temps",50,IF(Q134="À surveiller",40,IF(Q134="En retard",25,IF(Q134="Critique",10,IF(Q134="En attente",50,0))))))),0)</f>
        <v>0</v>
      </c>
      <c r="S134" s="7"/>
      <c r="T134" s="74"/>
      <c r="U134" s="70" t="n">
        <f aca="false">IFERROR(IF(T134="",0,T134*N134/100),0)</f>
        <v>0</v>
      </c>
      <c r="V134" s="7"/>
    </row>
    <row r="135" customFormat="false" ht="21.75" hidden="false" customHeight="true" outlineLevel="0" collapsed="false">
      <c r="B135" s="11"/>
      <c r="C135" s="11"/>
      <c r="D135" s="11"/>
      <c r="E135" s="11"/>
      <c r="F135" s="11"/>
      <c r="G135" s="11"/>
      <c r="H135" s="63"/>
      <c r="I135" s="63"/>
      <c r="J135" s="63"/>
      <c r="K135" s="63"/>
      <c r="L135" s="11"/>
      <c r="M135" s="64" t="n">
        <f aca="true">IF(OR(B135="",H135="",I135=""),0,IF(TODAY()&lt;H135,0,IF(TODAY()&gt;=I135,100,(TODAY()-H135)/(I135-H135)*100)))</f>
        <v>0</v>
      </c>
      <c r="N135" s="65" t="n">
        <v>0</v>
      </c>
      <c r="O135" s="66"/>
      <c r="P135" s="66"/>
      <c r="Q135" s="67" t="str">
        <f aca="true">IF(B135="","",IF(K135&lt;&gt;"",IF(K135&lt;=I135,"Terminé à temps","Terminé hors délai"),IF(N135=0,IF(TODAY()&lt;H135,"En attente",IF(TODAY()&gt;I135+30,"Critique","En retard")),IF(N135&gt;=M135,"À temps",IF(N135&gt;=M135*0.8,"À surveiller",IF(N135&gt;=M135*0.5,"En retard","Critique"))))))</f>
        <v/>
      </c>
      <c r="R135" s="68" t="n">
        <f aca="false">IFERROR(IF(Q135="Terminé à temps",100,IF(Q135="Terminé hors délai",75,IF(Q135="À temps",50,IF(Q135="À surveiller",40,IF(Q135="En retard",25,IF(Q135="Critique",10,IF(Q135="En attente",50,0))))))),0)</f>
        <v>0</v>
      </c>
      <c r="S135" s="11"/>
      <c r="T135" s="69"/>
      <c r="U135" s="70" t="n">
        <f aca="false">IFERROR(IF(T135="",0,T135*N135/100),0)</f>
        <v>0</v>
      </c>
      <c r="V135" s="11"/>
    </row>
    <row r="136" customFormat="false" ht="21.75" hidden="false" customHeight="true" outlineLevel="0" collapsed="false">
      <c r="B136" s="7"/>
      <c r="C136" s="7"/>
      <c r="D136" s="7"/>
      <c r="E136" s="7"/>
      <c r="F136" s="7"/>
      <c r="G136" s="7"/>
      <c r="H136" s="71"/>
      <c r="I136" s="71"/>
      <c r="J136" s="71"/>
      <c r="K136" s="71"/>
      <c r="L136" s="7"/>
      <c r="M136" s="64" t="n">
        <f aca="true">IF(OR(B136="",H136="",I136=""),0,IF(TODAY()&lt;H136,0,IF(TODAY()&gt;=I136,100,(TODAY()-H136)/(I136-H136)*100)))</f>
        <v>0</v>
      </c>
      <c r="N136" s="72" t="n">
        <v>0</v>
      </c>
      <c r="O136" s="73"/>
      <c r="P136" s="73"/>
      <c r="Q136" s="67" t="str">
        <f aca="true">IF(B136="","",IF(K136&lt;&gt;"",IF(K136&lt;=I136,"Terminé à temps","Terminé hors délai"),IF(N136=0,IF(TODAY()&lt;H136,"En attente",IF(TODAY()&gt;I136+30,"Critique","En retard")),IF(N136&gt;=M136,"À temps",IF(N136&gt;=M136*0.8,"À surveiller",IF(N136&gt;=M136*0.5,"En retard","Critique"))))))</f>
        <v/>
      </c>
      <c r="R136" s="68" t="n">
        <f aca="false">IFERROR(IF(Q136="Terminé à temps",100,IF(Q136="Terminé hors délai",75,IF(Q136="À temps",50,IF(Q136="À surveiller",40,IF(Q136="En retard",25,IF(Q136="Critique",10,IF(Q136="En attente",50,0))))))),0)</f>
        <v>0</v>
      </c>
      <c r="S136" s="7"/>
      <c r="T136" s="74"/>
      <c r="U136" s="70" t="n">
        <f aca="false">IFERROR(IF(T136="",0,T136*N136/100),0)</f>
        <v>0</v>
      </c>
      <c r="V136" s="7"/>
    </row>
    <row r="137" customFormat="false" ht="21.75" hidden="false" customHeight="true" outlineLevel="0" collapsed="false">
      <c r="B137" s="11"/>
      <c r="C137" s="11"/>
      <c r="D137" s="11"/>
      <c r="E137" s="11"/>
      <c r="F137" s="11"/>
      <c r="G137" s="11"/>
      <c r="H137" s="63"/>
      <c r="I137" s="63"/>
      <c r="J137" s="63"/>
      <c r="K137" s="63"/>
      <c r="L137" s="11"/>
      <c r="M137" s="64" t="n">
        <f aca="true">IF(OR(B137="",H137="",I137=""),0,IF(TODAY()&lt;H137,0,IF(TODAY()&gt;=I137,100,(TODAY()-H137)/(I137-H137)*100)))</f>
        <v>0</v>
      </c>
      <c r="N137" s="65" t="n">
        <v>0</v>
      </c>
      <c r="O137" s="66"/>
      <c r="P137" s="66"/>
      <c r="Q137" s="67" t="str">
        <f aca="true">IF(B137="","",IF(K137&lt;&gt;"",IF(K137&lt;=I137,"Terminé à temps","Terminé hors délai"),IF(N137=0,IF(TODAY()&lt;H137,"En attente",IF(TODAY()&gt;I137+30,"Critique","En retard")),IF(N137&gt;=M137,"À temps",IF(N137&gt;=M137*0.8,"À surveiller",IF(N137&gt;=M137*0.5,"En retard","Critique"))))))</f>
        <v/>
      </c>
      <c r="R137" s="68" t="n">
        <f aca="false">IFERROR(IF(Q137="Terminé à temps",100,IF(Q137="Terminé hors délai",75,IF(Q137="À temps",50,IF(Q137="À surveiller",40,IF(Q137="En retard",25,IF(Q137="Critique",10,IF(Q137="En attente",50,0))))))),0)</f>
        <v>0</v>
      </c>
      <c r="S137" s="11"/>
      <c r="T137" s="69"/>
      <c r="U137" s="70" t="n">
        <f aca="false">IFERROR(IF(T137="",0,T137*N137/100),0)</f>
        <v>0</v>
      </c>
      <c r="V137" s="11"/>
    </row>
    <row r="138" customFormat="false" ht="21.75" hidden="false" customHeight="true" outlineLevel="0" collapsed="false">
      <c r="B138" s="7"/>
      <c r="C138" s="7"/>
      <c r="D138" s="7"/>
      <c r="E138" s="7"/>
      <c r="F138" s="7"/>
      <c r="G138" s="7"/>
      <c r="H138" s="71"/>
      <c r="I138" s="71"/>
      <c r="J138" s="71"/>
      <c r="K138" s="71"/>
      <c r="L138" s="7"/>
      <c r="M138" s="64" t="n">
        <f aca="true">IF(OR(B138="",H138="",I138=""),0,IF(TODAY()&lt;H138,0,IF(TODAY()&gt;=I138,100,(TODAY()-H138)/(I138-H138)*100)))</f>
        <v>0</v>
      </c>
      <c r="N138" s="72" t="n">
        <v>0</v>
      </c>
      <c r="O138" s="73"/>
      <c r="P138" s="73"/>
      <c r="Q138" s="67" t="str">
        <f aca="true">IF(B138="","",IF(K138&lt;&gt;"",IF(K138&lt;=I138,"Terminé à temps","Terminé hors délai"),IF(N138=0,IF(TODAY()&lt;H138,"En attente",IF(TODAY()&gt;I138+30,"Critique","En retard")),IF(N138&gt;=M138,"À temps",IF(N138&gt;=M138*0.8,"À surveiller",IF(N138&gt;=M138*0.5,"En retard","Critique"))))))</f>
        <v/>
      </c>
      <c r="R138" s="68" t="n">
        <f aca="false">IFERROR(IF(Q138="Terminé à temps",100,IF(Q138="Terminé hors délai",75,IF(Q138="À temps",50,IF(Q138="À surveiller",40,IF(Q138="En retard",25,IF(Q138="Critique",10,IF(Q138="En attente",50,0))))))),0)</f>
        <v>0</v>
      </c>
      <c r="S138" s="7"/>
      <c r="T138" s="74"/>
      <c r="U138" s="70" t="n">
        <f aca="false">IFERROR(IF(T138="",0,T138*N138/100),0)</f>
        <v>0</v>
      </c>
      <c r="V138" s="7"/>
    </row>
    <row r="139" customFormat="false" ht="21.75" hidden="false" customHeight="true" outlineLevel="0" collapsed="false">
      <c r="B139" s="11"/>
      <c r="C139" s="11"/>
      <c r="D139" s="11"/>
      <c r="E139" s="11"/>
      <c r="F139" s="11"/>
      <c r="G139" s="11"/>
      <c r="H139" s="63"/>
      <c r="I139" s="63"/>
      <c r="J139" s="63"/>
      <c r="K139" s="63"/>
      <c r="L139" s="11"/>
      <c r="M139" s="64" t="n">
        <f aca="true">IF(OR(B139="",H139="",I139=""),0,IF(TODAY()&lt;H139,0,IF(TODAY()&gt;=I139,100,(TODAY()-H139)/(I139-H139)*100)))</f>
        <v>0</v>
      </c>
      <c r="N139" s="65" t="n">
        <v>0</v>
      </c>
      <c r="O139" s="66"/>
      <c r="P139" s="66"/>
      <c r="Q139" s="67" t="str">
        <f aca="true">IF(B139="","",IF(K139&lt;&gt;"",IF(K139&lt;=I139,"Terminé à temps","Terminé hors délai"),IF(N139=0,IF(TODAY()&lt;H139,"En attente",IF(TODAY()&gt;I139+30,"Critique","En retard")),IF(N139&gt;=M139,"À temps",IF(N139&gt;=M139*0.8,"À surveiller",IF(N139&gt;=M139*0.5,"En retard","Critique"))))))</f>
        <v/>
      </c>
      <c r="R139" s="68" t="n">
        <f aca="false">IFERROR(IF(Q139="Terminé à temps",100,IF(Q139="Terminé hors délai",75,IF(Q139="À temps",50,IF(Q139="À surveiller",40,IF(Q139="En retard",25,IF(Q139="Critique",10,IF(Q139="En attente",50,0))))))),0)</f>
        <v>0</v>
      </c>
      <c r="S139" s="11"/>
      <c r="T139" s="69"/>
      <c r="U139" s="70" t="n">
        <f aca="false">IFERROR(IF(T139="",0,T139*N139/100),0)</f>
        <v>0</v>
      </c>
      <c r="V139" s="11"/>
    </row>
    <row r="140" customFormat="false" ht="21.75" hidden="false" customHeight="true" outlineLevel="0" collapsed="false">
      <c r="B140" s="7"/>
      <c r="C140" s="7"/>
      <c r="D140" s="7"/>
      <c r="E140" s="7"/>
      <c r="F140" s="7"/>
      <c r="G140" s="7"/>
      <c r="H140" s="71"/>
      <c r="I140" s="71"/>
      <c r="J140" s="71"/>
      <c r="K140" s="71"/>
      <c r="L140" s="7"/>
      <c r="M140" s="64" t="n">
        <f aca="true">IF(OR(B140="",H140="",I140=""),0,IF(TODAY()&lt;H140,0,IF(TODAY()&gt;=I140,100,(TODAY()-H140)/(I140-H140)*100)))</f>
        <v>0</v>
      </c>
      <c r="N140" s="72" t="n">
        <v>0</v>
      </c>
      <c r="O140" s="73"/>
      <c r="P140" s="73"/>
      <c r="Q140" s="67" t="str">
        <f aca="true">IF(B140="","",IF(K140&lt;&gt;"",IF(K140&lt;=I140,"Terminé à temps","Terminé hors délai"),IF(N140=0,IF(TODAY()&lt;H140,"En attente",IF(TODAY()&gt;I140+30,"Critique","En retard")),IF(N140&gt;=M140,"À temps",IF(N140&gt;=M140*0.8,"À surveiller",IF(N140&gt;=M140*0.5,"En retard","Critique"))))))</f>
        <v/>
      </c>
      <c r="R140" s="68" t="n">
        <f aca="false">IFERROR(IF(Q140="Terminé à temps",100,IF(Q140="Terminé hors délai",75,IF(Q140="À temps",50,IF(Q140="À surveiller",40,IF(Q140="En retard",25,IF(Q140="Critique",10,IF(Q140="En attente",50,0))))))),0)</f>
        <v>0</v>
      </c>
      <c r="S140" s="7"/>
      <c r="T140" s="74"/>
      <c r="U140" s="70" t="n">
        <f aca="false">IFERROR(IF(T140="",0,T140*N140/100),0)</f>
        <v>0</v>
      </c>
      <c r="V140" s="7"/>
    </row>
    <row r="141" customFormat="false" ht="21.75" hidden="false" customHeight="true" outlineLevel="0" collapsed="false">
      <c r="B141" s="11"/>
      <c r="C141" s="11"/>
      <c r="D141" s="11"/>
      <c r="E141" s="11"/>
      <c r="F141" s="11"/>
      <c r="G141" s="11"/>
      <c r="H141" s="63"/>
      <c r="I141" s="63"/>
      <c r="J141" s="63"/>
      <c r="K141" s="63"/>
      <c r="L141" s="11"/>
      <c r="M141" s="64" t="n">
        <f aca="true">IF(OR(B141="",H141="",I141=""),0,IF(TODAY()&lt;H141,0,IF(TODAY()&gt;=I141,100,(TODAY()-H141)/(I141-H141)*100)))</f>
        <v>0</v>
      </c>
      <c r="N141" s="65" t="n">
        <v>0</v>
      </c>
      <c r="O141" s="66"/>
      <c r="P141" s="66"/>
      <c r="Q141" s="67" t="str">
        <f aca="true">IF(B141="","",IF(K141&lt;&gt;"",IF(K141&lt;=I141,"Terminé à temps","Terminé hors délai"),IF(N141=0,IF(TODAY()&lt;H141,"En attente",IF(TODAY()&gt;I141+30,"Critique","En retard")),IF(N141&gt;=M141,"À temps",IF(N141&gt;=M141*0.8,"À surveiller",IF(N141&gt;=M141*0.5,"En retard","Critique"))))))</f>
        <v/>
      </c>
      <c r="R141" s="68" t="n">
        <f aca="false">IFERROR(IF(Q141="Terminé à temps",100,IF(Q141="Terminé hors délai",75,IF(Q141="À temps",50,IF(Q141="À surveiller",40,IF(Q141="En retard",25,IF(Q141="Critique",10,IF(Q141="En attente",50,0))))))),0)</f>
        <v>0</v>
      </c>
      <c r="S141" s="11"/>
      <c r="T141" s="69"/>
      <c r="U141" s="70" t="n">
        <f aca="false">IFERROR(IF(T141="",0,T141*N141/100),0)</f>
        <v>0</v>
      </c>
      <c r="V141" s="11"/>
    </row>
    <row r="142" customFormat="false" ht="21.75" hidden="false" customHeight="true" outlineLevel="0" collapsed="false">
      <c r="B142" s="7"/>
      <c r="C142" s="7"/>
      <c r="D142" s="7"/>
      <c r="E142" s="7"/>
      <c r="F142" s="7"/>
      <c r="G142" s="7"/>
      <c r="H142" s="71"/>
      <c r="I142" s="71"/>
      <c r="J142" s="71"/>
      <c r="K142" s="71"/>
      <c r="L142" s="7"/>
      <c r="M142" s="64" t="n">
        <f aca="true">IF(OR(B142="",H142="",I142=""),0,IF(TODAY()&lt;H142,0,IF(TODAY()&gt;=I142,100,(TODAY()-H142)/(I142-H142)*100)))</f>
        <v>0</v>
      </c>
      <c r="N142" s="72" t="n">
        <v>0</v>
      </c>
      <c r="O142" s="73"/>
      <c r="P142" s="73"/>
      <c r="Q142" s="67" t="str">
        <f aca="true">IF(B142="","",IF(K142&lt;&gt;"",IF(K142&lt;=I142,"Terminé à temps","Terminé hors délai"),IF(N142=0,IF(TODAY()&lt;H142,"En attente",IF(TODAY()&gt;I142+30,"Critique","En retard")),IF(N142&gt;=M142,"À temps",IF(N142&gt;=M142*0.8,"À surveiller",IF(N142&gt;=M142*0.5,"En retard","Critique"))))))</f>
        <v/>
      </c>
      <c r="R142" s="68" t="n">
        <f aca="false">IFERROR(IF(Q142="Terminé à temps",100,IF(Q142="Terminé hors délai",75,IF(Q142="À temps",50,IF(Q142="À surveiller",40,IF(Q142="En retard",25,IF(Q142="Critique",10,IF(Q142="En attente",50,0))))))),0)</f>
        <v>0</v>
      </c>
      <c r="S142" s="7"/>
      <c r="T142" s="74"/>
      <c r="U142" s="70" t="n">
        <f aca="false">IFERROR(IF(T142="",0,T142*N142/100),0)</f>
        <v>0</v>
      </c>
      <c r="V142" s="7"/>
    </row>
    <row r="143" customFormat="false" ht="21.75" hidden="false" customHeight="true" outlineLevel="0" collapsed="false">
      <c r="B143" s="11"/>
      <c r="C143" s="11"/>
      <c r="D143" s="11"/>
      <c r="E143" s="11"/>
      <c r="F143" s="11"/>
      <c r="G143" s="11"/>
      <c r="H143" s="63"/>
      <c r="I143" s="63"/>
      <c r="J143" s="63"/>
      <c r="K143" s="63"/>
      <c r="L143" s="11"/>
      <c r="M143" s="64" t="n">
        <f aca="true">IF(OR(B143="",H143="",I143=""),0,IF(TODAY()&lt;H143,0,IF(TODAY()&gt;=I143,100,(TODAY()-H143)/(I143-H143)*100)))</f>
        <v>0</v>
      </c>
      <c r="N143" s="65" t="n">
        <v>0</v>
      </c>
      <c r="O143" s="66"/>
      <c r="P143" s="66"/>
      <c r="Q143" s="67" t="str">
        <f aca="true">IF(B143="","",IF(K143&lt;&gt;"",IF(K143&lt;=I143,"Terminé à temps","Terminé hors délai"),IF(N143=0,IF(TODAY()&lt;H143,"En attente",IF(TODAY()&gt;I143+30,"Critique","En retard")),IF(N143&gt;=M143,"À temps",IF(N143&gt;=M143*0.8,"À surveiller",IF(N143&gt;=M143*0.5,"En retard","Critique"))))))</f>
        <v/>
      </c>
      <c r="R143" s="68" t="n">
        <f aca="false">IFERROR(IF(Q143="Terminé à temps",100,IF(Q143="Terminé hors délai",75,IF(Q143="À temps",50,IF(Q143="À surveiller",40,IF(Q143="En retard",25,IF(Q143="Critique",10,IF(Q143="En attente",50,0))))))),0)</f>
        <v>0</v>
      </c>
      <c r="S143" s="11"/>
      <c r="T143" s="69"/>
      <c r="U143" s="70" t="n">
        <f aca="false">IFERROR(IF(T143="",0,T143*N143/100),0)</f>
        <v>0</v>
      </c>
      <c r="V143" s="11"/>
    </row>
    <row r="144" customFormat="false" ht="21.75" hidden="false" customHeight="true" outlineLevel="0" collapsed="false">
      <c r="B144" s="7"/>
      <c r="C144" s="7"/>
      <c r="D144" s="7"/>
      <c r="E144" s="7"/>
      <c r="F144" s="7"/>
      <c r="G144" s="7"/>
      <c r="H144" s="71"/>
      <c r="I144" s="71"/>
      <c r="J144" s="71"/>
      <c r="K144" s="71"/>
      <c r="L144" s="7"/>
      <c r="M144" s="64" t="n">
        <f aca="true">IF(OR(B144="",H144="",I144=""),0,IF(TODAY()&lt;H144,0,IF(TODAY()&gt;=I144,100,(TODAY()-H144)/(I144-H144)*100)))</f>
        <v>0</v>
      </c>
      <c r="N144" s="72" t="n">
        <v>0</v>
      </c>
      <c r="O144" s="73"/>
      <c r="P144" s="73"/>
      <c r="Q144" s="67" t="str">
        <f aca="true">IF(B144="","",IF(K144&lt;&gt;"",IF(K144&lt;=I144,"Terminé à temps","Terminé hors délai"),IF(N144=0,IF(TODAY()&lt;H144,"En attente",IF(TODAY()&gt;I144+30,"Critique","En retard")),IF(N144&gt;=M144,"À temps",IF(N144&gt;=M144*0.8,"À surveiller",IF(N144&gt;=M144*0.5,"En retard","Critique"))))))</f>
        <v/>
      </c>
      <c r="R144" s="68" t="n">
        <f aca="false">IFERROR(IF(Q144="Terminé à temps",100,IF(Q144="Terminé hors délai",75,IF(Q144="À temps",50,IF(Q144="À surveiller",40,IF(Q144="En retard",25,IF(Q144="Critique",10,IF(Q144="En attente",50,0))))))),0)</f>
        <v>0</v>
      </c>
      <c r="S144" s="7"/>
      <c r="T144" s="74"/>
      <c r="U144" s="70" t="n">
        <f aca="false">IFERROR(IF(T144="",0,T144*N144/100),0)</f>
        <v>0</v>
      </c>
      <c r="V144" s="7"/>
    </row>
    <row r="145" customFormat="false" ht="21.75" hidden="false" customHeight="true" outlineLevel="0" collapsed="false">
      <c r="B145" s="11"/>
      <c r="C145" s="11"/>
      <c r="D145" s="11"/>
      <c r="E145" s="11"/>
      <c r="F145" s="11"/>
      <c r="G145" s="11"/>
      <c r="H145" s="63"/>
      <c r="I145" s="63"/>
      <c r="J145" s="63"/>
      <c r="K145" s="63"/>
      <c r="L145" s="11"/>
      <c r="M145" s="64" t="n">
        <f aca="true">IF(OR(B145="",H145="",I145=""),0,IF(TODAY()&lt;H145,0,IF(TODAY()&gt;=I145,100,(TODAY()-H145)/(I145-H145)*100)))</f>
        <v>0</v>
      </c>
      <c r="N145" s="65" t="n">
        <v>0</v>
      </c>
      <c r="O145" s="66"/>
      <c r="P145" s="66"/>
      <c r="Q145" s="67" t="str">
        <f aca="true">IF(B145="","",IF(K145&lt;&gt;"",IF(K145&lt;=I145,"Terminé à temps","Terminé hors délai"),IF(N145=0,IF(TODAY()&lt;H145,"En attente",IF(TODAY()&gt;I145+30,"Critique","En retard")),IF(N145&gt;=M145,"À temps",IF(N145&gt;=M145*0.8,"À surveiller",IF(N145&gt;=M145*0.5,"En retard","Critique"))))))</f>
        <v/>
      </c>
      <c r="R145" s="68" t="n">
        <f aca="false">IFERROR(IF(Q145="Terminé à temps",100,IF(Q145="Terminé hors délai",75,IF(Q145="À temps",50,IF(Q145="À surveiller",40,IF(Q145="En retard",25,IF(Q145="Critique",10,IF(Q145="En attente",50,0))))))),0)</f>
        <v>0</v>
      </c>
      <c r="S145" s="11"/>
      <c r="T145" s="69"/>
      <c r="U145" s="70" t="n">
        <f aca="false">IFERROR(IF(T145="",0,T145*N145/100),0)</f>
        <v>0</v>
      </c>
      <c r="V145" s="11"/>
    </row>
    <row r="146" customFormat="false" ht="21.75" hidden="false" customHeight="true" outlineLevel="0" collapsed="false">
      <c r="B146" s="7"/>
      <c r="C146" s="7"/>
      <c r="D146" s="7"/>
      <c r="E146" s="7"/>
      <c r="F146" s="7"/>
      <c r="G146" s="7"/>
      <c r="H146" s="71"/>
      <c r="I146" s="71"/>
      <c r="J146" s="71"/>
      <c r="K146" s="71"/>
      <c r="L146" s="7"/>
      <c r="M146" s="64" t="n">
        <f aca="true">IF(OR(B146="",H146="",I146=""),0,IF(TODAY()&lt;H146,0,IF(TODAY()&gt;=I146,100,(TODAY()-H146)/(I146-H146)*100)))</f>
        <v>0</v>
      </c>
      <c r="N146" s="72" t="n">
        <v>0</v>
      </c>
      <c r="O146" s="73"/>
      <c r="P146" s="73"/>
      <c r="Q146" s="67" t="str">
        <f aca="true">IF(B146="","",IF(K146&lt;&gt;"",IF(K146&lt;=I146,"Terminé à temps","Terminé hors délai"),IF(N146=0,IF(TODAY()&lt;H146,"En attente",IF(TODAY()&gt;I146+30,"Critique","En retard")),IF(N146&gt;=M146,"À temps",IF(N146&gt;=M146*0.8,"À surveiller",IF(N146&gt;=M146*0.5,"En retard","Critique"))))))</f>
        <v/>
      </c>
      <c r="R146" s="68" t="n">
        <f aca="false">IFERROR(IF(Q146="Terminé à temps",100,IF(Q146="Terminé hors délai",75,IF(Q146="À temps",50,IF(Q146="À surveiller",40,IF(Q146="En retard",25,IF(Q146="Critique",10,IF(Q146="En attente",50,0))))))),0)</f>
        <v>0</v>
      </c>
      <c r="S146" s="7"/>
      <c r="T146" s="74"/>
      <c r="U146" s="70" t="n">
        <f aca="false">IFERROR(IF(T146="",0,T146*N146/100),0)</f>
        <v>0</v>
      </c>
      <c r="V146" s="7"/>
    </row>
    <row r="147" customFormat="false" ht="21.75" hidden="false" customHeight="true" outlineLevel="0" collapsed="false">
      <c r="B147" s="11"/>
      <c r="C147" s="11"/>
      <c r="D147" s="11"/>
      <c r="E147" s="11"/>
      <c r="F147" s="11"/>
      <c r="G147" s="11"/>
      <c r="H147" s="63"/>
      <c r="I147" s="63"/>
      <c r="J147" s="63"/>
      <c r="K147" s="63"/>
      <c r="L147" s="11"/>
      <c r="M147" s="64" t="n">
        <f aca="true">IF(OR(B147="",H147="",I147=""),0,IF(TODAY()&lt;H147,0,IF(TODAY()&gt;=I147,100,(TODAY()-H147)/(I147-H147)*100)))</f>
        <v>0</v>
      </c>
      <c r="N147" s="65" t="n">
        <v>0</v>
      </c>
      <c r="O147" s="66"/>
      <c r="P147" s="66"/>
      <c r="Q147" s="67" t="str">
        <f aca="true">IF(B147="","",IF(K147&lt;&gt;"",IF(K147&lt;=I147,"Terminé à temps","Terminé hors délai"),IF(N147=0,IF(TODAY()&lt;H147,"En attente",IF(TODAY()&gt;I147+30,"Critique","En retard")),IF(N147&gt;=M147,"À temps",IF(N147&gt;=M147*0.8,"À surveiller",IF(N147&gt;=M147*0.5,"En retard","Critique"))))))</f>
        <v/>
      </c>
      <c r="R147" s="68" t="n">
        <f aca="false">IFERROR(IF(Q147="Terminé à temps",100,IF(Q147="Terminé hors délai",75,IF(Q147="À temps",50,IF(Q147="À surveiller",40,IF(Q147="En retard",25,IF(Q147="Critique",10,IF(Q147="En attente",50,0))))))),0)</f>
        <v>0</v>
      </c>
      <c r="S147" s="11"/>
      <c r="T147" s="69"/>
      <c r="U147" s="70" t="n">
        <f aca="false">IFERROR(IF(T147="",0,T147*N147/100),0)</f>
        <v>0</v>
      </c>
      <c r="V147" s="11"/>
    </row>
    <row r="148" customFormat="false" ht="21.75" hidden="false" customHeight="true" outlineLevel="0" collapsed="false">
      <c r="B148" s="7"/>
      <c r="C148" s="7"/>
      <c r="D148" s="7"/>
      <c r="E148" s="7"/>
      <c r="F148" s="7"/>
      <c r="G148" s="7"/>
      <c r="H148" s="71"/>
      <c r="I148" s="71"/>
      <c r="J148" s="71"/>
      <c r="K148" s="71"/>
      <c r="L148" s="7"/>
      <c r="M148" s="64" t="n">
        <f aca="true">IF(OR(B148="",H148="",I148=""),0,IF(TODAY()&lt;H148,0,IF(TODAY()&gt;=I148,100,(TODAY()-H148)/(I148-H148)*100)))</f>
        <v>0</v>
      </c>
      <c r="N148" s="72" t="n">
        <v>0</v>
      </c>
      <c r="O148" s="73"/>
      <c r="P148" s="73"/>
      <c r="Q148" s="67" t="str">
        <f aca="true">IF(B148="","",IF(K148&lt;&gt;"",IF(K148&lt;=I148,"Terminé à temps","Terminé hors délai"),IF(N148=0,IF(TODAY()&lt;H148,"En attente",IF(TODAY()&gt;I148+30,"Critique","En retard")),IF(N148&gt;=M148,"À temps",IF(N148&gt;=M148*0.8,"À surveiller",IF(N148&gt;=M148*0.5,"En retard","Critique"))))))</f>
        <v/>
      </c>
      <c r="R148" s="68" t="n">
        <f aca="false">IFERROR(IF(Q148="Terminé à temps",100,IF(Q148="Terminé hors délai",75,IF(Q148="À temps",50,IF(Q148="À surveiller",40,IF(Q148="En retard",25,IF(Q148="Critique",10,IF(Q148="En attente",50,0))))))),0)</f>
        <v>0</v>
      </c>
      <c r="S148" s="7"/>
      <c r="T148" s="74"/>
      <c r="U148" s="70" t="n">
        <f aca="false">IFERROR(IF(T148="",0,T148*N148/100),0)</f>
        <v>0</v>
      </c>
      <c r="V148" s="7"/>
    </row>
    <row r="149" customFormat="false" ht="21.75" hidden="false" customHeight="true" outlineLevel="0" collapsed="false">
      <c r="B149" s="11"/>
      <c r="C149" s="11"/>
      <c r="D149" s="11"/>
      <c r="E149" s="11"/>
      <c r="F149" s="11"/>
      <c r="G149" s="11"/>
      <c r="H149" s="63"/>
      <c r="I149" s="63"/>
      <c r="J149" s="63"/>
      <c r="K149" s="63"/>
      <c r="L149" s="11"/>
      <c r="M149" s="64" t="n">
        <f aca="true">IF(OR(B149="",H149="",I149=""),0,IF(TODAY()&lt;H149,0,IF(TODAY()&gt;=I149,100,(TODAY()-H149)/(I149-H149)*100)))</f>
        <v>0</v>
      </c>
      <c r="N149" s="65" t="n">
        <v>0</v>
      </c>
      <c r="O149" s="66"/>
      <c r="P149" s="66"/>
      <c r="Q149" s="67" t="str">
        <f aca="true">IF(B149="","",IF(K149&lt;&gt;"",IF(K149&lt;=I149,"Terminé à temps","Terminé hors délai"),IF(N149=0,IF(TODAY()&lt;H149,"En attente",IF(TODAY()&gt;I149+30,"Critique","En retard")),IF(N149&gt;=M149,"À temps",IF(N149&gt;=M149*0.8,"À surveiller",IF(N149&gt;=M149*0.5,"En retard","Critique"))))))</f>
        <v/>
      </c>
      <c r="R149" s="68" t="n">
        <f aca="false">IFERROR(IF(Q149="Terminé à temps",100,IF(Q149="Terminé hors délai",75,IF(Q149="À temps",50,IF(Q149="À surveiller",40,IF(Q149="En retard",25,IF(Q149="Critique",10,IF(Q149="En attente",50,0))))))),0)</f>
        <v>0</v>
      </c>
      <c r="S149" s="11"/>
      <c r="T149" s="69"/>
      <c r="U149" s="70" t="n">
        <f aca="false">IFERROR(IF(T149="",0,T149*N149/100),0)</f>
        <v>0</v>
      </c>
      <c r="V149" s="11"/>
    </row>
    <row r="150" customFormat="false" ht="21.75" hidden="false" customHeight="true" outlineLevel="0" collapsed="false">
      <c r="B150" s="7"/>
      <c r="C150" s="7"/>
      <c r="D150" s="7"/>
      <c r="E150" s="7"/>
      <c r="F150" s="7"/>
      <c r="G150" s="7"/>
      <c r="H150" s="71"/>
      <c r="I150" s="71"/>
      <c r="J150" s="71"/>
      <c r="K150" s="71"/>
      <c r="L150" s="7"/>
      <c r="M150" s="64" t="n">
        <f aca="true">IF(OR(B150="",H150="",I150=""),0,IF(TODAY()&lt;H150,0,IF(TODAY()&gt;=I150,100,(TODAY()-H150)/(I150-H150)*100)))</f>
        <v>0</v>
      </c>
      <c r="N150" s="72" t="n">
        <v>0</v>
      </c>
      <c r="O150" s="73"/>
      <c r="P150" s="73"/>
      <c r="Q150" s="67" t="str">
        <f aca="true">IF(B150="","",IF(K150&lt;&gt;"",IF(K150&lt;=I150,"Terminé à temps","Terminé hors délai"),IF(N150=0,IF(TODAY()&lt;H150,"En attente",IF(TODAY()&gt;I150+30,"Critique","En retard")),IF(N150&gt;=M150,"À temps",IF(N150&gt;=M150*0.8,"À surveiller",IF(N150&gt;=M150*0.5,"En retard","Critique"))))))</f>
        <v/>
      </c>
      <c r="R150" s="68" t="n">
        <f aca="false">IFERROR(IF(Q150="Terminé à temps",100,IF(Q150="Terminé hors délai",75,IF(Q150="À temps",50,IF(Q150="À surveiller",40,IF(Q150="En retard",25,IF(Q150="Critique",10,IF(Q150="En attente",50,0))))))),0)</f>
        <v>0</v>
      </c>
      <c r="S150" s="7"/>
      <c r="T150" s="74"/>
      <c r="U150" s="70" t="n">
        <f aca="false">IFERROR(IF(T150="",0,T150*N150/100),0)</f>
        <v>0</v>
      </c>
      <c r="V150" s="7"/>
    </row>
    <row r="151" customFormat="false" ht="21.75" hidden="false" customHeight="true" outlineLevel="0" collapsed="false">
      <c r="B151" s="11"/>
      <c r="C151" s="11"/>
      <c r="D151" s="11"/>
      <c r="E151" s="11"/>
      <c r="F151" s="11"/>
      <c r="G151" s="11"/>
      <c r="H151" s="63"/>
      <c r="I151" s="63"/>
      <c r="J151" s="63"/>
      <c r="K151" s="63"/>
      <c r="L151" s="11"/>
      <c r="M151" s="64" t="n">
        <f aca="true">IF(OR(B151="",H151="",I151=""),0,IF(TODAY()&lt;H151,0,IF(TODAY()&gt;=I151,100,(TODAY()-H151)/(I151-H151)*100)))</f>
        <v>0</v>
      </c>
      <c r="N151" s="65" t="n">
        <v>0</v>
      </c>
      <c r="O151" s="66"/>
      <c r="P151" s="66"/>
      <c r="Q151" s="67" t="str">
        <f aca="true">IF(B151="","",IF(K151&lt;&gt;"",IF(K151&lt;=I151,"Terminé à temps","Terminé hors délai"),IF(N151=0,IF(TODAY()&lt;H151,"En attente",IF(TODAY()&gt;I151+30,"Critique","En retard")),IF(N151&gt;=M151,"À temps",IF(N151&gt;=M151*0.8,"À surveiller",IF(N151&gt;=M151*0.5,"En retard","Critique"))))))</f>
        <v/>
      </c>
      <c r="R151" s="68" t="n">
        <f aca="false">IFERROR(IF(Q151="Terminé à temps",100,IF(Q151="Terminé hors délai",75,IF(Q151="À temps",50,IF(Q151="À surveiller",40,IF(Q151="En retard",25,IF(Q151="Critique",10,IF(Q151="En attente",50,0))))))),0)</f>
        <v>0</v>
      </c>
      <c r="S151" s="11"/>
      <c r="T151" s="69"/>
      <c r="U151" s="70" t="n">
        <f aca="false">IFERROR(IF(T151="",0,T151*N151/100),0)</f>
        <v>0</v>
      </c>
      <c r="V151" s="11"/>
    </row>
    <row r="152" customFormat="false" ht="21.75" hidden="false" customHeight="true" outlineLevel="0" collapsed="false">
      <c r="B152" s="7"/>
      <c r="C152" s="7"/>
      <c r="D152" s="7"/>
      <c r="E152" s="7"/>
      <c r="F152" s="7"/>
      <c r="G152" s="7"/>
      <c r="H152" s="71"/>
      <c r="I152" s="71"/>
      <c r="J152" s="71"/>
      <c r="K152" s="71"/>
      <c r="L152" s="7"/>
      <c r="M152" s="64" t="n">
        <f aca="true">IF(OR(B152="",H152="",I152=""),0,IF(TODAY()&lt;H152,0,IF(TODAY()&gt;=I152,100,(TODAY()-H152)/(I152-H152)*100)))</f>
        <v>0</v>
      </c>
      <c r="N152" s="72" t="n">
        <v>0</v>
      </c>
      <c r="O152" s="73"/>
      <c r="P152" s="73"/>
      <c r="Q152" s="67" t="str">
        <f aca="true">IF(B152="","",IF(K152&lt;&gt;"",IF(K152&lt;=I152,"Terminé à temps","Terminé hors délai"),IF(N152=0,IF(TODAY()&lt;H152,"En attente",IF(TODAY()&gt;I152+30,"Critique","En retard")),IF(N152&gt;=M152,"À temps",IF(N152&gt;=M152*0.8,"À surveiller",IF(N152&gt;=M152*0.5,"En retard","Critique"))))))</f>
        <v/>
      </c>
      <c r="R152" s="68" t="n">
        <f aca="false">IFERROR(IF(Q152="Terminé à temps",100,IF(Q152="Terminé hors délai",75,IF(Q152="À temps",50,IF(Q152="À surveiller",40,IF(Q152="En retard",25,IF(Q152="Critique",10,IF(Q152="En attente",50,0))))))),0)</f>
        <v>0</v>
      </c>
      <c r="S152" s="7"/>
      <c r="T152" s="74"/>
      <c r="U152" s="70" t="n">
        <f aca="false">IFERROR(IF(T152="",0,T152*N152/100),0)</f>
        <v>0</v>
      </c>
      <c r="V152" s="7"/>
    </row>
    <row r="153" customFormat="false" ht="21.75" hidden="false" customHeight="true" outlineLevel="0" collapsed="false">
      <c r="B153" s="11"/>
      <c r="C153" s="11"/>
      <c r="D153" s="11"/>
      <c r="E153" s="11"/>
      <c r="F153" s="11"/>
      <c r="G153" s="11"/>
      <c r="H153" s="63"/>
      <c r="I153" s="63"/>
      <c r="J153" s="63"/>
      <c r="K153" s="63"/>
      <c r="L153" s="11"/>
      <c r="M153" s="64" t="n">
        <f aca="true">IF(OR(B153="",H153="",I153=""),0,IF(TODAY()&lt;H153,0,IF(TODAY()&gt;=I153,100,(TODAY()-H153)/(I153-H153)*100)))</f>
        <v>0</v>
      </c>
      <c r="N153" s="65" t="n">
        <v>0</v>
      </c>
      <c r="O153" s="66"/>
      <c r="P153" s="66"/>
      <c r="Q153" s="67" t="str">
        <f aca="true">IF(B153="","",IF(K153&lt;&gt;"",IF(K153&lt;=I153,"Terminé à temps","Terminé hors délai"),IF(N153=0,IF(TODAY()&lt;H153,"En attente",IF(TODAY()&gt;I153+30,"Critique","En retard")),IF(N153&gt;=M153,"À temps",IF(N153&gt;=M153*0.8,"À surveiller",IF(N153&gt;=M153*0.5,"En retard","Critique"))))))</f>
        <v/>
      </c>
      <c r="R153" s="68" t="n">
        <f aca="false">IFERROR(IF(Q153="Terminé à temps",100,IF(Q153="Terminé hors délai",75,IF(Q153="À temps",50,IF(Q153="À surveiller",40,IF(Q153="En retard",25,IF(Q153="Critique",10,IF(Q153="En attente",50,0))))))),0)</f>
        <v>0</v>
      </c>
      <c r="S153" s="11"/>
      <c r="T153" s="69"/>
      <c r="U153" s="70" t="n">
        <f aca="false">IFERROR(IF(T153="",0,T153*N153/100),0)</f>
        <v>0</v>
      </c>
      <c r="V153" s="11"/>
    </row>
    <row r="154" customFormat="false" ht="21.75" hidden="false" customHeight="true" outlineLevel="0" collapsed="false">
      <c r="B154" s="7"/>
      <c r="C154" s="7"/>
      <c r="D154" s="7"/>
      <c r="E154" s="7"/>
      <c r="F154" s="7"/>
      <c r="G154" s="7"/>
      <c r="H154" s="71"/>
      <c r="I154" s="71"/>
      <c r="J154" s="71"/>
      <c r="K154" s="71"/>
      <c r="L154" s="7"/>
      <c r="M154" s="64" t="n">
        <f aca="true">IF(OR(B154="",H154="",I154=""),0,IF(TODAY()&lt;H154,0,IF(TODAY()&gt;=I154,100,(TODAY()-H154)/(I154-H154)*100)))</f>
        <v>0</v>
      </c>
      <c r="N154" s="72" t="n">
        <v>0</v>
      </c>
      <c r="O154" s="73"/>
      <c r="P154" s="73"/>
      <c r="Q154" s="67" t="str">
        <f aca="true">IF(B154="","",IF(K154&lt;&gt;"",IF(K154&lt;=I154,"Terminé à temps","Terminé hors délai"),IF(N154=0,IF(TODAY()&lt;H154,"En attente",IF(TODAY()&gt;I154+30,"Critique","En retard")),IF(N154&gt;=M154,"À temps",IF(N154&gt;=M154*0.8,"À surveiller",IF(N154&gt;=M154*0.5,"En retard","Critique"))))))</f>
        <v/>
      </c>
      <c r="R154" s="68" t="n">
        <f aca="false">IFERROR(IF(Q154="Terminé à temps",100,IF(Q154="Terminé hors délai",75,IF(Q154="À temps",50,IF(Q154="À surveiller",40,IF(Q154="En retard",25,IF(Q154="Critique",10,IF(Q154="En attente",50,0))))))),0)</f>
        <v>0</v>
      </c>
      <c r="S154" s="7"/>
      <c r="T154" s="74"/>
      <c r="U154" s="70" t="n">
        <f aca="false">IFERROR(IF(T154="",0,T154*N154/100),0)</f>
        <v>0</v>
      </c>
      <c r="V154" s="7"/>
    </row>
    <row r="155" customFormat="false" ht="21.75" hidden="false" customHeight="true" outlineLevel="0" collapsed="false">
      <c r="B155" s="11"/>
      <c r="C155" s="11"/>
      <c r="D155" s="11"/>
      <c r="E155" s="11"/>
      <c r="F155" s="11"/>
      <c r="G155" s="11"/>
      <c r="H155" s="63"/>
      <c r="I155" s="63"/>
      <c r="J155" s="63"/>
      <c r="K155" s="63"/>
      <c r="L155" s="11"/>
      <c r="M155" s="64" t="n">
        <f aca="true">IF(OR(B155="",H155="",I155=""),0,IF(TODAY()&lt;H155,0,IF(TODAY()&gt;=I155,100,(TODAY()-H155)/(I155-H155)*100)))</f>
        <v>0</v>
      </c>
      <c r="N155" s="65" t="n">
        <v>0</v>
      </c>
      <c r="O155" s="66"/>
      <c r="P155" s="66"/>
      <c r="Q155" s="67" t="str">
        <f aca="true">IF(B155="","",IF(K155&lt;&gt;"",IF(K155&lt;=I155,"Terminé à temps","Terminé hors délai"),IF(N155=0,IF(TODAY()&lt;H155,"En attente",IF(TODAY()&gt;I155+30,"Critique","En retard")),IF(N155&gt;=M155,"À temps",IF(N155&gt;=M155*0.8,"À surveiller",IF(N155&gt;=M155*0.5,"En retard","Critique"))))))</f>
        <v/>
      </c>
      <c r="R155" s="68" t="n">
        <f aca="false">IFERROR(IF(Q155="Terminé à temps",100,IF(Q155="Terminé hors délai",75,IF(Q155="À temps",50,IF(Q155="À surveiller",40,IF(Q155="En retard",25,IF(Q155="Critique",10,IF(Q155="En attente",50,0))))))),0)</f>
        <v>0</v>
      </c>
      <c r="S155" s="11"/>
      <c r="T155" s="69"/>
      <c r="U155" s="70" t="n">
        <f aca="false">IFERROR(IF(T155="",0,T155*N155/100),0)</f>
        <v>0</v>
      </c>
      <c r="V155" s="11"/>
    </row>
    <row r="156" customFormat="false" ht="21.75" hidden="false" customHeight="true" outlineLevel="0" collapsed="false">
      <c r="B156" s="7"/>
      <c r="C156" s="7"/>
      <c r="D156" s="7"/>
      <c r="E156" s="7"/>
      <c r="F156" s="7"/>
      <c r="G156" s="7"/>
      <c r="H156" s="71"/>
      <c r="I156" s="71"/>
      <c r="J156" s="71"/>
      <c r="K156" s="71"/>
      <c r="L156" s="7"/>
      <c r="M156" s="64" t="n">
        <f aca="true">IF(OR(B156="",H156="",I156=""),0,IF(TODAY()&lt;H156,0,IF(TODAY()&gt;=I156,100,(TODAY()-H156)/(I156-H156)*100)))</f>
        <v>0</v>
      </c>
      <c r="N156" s="72" t="n">
        <v>0</v>
      </c>
      <c r="O156" s="73"/>
      <c r="P156" s="73"/>
      <c r="Q156" s="67" t="str">
        <f aca="true">IF(B156="","",IF(K156&lt;&gt;"",IF(K156&lt;=I156,"Terminé à temps","Terminé hors délai"),IF(N156=0,IF(TODAY()&lt;H156,"En attente",IF(TODAY()&gt;I156+30,"Critique","En retard")),IF(N156&gt;=M156,"À temps",IF(N156&gt;=M156*0.8,"À surveiller",IF(N156&gt;=M156*0.5,"En retard","Critique"))))))</f>
        <v/>
      </c>
      <c r="R156" s="68" t="n">
        <f aca="false">IFERROR(IF(Q156="Terminé à temps",100,IF(Q156="Terminé hors délai",75,IF(Q156="À temps",50,IF(Q156="À surveiller",40,IF(Q156="En retard",25,IF(Q156="Critique",10,IF(Q156="En attente",50,0))))))),0)</f>
        <v>0</v>
      </c>
      <c r="S156" s="7"/>
      <c r="T156" s="74"/>
      <c r="U156" s="70" t="n">
        <f aca="false">IFERROR(IF(T156="",0,T156*N156/100),0)</f>
        <v>0</v>
      </c>
      <c r="V156" s="7"/>
    </row>
    <row r="157" customFormat="false" ht="21.75" hidden="false" customHeight="true" outlineLevel="0" collapsed="false">
      <c r="B157" s="11"/>
      <c r="C157" s="11"/>
      <c r="D157" s="11"/>
      <c r="E157" s="11"/>
      <c r="F157" s="11"/>
      <c r="G157" s="11"/>
      <c r="H157" s="63"/>
      <c r="I157" s="63"/>
      <c r="J157" s="63"/>
      <c r="K157" s="63"/>
      <c r="L157" s="11"/>
      <c r="M157" s="64" t="n">
        <f aca="true">IF(OR(B157="",H157="",I157=""),0,IF(TODAY()&lt;H157,0,IF(TODAY()&gt;=I157,100,(TODAY()-H157)/(I157-H157)*100)))</f>
        <v>0</v>
      </c>
      <c r="N157" s="65" t="n">
        <v>0</v>
      </c>
      <c r="O157" s="66"/>
      <c r="P157" s="66"/>
      <c r="Q157" s="67" t="str">
        <f aca="true">IF(B157="","",IF(K157&lt;&gt;"",IF(K157&lt;=I157,"Terminé à temps","Terminé hors délai"),IF(N157=0,IF(TODAY()&lt;H157,"En attente",IF(TODAY()&gt;I157+30,"Critique","En retard")),IF(N157&gt;=M157,"À temps",IF(N157&gt;=M157*0.8,"À surveiller",IF(N157&gt;=M157*0.5,"En retard","Critique"))))))</f>
        <v/>
      </c>
      <c r="R157" s="68" t="n">
        <f aca="false">IFERROR(IF(Q157="Terminé à temps",100,IF(Q157="Terminé hors délai",75,IF(Q157="À temps",50,IF(Q157="À surveiller",40,IF(Q157="En retard",25,IF(Q157="Critique",10,IF(Q157="En attente",50,0))))))),0)</f>
        <v>0</v>
      </c>
      <c r="S157" s="11"/>
      <c r="T157" s="69"/>
      <c r="U157" s="70" t="n">
        <f aca="false">IFERROR(IF(T157="",0,T157*N157/100),0)</f>
        <v>0</v>
      </c>
      <c r="V157" s="11"/>
    </row>
    <row r="158" customFormat="false" ht="21.75" hidden="false" customHeight="true" outlineLevel="0" collapsed="false">
      <c r="B158" s="7"/>
      <c r="C158" s="7"/>
      <c r="D158" s="7"/>
      <c r="E158" s="7"/>
      <c r="F158" s="7"/>
      <c r="G158" s="7"/>
      <c r="H158" s="71"/>
      <c r="I158" s="71"/>
      <c r="J158" s="71"/>
      <c r="K158" s="71"/>
      <c r="L158" s="7"/>
      <c r="M158" s="64" t="n">
        <f aca="true">IF(OR(B158="",H158="",I158=""),0,IF(TODAY()&lt;H158,0,IF(TODAY()&gt;=I158,100,(TODAY()-H158)/(I158-H158)*100)))</f>
        <v>0</v>
      </c>
      <c r="N158" s="72" t="n">
        <v>0</v>
      </c>
      <c r="O158" s="73"/>
      <c r="P158" s="73"/>
      <c r="Q158" s="67" t="str">
        <f aca="true">IF(B158="","",IF(K158&lt;&gt;"",IF(K158&lt;=I158,"Terminé à temps","Terminé hors délai"),IF(N158=0,IF(TODAY()&lt;H158,"En attente",IF(TODAY()&gt;I158+30,"Critique","En retard")),IF(N158&gt;=M158,"À temps",IF(N158&gt;=M158*0.8,"À surveiller",IF(N158&gt;=M158*0.5,"En retard","Critique"))))))</f>
        <v/>
      </c>
      <c r="R158" s="68" t="n">
        <f aca="false">IFERROR(IF(Q158="Terminé à temps",100,IF(Q158="Terminé hors délai",75,IF(Q158="À temps",50,IF(Q158="À surveiller",40,IF(Q158="En retard",25,IF(Q158="Critique",10,IF(Q158="En attente",50,0))))))),0)</f>
        <v>0</v>
      </c>
      <c r="S158" s="7"/>
      <c r="T158" s="74"/>
      <c r="U158" s="70" t="n">
        <f aca="false">IFERROR(IF(T158="",0,T158*N158/100),0)</f>
        <v>0</v>
      </c>
      <c r="V158" s="7"/>
    </row>
    <row r="159" customFormat="false" ht="21.75" hidden="false" customHeight="true" outlineLevel="0" collapsed="false">
      <c r="B159" s="11"/>
      <c r="C159" s="11"/>
      <c r="D159" s="11"/>
      <c r="E159" s="11"/>
      <c r="F159" s="11"/>
      <c r="G159" s="11"/>
      <c r="H159" s="63"/>
      <c r="I159" s="63"/>
      <c r="J159" s="63"/>
      <c r="K159" s="63"/>
      <c r="L159" s="11"/>
      <c r="M159" s="64" t="n">
        <f aca="true">IF(OR(B159="",H159="",I159=""),0,IF(TODAY()&lt;H159,0,IF(TODAY()&gt;=I159,100,(TODAY()-H159)/(I159-H159)*100)))</f>
        <v>0</v>
      </c>
      <c r="N159" s="65" t="n">
        <v>0</v>
      </c>
      <c r="O159" s="66"/>
      <c r="P159" s="66"/>
      <c r="Q159" s="67" t="str">
        <f aca="true">IF(B159="","",IF(K159&lt;&gt;"",IF(K159&lt;=I159,"Terminé à temps","Terminé hors délai"),IF(N159=0,IF(TODAY()&lt;H159,"En attente",IF(TODAY()&gt;I159+30,"Critique","En retard")),IF(N159&gt;=M159,"À temps",IF(N159&gt;=M159*0.8,"À surveiller",IF(N159&gt;=M159*0.5,"En retard","Critique"))))))</f>
        <v/>
      </c>
      <c r="R159" s="68" t="n">
        <f aca="false">IFERROR(IF(Q159="Terminé à temps",100,IF(Q159="Terminé hors délai",75,IF(Q159="À temps",50,IF(Q159="À surveiller",40,IF(Q159="En retard",25,IF(Q159="Critique",10,IF(Q159="En attente",50,0))))))),0)</f>
        <v>0</v>
      </c>
      <c r="S159" s="11"/>
      <c r="T159" s="69"/>
      <c r="U159" s="70" t="n">
        <f aca="false">IFERROR(IF(T159="",0,T159*N159/100),0)</f>
        <v>0</v>
      </c>
      <c r="V159" s="11"/>
    </row>
    <row r="160" customFormat="false" ht="21.75" hidden="false" customHeight="true" outlineLevel="0" collapsed="false">
      <c r="B160" s="7"/>
      <c r="C160" s="7"/>
      <c r="D160" s="7"/>
      <c r="E160" s="7"/>
      <c r="F160" s="7"/>
      <c r="G160" s="7"/>
      <c r="H160" s="71"/>
      <c r="I160" s="71"/>
      <c r="J160" s="71"/>
      <c r="K160" s="71"/>
      <c r="L160" s="7"/>
      <c r="M160" s="64" t="n">
        <f aca="true">IF(OR(B160="",H160="",I160=""),0,IF(TODAY()&lt;H160,0,IF(TODAY()&gt;=I160,100,(TODAY()-H160)/(I160-H160)*100)))</f>
        <v>0</v>
      </c>
      <c r="N160" s="72" t="n">
        <v>0</v>
      </c>
      <c r="O160" s="73"/>
      <c r="P160" s="73"/>
      <c r="Q160" s="67" t="str">
        <f aca="true">IF(B160="","",IF(K160&lt;&gt;"",IF(K160&lt;=I160,"Terminé à temps","Terminé hors délai"),IF(N160=0,IF(TODAY()&lt;H160,"En attente",IF(TODAY()&gt;I160+30,"Critique","En retard")),IF(N160&gt;=M160,"À temps",IF(N160&gt;=M160*0.8,"À surveiller",IF(N160&gt;=M160*0.5,"En retard","Critique"))))))</f>
        <v/>
      </c>
      <c r="R160" s="68" t="n">
        <f aca="false">IFERROR(IF(Q160="Terminé à temps",100,IF(Q160="Terminé hors délai",75,IF(Q160="À temps",50,IF(Q160="À surveiller",40,IF(Q160="En retard",25,IF(Q160="Critique",10,IF(Q160="En attente",50,0))))))),0)</f>
        <v>0</v>
      </c>
      <c r="S160" s="7"/>
      <c r="T160" s="74"/>
      <c r="U160" s="70" t="n">
        <f aca="false">IFERROR(IF(T160="",0,T160*N160/100),0)</f>
        <v>0</v>
      </c>
      <c r="V160" s="7"/>
    </row>
    <row r="161" customFormat="false" ht="21.75" hidden="false" customHeight="true" outlineLevel="0" collapsed="false">
      <c r="B161" s="11"/>
      <c r="C161" s="11"/>
      <c r="D161" s="11"/>
      <c r="E161" s="11"/>
      <c r="F161" s="11"/>
      <c r="G161" s="11"/>
      <c r="H161" s="63"/>
      <c r="I161" s="63"/>
      <c r="J161" s="63"/>
      <c r="K161" s="63"/>
      <c r="L161" s="11"/>
      <c r="M161" s="64" t="n">
        <f aca="true">IF(OR(B161="",H161="",I161=""),0,IF(TODAY()&lt;H161,0,IF(TODAY()&gt;=I161,100,(TODAY()-H161)/(I161-H161)*100)))</f>
        <v>0</v>
      </c>
      <c r="N161" s="65" t="n">
        <v>0</v>
      </c>
      <c r="O161" s="66"/>
      <c r="P161" s="66"/>
      <c r="Q161" s="67" t="str">
        <f aca="true">IF(B161="","",IF(K161&lt;&gt;"",IF(K161&lt;=I161,"Terminé à temps","Terminé hors délai"),IF(N161=0,IF(TODAY()&lt;H161,"En attente",IF(TODAY()&gt;I161+30,"Critique","En retard")),IF(N161&gt;=M161,"À temps",IF(N161&gt;=M161*0.8,"À surveiller",IF(N161&gt;=M161*0.5,"En retard","Critique"))))))</f>
        <v/>
      </c>
      <c r="R161" s="68" t="n">
        <f aca="false">IFERROR(IF(Q161="Terminé à temps",100,IF(Q161="Terminé hors délai",75,IF(Q161="À temps",50,IF(Q161="À surveiller",40,IF(Q161="En retard",25,IF(Q161="Critique",10,IF(Q161="En attente",50,0))))))),0)</f>
        <v>0</v>
      </c>
      <c r="S161" s="11"/>
      <c r="T161" s="69"/>
      <c r="U161" s="70" t="n">
        <f aca="false">IFERROR(IF(T161="",0,T161*N161/100),0)</f>
        <v>0</v>
      </c>
      <c r="V161" s="11"/>
    </row>
    <row r="162" customFormat="false" ht="21.75" hidden="false" customHeight="true" outlineLevel="0" collapsed="false">
      <c r="B162" s="7"/>
      <c r="C162" s="7"/>
      <c r="D162" s="7"/>
      <c r="E162" s="7"/>
      <c r="F162" s="7"/>
      <c r="G162" s="7"/>
      <c r="H162" s="71"/>
      <c r="I162" s="71"/>
      <c r="J162" s="71"/>
      <c r="K162" s="71"/>
      <c r="L162" s="7"/>
      <c r="M162" s="64" t="n">
        <f aca="true">IF(OR(B162="",H162="",I162=""),0,IF(TODAY()&lt;H162,0,IF(TODAY()&gt;=I162,100,(TODAY()-H162)/(I162-H162)*100)))</f>
        <v>0</v>
      </c>
      <c r="N162" s="72" t="n">
        <v>0</v>
      </c>
      <c r="O162" s="73"/>
      <c r="P162" s="73"/>
      <c r="Q162" s="67" t="str">
        <f aca="true">IF(B162="","",IF(K162&lt;&gt;"",IF(K162&lt;=I162,"Terminé à temps","Terminé hors délai"),IF(N162=0,IF(TODAY()&lt;H162,"En attente",IF(TODAY()&gt;I162+30,"Critique","En retard")),IF(N162&gt;=M162,"À temps",IF(N162&gt;=M162*0.8,"À surveiller",IF(N162&gt;=M162*0.5,"En retard","Critique"))))))</f>
        <v/>
      </c>
      <c r="R162" s="68" t="n">
        <f aca="false">IFERROR(IF(Q162="Terminé à temps",100,IF(Q162="Terminé hors délai",75,IF(Q162="À temps",50,IF(Q162="À surveiller",40,IF(Q162="En retard",25,IF(Q162="Critique",10,IF(Q162="En attente",50,0))))))),0)</f>
        <v>0</v>
      </c>
      <c r="S162" s="7"/>
      <c r="T162" s="74"/>
      <c r="U162" s="70" t="n">
        <f aca="false">IFERROR(IF(T162="",0,T162*N162/100),0)</f>
        <v>0</v>
      </c>
      <c r="V162" s="7"/>
    </row>
    <row r="163" customFormat="false" ht="21.75" hidden="false" customHeight="true" outlineLevel="0" collapsed="false">
      <c r="B163" s="11"/>
      <c r="C163" s="11"/>
      <c r="D163" s="11"/>
      <c r="E163" s="11"/>
      <c r="F163" s="11"/>
      <c r="G163" s="11"/>
      <c r="H163" s="63"/>
      <c r="I163" s="63"/>
      <c r="J163" s="63"/>
      <c r="K163" s="63"/>
      <c r="L163" s="11"/>
      <c r="M163" s="64" t="n">
        <f aca="true">IF(OR(B163="",H163="",I163=""),0,IF(TODAY()&lt;H163,0,IF(TODAY()&gt;=I163,100,(TODAY()-H163)/(I163-H163)*100)))</f>
        <v>0</v>
      </c>
      <c r="N163" s="65" t="n">
        <v>0</v>
      </c>
      <c r="O163" s="66"/>
      <c r="P163" s="66"/>
      <c r="Q163" s="67" t="str">
        <f aca="true">IF(B163="","",IF(K163&lt;&gt;"",IF(K163&lt;=I163,"Terminé à temps","Terminé hors délai"),IF(N163=0,IF(TODAY()&lt;H163,"En attente",IF(TODAY()&gt;I163+30,"Critique","En retard")),IF(N163&gt;=M163,"À temps",IF(N163&gt;=M163*0.8,"À surveiller",IF(N163&gt;=M163*0.5,"En retard","Critique"))))))</f>
        <v/>
      </c>
      <c r="R163" s="68" t="n">
        <f aca="false">IFERROR(IF(Q163="Terminé à temps",100,IF(Q163="Terminé hors délai",75,IF(Q163="À temps",50,IF(Q163="À surveiller",40,IF(Q163="En retard",25,IF(Q163="Critique",10,IF(Q163="En attente",50,0))))))),0)</f>
        <v>0</v>
      </c>
      <c r="S163" s="11"/>
      <c r="T163" s="69"/>
      <c r="U163" s="70" t="n">
        <f aca="false">IFERROR(IF(T163="",0,T163*N163/100),0)</f>
        <v>0</v>
      </c>
      <c r="V163" s="11"/>
    </row>
    <row r="164" customFormat="false" ht="21.75" hidden="false" customHeight="true" outlineLevel="0" collapsed="false">
      <c r="B164" s="7"/>
      <c r="C164" s="7"/>
      <c r="D164" s="7"/>
      <c r="E164" s="7"/>
      <c r="F164" s="7"/>
      <c r="G164" s="7"/>
      <c r="H164" s="71"/>
      <c r="I164" s="71"/>
      <c r="J164" s="71"/>
      <c r="K164" s="71"/>
      <c r="L164" s="7"/>
      <c r="M164" s="64" t="n">
        <f aca="true">IF(OR(B164="",H164="",I164=""),0,IF(TODAY()&lt;H164,0,IF(TODAY()&gt;=I164,100,(TODAY()-H164)/(I164-H164)*100)))</f>
        <v>0</v>
      </c>
      <c r="N164" s="72" t="n">
        <v>0</v>
      </c>
      <c r="O164" s="73"/>
      <c r="P164" s="73"/>
      <c r="Q164" s="67" t="str">
        <f aca="true">IF(B164="","",IF(K164&lt;&gt;"",IF(K164&lt;=I164,"Terminé à temps","Terminé hors délai"),IF(N164=0,IF(TODAY()&lt;H164,"En attente",IF(TODAY()&gt;I164+30,"Critique","En retard")),IF(N164&gt;=M164,"À temps",IF(N164&gt;=M164*0.8,"À surveiller",IF(N164&gt;=M164*0.5,"En retard","Critique"))))))</f>
        <v/>
      </c>
      <c r="R164" s="68" t="n">
        <f aca="false">IFERROR(IF(Q164="Terminé à temps",100,IF(Q164="Terminé hors délai",75,IF(Q164="À temps",50,IF(Q164="À surveiller",40,IF(Q164="En retard",25,IF(Q164="Critique",10,IF(Q164="En attente",50,0))))))),0)</f>
        <v>0</v>
      </c>
      <c r="S164" s="7"/>
      <c r="T164" s="74"/>
      <c r="U164" s="70" t="n">
        <f aca="false">IFERROR(IF(T164="",0,T164*N164/100),0)</f>
        <v>0</v>
      </c>
      <c r="V164" s="7"/>
    </row>
    <row r="165" customFormat="false" ht="21.75" hidden="false" customHeight="true" outlineLevel="0" collapsed="false">
      <c r="B165" s="11"/>
      <c r="C165" s="11"/>
      <c r="D165" s="11"/>
      <c r="E165" s="11"/>
      <c r="F165" s="11"/>
      <c r="G165" s="11"/>
      <c r="H165" s="63"/>
      <c r="I165" s="63"/>
      <c r="J165" s="63"/>
      <c r="K165" s="63"/>
      <c r="L165" s="11"/>
      <c r="M165" s="64" t="n">
        <f aca="true">IF(OR(B165="",H165="",I165=""),0,IF(TODAY()&lt;H165,0,IF(TODAY()&gt;=I165,100,(TODAY()-H165)/(I165-H165)*100)))</f>
        <v>0</v>
      </c>
      <c r="N165" s="65" t="n">
        <v>0</v>
      </c>
      <c r="O165" s="66"/>
      <c r="P165" s="66"/>
      <c r="Q165" s="67" t="str">
        <f aca="true">IF(B165="","",IF(K165&lt;&gt;"",IF(K165&lt;=I165,"Terminé à temps","Terminé hors délai"),IF(N165=0,IF(TODAY()&lt;H165,"En attente",IF(TODAY()&gt;I165+30,"Critique","En retard")),IF(N165&gt;=M165,"À temps",IF(N165&gt;=M165*0.8,"À surveiller",IF(N165&gt;=M165*0.5,"En retard","Critique"))))))</f>
        <v/>
      </c>
      <c r="R165" s="68" t="n">
        <f aca="false">IFERROR(IF(Q165="Terminé à temps",100,IF(Q165="Terminé hors délai",75,IF(Q165="À temps",50,IF(Q165="À surveiller",40,IF(Q165="En retard",25,IF(Q165="Critique",10,IF(Q165="En attente",50,0))))))),0)</f>
        <v>0</v>
      </c>
      <c r="S165" s="11"/>
      <c r="T165" s="69"/>
      <c r="U165" s="70" t="n">
        <f aca="false">IFERROR(IF(T165="",0,T165*N165/100),0)</f>
        <v>0</v>
      </c>
      <c r="V165" s="11"/>
    </row>
    <row r="166" customFormat="false" ht="21.75" hidden="false" customHeight="true" outlineLevel="0" collapsed="false">
      <c r="B166" s="7"/>
      <c r="C166" s="7"/>
      <c r="D166" s="7"/>
      <c r="E166" s="7"/>
      <c r="F166" s="7"/>
      <c r="G166" s="7"/>
      <c r="H166" s="71"/>
      <c r="I166" s="71"/>
      <c r="J166" s="71"/>
      <c r="K166" s="71"/>
      <c r="L166" s="7"/>
      <c r="M166" s="64" t="n">
        <f aca="true">IF(OR(B166="",H166="",I166=""),0,IF(TODAY()&lt;H166,0,IF(TODAY()&gt;=I166,100,(TODAY()-H166)/(I166-H166)*100)))</f>
        <v>0</v>
      </c>
      <c r="N166" s="72" t="n">
        <v>0</v>
      </c>
      <c r="O166" s="73"/>
      <c r="P166" s="73"/>
      <c r="Q166" s="67" t="str">
        <f aca="true">IF(B166="","",IF(K166&lt;&gt;"",IF(K166&lt;=I166,"Terminé à temps","Terminé hors délai"),IF(N166=0,IF(TODAY()&lt;H166,"En attente",IF(TODAY()&gt;I166+30,"Critique","En retard")),IF(N166&gt;=M166,"À temps",IF(N166&gt;=M166*0.8,"À surveiller",IF(N166&gt;=M166*0.5,"En retard","Critique"))))))</f>
        <v/>
      </c>
      <c r="R166" s="68" t="n">
        <f aca="false">IFERROR(IF(Q166="Terminé à temps",100,IF(Q166="Terminé hors délai",75,IF(Q166="À temps",50,IF(Q166="À surveiller",40,IF(Q166="En retard",25,IF(Q166="Critique",10,IF(Q166="En attente",50,0))))))),0)</f>
        <v>0</v>
      </c>
      <c r="S166" s="7"/>
      <c r="T166" s="74"/>
      <c r="U166" s="70" t="n">
        <f aca="false">IFERROR(IF(T166="",0,T166*N166/100),0)</f>
        <v>0</v>
      </c>
      <c r="V166" s="7"/>
    </row>
    <row r="167" customFormat="false" ht="21.75" hidden="false" customHeight="true" outlineLevel="0" collapsed="false">
      <c r="B167" s="11"/>
      <c r="C167" s="11"/>
      <c r="D167" s="11"/>
      <c r="E167" s="11"/>
      <c r="F167" s="11"/>
      <c r="G167" s="11"/>
      <c r="H167" s="63"/>
      <c r="I167" s="63"/>
      <c r="J167" s="63"/>
      <c r="K167" s="63"/>
      <c r="L167" s="11"/>
      <c r="M167" s="64" t="n">
        <f aca="true">IF(OR(B167="",H167="",I167=""),0,IF(TODAY()&lt;H167,0,IF(TODAY()&gt;=I167,100,(TODAY()-H167)/(I167-H167)*100)))</f>
        <v>0</v>
      </c>
      <c r="N167" s="65" t="n">
        <v>0</v>
      </c>
      <c r="O167" s="66"/>
      <c r="P167" s="66"/>
      <c r="Q167" s="67" t="str">
        <f aca="true">IF(B167="","",IF(K167&lt;&gt;"",IF(K167&lt;=I167,"Terminé à temps","Terminé hors délai"),IF(N167=0,IF(TODAY()&lt;H167,"En attente",IF(TODAY()&gt;I167+30,"Critique","En retard")),IF(N167&gt;=M167,"À temps",IF(N167&gt;=M167*0.8,"À surveiller",IF(N167&gt;=M167*0.5,"En retard","Critique"))))))</f>
        <v/>
      </c>
      <c r="R167" s="68" t="n">
        <f aca="false">IFERROR(IF(Q167="Terminé à temps",100,IF(Q167="Terminé hors délai",75,IF(Q167="À temps",50,IF(Q167="À surveiller",40,IF(Q167="En retard",25,IF(Q167="Critique",10,IF(Q167="En attente",50,0))))))),0)</f>
        <v>0</v>
      </c>
      <c r="S167" s="11"/>
      <c r="T167" s="69"/>
      <c r="U167" s="70" t="n">
        <f aca="false">IFERROR(IF(T167="",0,T167*N167/100),0)</f>
        <v>0</v>
      </c>
      <c r="V167" s="11"/>
    </row>
    <row r="168" customFormat="false" ht="21.75" hidden="false" customHeight="true" outlineLevel="0" collapsed="false">
      <c r="B168" s="7"/>
      <c r="C168" s="7"/>
      <c r="D168" s="7"/>
      <c r="E168" s="7"/>
      <c r="F168" s="7"/>
      <c r="G168" s="7"/>
      <c r="H168" s="71"/>
      <c r="I168" s="71"/>
      <c r="J168" s="71"/>
      <c r="K168" s="71"/>
      <c r="L168" s="7"/>
      <c r="M168" s="64" t="n">
        <f aca="true">IF(OR(B168="",H168="",I168=""),0,IF(TODAY()&lt;H168,0,IF(TODAY()&gt;=I168,100,(TODAY()-H168)/(I168-H168)*100)))</f>
        <v>0</v>
      </c>
      <c r="N168" s="72" t="n">
        <v>0</v>
      </c>
      <c r="O168" s="73"/>
      <c r="P168" s="73"/>
      <c r="Q168" s="67" t="str">
        <f aca="true">IF(B168="","",IF(K168&lt;&gt;"",IF(K168&lt;=I168,"Terminé à temps","Terminé hors délai"),IF(N168=0,IF(TODAY()&lt;H168,"En attente",IF(TODAY()&gt;I168+30,"Critique","En retard")),IF(N168&gt;=M168,"À temps",IF(N168&gt;=M168*0.8,"À surveiller",IF(N168&gt;=M168*0.5,"En retard","Critique"))))))</f>
        <v/>
      </c>
      <c r="R168" s="68" t="n">
        <f aca="false">IFERROR(IF(Q168="Terminé à temps",100,IF(Q168="Terminé hors délai",75,IF(Q168="À temps",50,IF(Q168="À surveiller",40,IF(Q168="En retard",25,IF(Q168="Critique",10,IF(Q168="En attente",50,0))))))),0)</f>
        <v>0</v>
      </c>
      <c r="S168" s="7"/>
      <c r="T168" s="74"/>
      <c r="U168" s="70" t="n">
        <f aca="false">IFERROR(IF(T168="",0,T168*N168/100),0)</f>
        <v>0</v>
      </c>
      <c r="V168" s="7"/>
    </row>
    <row r="169" customFormat="false" ht="21.75" hidden="false" customHeight="true" outlineLevel="0" collapsed="false">
      <c r="B169" s="11"/>
      <c r="C169" s="11"/>
      <c r="D169" s="11"/>
      <c r="E169" s="11"/>
      <c r="F169" s="11"/>
      <c r="G169" s="11"/>
      <c r="H169" s="63"/>
      <c r="I169" s="63"/>
      <c r="J169" s="63"/>
      <c r="K169" s="63"/>
      <c r="L169" s="11"/>
      <c r="M169" s="64" t="n">
        <f aca="true">IF(OR(B169="",H169="",I169=""),0,IF(TODAY()&lt;H169,0,IF(TODAY()&gt;=I169,100,(TODAY()-H169)/(I169-H169)*100)))</f>
        <v>0</v>
      </c>
      <c r="N169" s="65" t="n">
        <v>0</v>
      </c>
      <c r="O169" s="66"/>
      <c r="P169" s="66"/>
      <c r="Q169" s="67" t="str">
        <f aca="true">IF(B169="","",IF(K169&lt;&gt;"",IF(K169&lt;=I169,"Terminé à temps","Terminé hors délai"),IF(N169=0,IF(TODAY()&lt;H169,"En attente",IF(TODAY()&gt;I169+30,"Critique","En retard")),IF(N169&gt;=M169,"À temps",IF(N169&gt;=M169*0.8,"À surveiller",IF(N169&gt;=M169*0.5,"En retard","Critique"))))))</f>
        <v/>
      </c>
      <c r="R169" s="68" t="n">
        <f aca="false">IFERROR(IF(Q169="Terminé à temps",100,IF(Q169="Terminé hors délai",75,IF(Q169="À temps",50,IF(Q169="À surveiller",40,IF(Q169="En retard",25,IF(Q169="Critique",10,IF(Q169="En attente",50,0))))))),0)</f>
        <v>0</v>
      </c>
      <c r="S169" s="11"/>
      <c r="T169" s="69"/>
      <c r="U169" s="70" t="n">
        <f aca="false">IFERROR(IF(T169="",0,T169*N169/100),0)</f>
        <v>0</v>
      </c>
      <c r="V169" s="11"/>
    </row>
    <row r="170" customFormat="false" ht="21.75" hidden="false" customHeight="true" outlineLevel="0" collapsed="false">
      <c r="B170" s="7"/>
      <c r="C170" s="7"/>
      <c r="D170" s="7"/>
      <c r="E170" s="7"/>
      <c r="F170" s="7"/>
      <c r="G170" s="7"/>
      <c r="H170" s="71"/>
      <c r="I170" s="71"/>
      <c r="J170" s="71"/>
      <c r="K170" s="71"/>
      <c r="L170" s="7"/>
      <c r="M170" s="64" t="n">
        <f aca="true">IF(OR(B170="",H170="",I170=""),0,IF(TODAY()&lt;H170,0,IF(TODAY()&gt;=I170,100,(TODAY()-H170)/(I170-H170)*100)))</f>
        <v>0</v>
      </c>
      <c r="N170" s="72" t="n">
        <v>0</v>
      </c>
      <c r="O170" s="73"/>
      <c r="P170" s="73"/>
      <c r="Q170" s="67" t="str">
        <f aca="true">IF(B170="","",IF(K170&lt;&gt;"",IF(K170&lt;=I170,"Terminé à temps","Terminé hors délai"),IF(N170=0,IF(TODAY()&lt;H170,"En attente",IF(TODAY()&gt;I170+30,"Critique","En retard")),IF(N170&gt;=M170,"À temps",IF(N170&gt;=M170*0.8,"À surveiller",IF(N170&gt;=M170*0.5,"En retard","Critique"))))))</f>
        <v/>
      </c>
      <c r="R170" s="68" t="n">
        <f aca="false">IFERROR(IF(Q170="Terminé à temps",100,IF(Q170="Terminé hors délai",75,IF(Q170="À temps",50,IF(Q170="À surveiller",40,IF(Q170="En retard",25,IF(Q170="Critique",10,IF(Q170="En attente",50,0))))))),0)</f>
        <v>0</v>
      </c>
      <c r="S170" s="7"/>
      <c r="T170" s="74"/>
      <c r="U170" s="70" t="n">
        <f aca="false">IFERROR(IF(T170="",0,T170*N170/100),0)</f>
        <v>0</v>
      </c>
      <c r="V170" s="7"/>
    </row>
    <row r="171" customFormat="false" ht="21.75" hidden="false" customHeight="true" outlineLevel="0" collapsed="false">
      <c r="B171" s="11"/>
      <c r="C171" s="11"/>
      <c r="D171" s="11"/>
      <c r="E171" s="11"/>
      <c r="F171" s="11"/>
      <c r="G171" s="11"/>
      <c r="H171" s="63"/>
      <c r="I171" s="63"/>
      <c r="J171" s="63"/>
      <c r="K171" s="63"/>
      <c r="L171" s="11"/>
      <c r="M171" s="64" t="n">
        <f aca="true">IF(OR(B171="",H171="",I171=""),0,IF(TODAY()&lt;H171,0,IF(TODAY()&gt;=I171,100,(TODAY()-H171)/(I171-H171)*100)))</f>
        <v>0</v>
      </c>
      <c r="N171" s="65" t="n">
        <v>0</v>
      </c>
      <c r="O171" s="66"/>
      <c r="P171" s="66"/>
      <c r="Q171" s="67" t="str">
        <f aca="true">IF(B171="","",IF(K171&lt;&gt;"",IF(K171&lt;=I171,"Terminé à temps","Terminé hors délai"),IF(N171=0,IF(TODAY()&lt;H171,"En attente",IF(TODAY()&gt;I171+30,"Critique","En retard")),IF(N171&gt;=M171,"À temps",IF(N171&gt;=M171*0.8,"À surveiller",IF(N171&gt;=M171*0.5,"En retard","Critique"))))))</f>
        <v/>
      </c>
      <c r="R171" s="68" t="n">
        <f aca="false">IFERROR(IF(Q171="Terminé à temps",100,IF(Q171="Terminé hors délai",75,IF(Q171="À temps",50,IF(Q171="À surveiller",40,IF(Q171="En retard",25,IF(Q171="Critique",10,IF(Q171="En attente",50,0))))))),0)</f>
        <v>0</v>
      </c>
      <c r="S171" s="11"/>
      <c r="T171" s="69"/>
      <c r="U171" s="70" t="n">
        <f aca="false">IFERROR(IF(T171="",0,T171*N171/100),0)</f>
        <v>0</v>
      </c>
      <c r="V171" s="11"/>
    </row>
    <row r="172" customFormat="false" ht="21.75" hidden="false" customHeight="true" outlineLevel="0" collapsed="false">
      <c r="B172" s="7"/>
      <c r="C172" s="7"/>
      <c r="D172" s="7"/>
      <c r="E172" s="7"/>
      <c r="F172" s="7"/>
      <c r="G172" s="7"/>
      <c r="H172" s="71"/>
      <c r="I172" s="71"/>
      <c r="J172" s="71"/>
      <c r="K172" s="71"/>
      <c r="L172" s="7"/>
      <c r="M172" s="64" t="n">
        <f aca="true">IF(OR(B172="",H172="",I172=""),0,IF(TODAY()&lt;H172,0,IF(TODAY()&gt;=I172,100,(TODAY()-H172)/(I172-H172)*100)))</f>
        <v>0</v>
      </c>
      <c r="N172" s="72" t="n">
        <v>0</v>
      </c>
      <c r="O172" s="73"/>
      <c r="P172" s="73"/>
      <c r="Q172" s="67" t="str">
        <f aca="true">IF(B172="","",IF(K172&lt;&gt;"",IF(K172&lt;=I172,"Terminé à temps","Terminé hors délai"),IF(N172=0,IF(TODAY()&lt;H172,"En attente",IF(TODAY()&gt;I172+30,"Critique","En retard")),IF(N172&gt;=M172,"À temps",IF(N172&gt;=M172*0.8,"À surveiller",IF(N172&gt;=M172*0.5,"En retard","Critique"))))))</f>
        <v/>
      </c>
      <c r="R172" s="68" t="n">
        <f aca="false">IFERROR(IF(Q172="Terminé à temps",100,IF(Q172="Terminé hors délai",75,IF(Q172="À temps",50,IF(Q172="À surveiller",40,IF(Q172="En retard",25,IF(Q172="Critique",10,IF(Q172="En attente",50,0))))))),0)</f>
        <v>0</v>
      </c>
      <c r="S172" s="7"/>
      <c r="T172" s="74"/>
      <c r="U172" s="70" t="n">
        <f aca="false">IFERROR(IF(T172="",0,T172*N172/100),0)</f>
        <v>0</v>
      </c>
      <c r="V172" s="7"/>
    </row>
    <row r="173" customFormat="false" ht="21.75" hidden="false" customHeight="true" outlineLevel="0" collapsed="false">
      <c r="B173" s="11"/>
      <c r="C173" s="11"/>
      <c r="D173" s="11"/>
      <c r="E173" s="11"/>
      <c r="F173" s="11"/>
      <c r="G173" s="11"/>
      <c r="H173" s="63"/>
      <c r="I173" s="63"/>
      <c r="J173" s="63"/>
      <c r="K173" s="63"/>
      <c r="L173" s="11"/>
      <c r="M173" s="64" t="n">
        <f aca="true">IF(OR(B173="",H173="",I173=""),0,IF(TODAY()&lt;H173,0,IF(TODAY()&gt;=I173,100,(TODAY()-H173)/(I173-H173)*100)))</f>
        <v>0</v>
      </c>
      <c r="N173" s="65" t="n">
        <v>0</v>
      </c>
      <c r="O173" s="66"/>
      <c r="P173" s="66"/>
      <c r="Q173" s="67" t="str">
        <f aca="true">IF(B173="","",IF(K173&lt;&gt;"",IF(K173&lt;=I173,"Terminé à temps","Terminé hors délai"),IF(N173=0,IF(TODAY()&lt;H173,"En attente",IF(TODAY()&gt;I173+30,"Critique","En retard")),IF(N173&gt;=M173,"À temps",IF(N173&gt;=M173*0.8,"À surveiller",IF(N173&gt;=M173*0.5,"En retard","Critique"))))))</f>
        <v/>
      </c>
      <c r="R173" s="68" t="n">
        <f aca="false">IFERROR(IF(Q173="Terminé à temps",100,IF(Q173="Terminé hors délai",75,IF(Q173="À temps",50,IF(Q173="À surveiller",40,IF(Q173="En retard",25,IF(Q173="Critique",10,IF(Q173="En attente",50,0))))))),0)</f>
        <v>0</v>
      </c>
      <c r="S173" s="11"/>
      <c r="T173" s="69"/>
      <c r="U173" s="70" t="n">
        <f aca="false">IFERROR(IF(T173="",0,T173*N173/100),0)</f>
        <v>0</v>
      </c>
      <c r="V173" s="11"/>
    </row>
    <row r="174" customFormat="false" ht="21.75" hidden="false" customHeight="true" outlineLevel="0" collapsed="false">
      <c r="B174" s="7"/>
      <c r="C174" s="7"/>
      <c r="D174" s="7"/>
      <c r="E174" s="7"/>
      <c r="F174" s="7"/>
      <c r="G174" s="7"/>
      <c r="H174" s="71"/>
      <c r="I174" s="71"/>
      <c r="J174" s="71"/>
      <c r="K174" s="71"/>
      <c r="L174" s="7"/>
      <c r="M174" s="64" t="n">
        <f aca="true">IF(OR(B174="",H174="",I174=""),0,IF(TODAY()&lt;H174,0,IF(TODAY()&gt;=I174,100,(TODAY()-H174)/(I174-H174)*100)))</f>
        <v>0</v>
      </c>
      <c r="N174" s="72" t="n">
        <v>0</v>
      </c>
      <c r="O174" s="73"/>
      <c r="P174" s="73"/>
      <c r="Q174" s="67" t="str">
        <f aca="true">IF(B174="","",IF(K174&lt;&gt;"",IF(K174&lt;=I174,"Terminé à temps","Terminé hors délai"),IF(N174=0,IF(TODAY()&lt;H174,"En attente",IF(TODAY()&gt;I174+30,"Critique","En retard")),IF(N174&gt;=M174,"À temps",IF(N174&gt;=M174*0.8,"À surveiller",IF(N174&gt;=M174*0.5,"En retard","Critique"))))))</f>
        <v/>
      </c>
      <c r="R174" s="68" t="n">
        <f aca="false">IFERROR(IF(Q174="Terminé à temps",100,IF(Q174="Terminé hors délai",75,IF(Q174="À temps",50,IF(Q174="À surveiller",40,IF(Q174="En retard",25,IF(Q174="Critique",10,IF(Q174="En attente",50,0))))))),0)</f>
        <v>0</v>
      </c>
      <c r="S174" s="7"/>
      <c r="T174" s="74"/>
      <c r="U174" s="70" t="n">
        <f aca="false">IFERROR(IF(T174="",0,T174*N174/100),0)</f>
        <v>0</v>
      </c>
      <c r="V174" s="7"/>
    </row>
    <row r="175" customFormat="false" ht="21.75" hidden="false" customHeight="true" outlineLevel="0" collapsed="false">
      <c r="B175" s="11"/>
      <c r="C175" s="11"/>
      <c r="D175" s="11"/>
      <c r="E175" s="11"/>
      <c r="F175" s="11"/>
      <c r="G175" s="11"/>
      <c r="H175" s="63"/>
      <c r="I175" s="63"/>
      <c r="J175" s="63"/>
      <c r="K175" s="63"/>
      <c r="L175" s="11"/>
      <c r="M175" s="64" t="n">
        <f aca="true">IF(OR(B175="",H175="",I175=""),0,IF(TODAY()&lt;H175,0,IF(TODAY()&gt;=I175,100,(TODAY()-H175)/(I175-H175)*100)))</f>
        <v>0</v>
      </c>
      <c r="N175" s="65" t="n">
        <v>0</v>
      </c>
      <c r="O175" s="66"/>
      <c r="P175" s="66"/>
      <c r="Q175" s="67" t="str">
        <f aca="true">IF(B175="","",IF(K175&lt;&gt;"",IF(K175&lt;=I175,"Terminé à temps","Terminé hors délai"),IF(N175=0,IF(TODAY()&lt;H175,"En attente",IF(TODAY()&gt;I175+30,"Critique","En retard")),IF(N175&gt;=M175,"À temps",IF(N175&gt;=M175*0.8,"À surveiller",IF(N175&gt;=M175*0.5,"En retard","Critique"))))))</f>
        <v/>
      </c>
      <c r="R175" s="68" t="n">
        <f aca="false">IFERROR(IF(Q175="Terminé à temps",100,IF(Q175="Terminé hors délai",75,IF(Q175="À temps",50,IF(Q175="À surveiller",40,IF(Q175="En retard",25,IF(Q175="Critique",10,IF(Q175="En attente",50,0))))))),0)</f>
        <v>0</v>
      </c>
      <c r="S175" s="11"/>
      <c r="T175" s="69"/>
      <c r="U175" s="70" t="n">
        <f aca="false">IFERROR(IF(T175="",0,T175*N175/100),0)</f>
        <v>0</v>
      </c>
      <c r="V175" s="11"/>
    </row>
    <row r="176" customFormat="false" ht="21.75" hidden="false" customHeight="true" outlineLevel="0" collapsed="false">
      <c r="B176" s="7"/>
      <c r="C176" s="7"/>
      <c r="D176" s="7"/>
      <c r="E176" s="7"/>
      <c r="F176" s="7"/>
      <c r="G176" s="7"/>
      <c r="H176" s="71"/>
      <c r="I176" s="71"/>
      <c r="J176" s="71"/>
      <c r="K176" s="71"/>
      <c r="L176" s="7"/>
      <c r="M176" s="64" t="n">
        <f aca="true">IF(OR(B176="",H176="",I176=""),0,IF(TODAY()&lt;H176,0,IF(TODAY()&gt;=I176,100,(TODAY()-H176)/(I176-H176)*100)))</f>
        <v>0</v>
      </c>
      <c r="N176" s="72" t="n">
        <v>0</v>
      </c>
      <c r="O176" s="73"/>
      <c r="P176" s="73"/>
      <c r="Q176" s="67" t="str">
        <f aca="true">IF(B176="","",IF(K176&lt;&gt;"",IF(K176&lt;=I176,"Terminé à temps","Terminé hors délai"),IF(N176=0,IF(TODAY()&lt;H176,"En attente",IF(TODAY()&gt;I176+30,"Critique","En retard")),IF(N176&gt;=M176,"À temps",IF(N176&gt;=M176*0.8,"À surveiller",IF(N176&gt;=M176*0.5,"En retard","Critique"))))))</f>
        <v/>
      </c>
      <c r="R176" s="68" t="n">
        <f aca="false">IFERROR(IF(Q176="Terminé à temps",100,IF(Q176="Terminé hors délai",75,IF(Q176="À temps",50,IF(Q176="À surveiller",40,IF(Q176="En retard",25,IF(Q176="Critique",10,IF(Q176="En attente",50,0))))))),0)</f>
        <v>0</v>
      </c>
      <c r="S176" s="7"/>
      <c r="T176" s="74"/>
      <c r="U176" s="70" t="n">
        <f aca="false">IFERROR(IF(T176="",0,T176*N176/100),0)</f>
        <v>0</v>
      </c>
      <c r="V176" s="7"/>
    </row>
    <row r="177" customFormat="false" ht="21.75" hidden="false" customHeight="true" outlineLevel="0" collapsed="false">
      <c r="B177" s="11"/>
      <c r="C177" s="11"/>
      <c r="D177" s="11"/>
      <c r="E177" s="11"/>
      <c r="F177" s="11"/>
      <c r="G177" s="11"/>
      <c r="H177" s="63"/>
      <c r="I177" s="63"/>
      <c r="J177" s="63"/>
      <c r="K177" s="63"/>
      <c r="L177" s="11"/>
      <c r="M177" s="64" t="n">
        <f aca="true">IF(OR(B177="",H177="",I177=""),0,IF(TODAY()&lt;H177,0,IF(TODAY()&gt;=I177,100,(TODAY()-H177)/(I177-H177)*100)))</f>
        <v>0</v>
      </c>
      <c r="N177" s="65" t="n">
        <v>0</v>
      </c>
      <c r="O177" s="66"/>
      <c r="P177" s="66"/>
      <c r="Q177" s="67" t="str">
        <f aca="true">IF(B177="","",IF(K177&lt;&gt;"",IF(K177&lt;=I177,"Terminé à temps","Terminé hors délai"),IF(N177=0,IF(TODAY()&lt;H177,"En attente",IF(TODAY()&gt;I177+30,"Critique","En retard")),IF(N177&gt;=M177,"À temps",IF(N177&gt;=M177*0.8,"À surveiller",IF(N177&gt;=M177*0.5,"En retard","Critique"))))))</f>
        <v/>
      </c>
      <c r="R177" s="68" t="n">
        <f aca="false">IFERROR(IF(Q177="Terminé à temps",100,IF(Q177="Terminé hors délai",75,IF(Q177="À temps",50,IF(Q177="À surveiller",40,IF(Q177="En retard",25,IF(Q177="Critique",10,IF(Q177="En attente",50,0))))))),0)</f>
        <v>0</v>
      </c>
      <c r="S177" s="11"/>
      <c r="T177" s="69"/>
      <c r="U177" s="70" t="n">
        <f aca="false">IFERROR(IF(T177="",0,T177*N177/100),0)</f>
        <v>0</v>
      </c>
      <c r="V177" s="11"/>
    </row>
    <row r="178" customFormat="false" ht="21.75" hidden="false" customHeight="true" outlineLevel="0" collapsed="false">
      <c r="B178" s="7"/>
      <c r="C178" s="7"/>
      <c r="D178" s="7"/>
      <c r="E178" s="7"/>
      <c r="F178" s="7"/>
      <c r="G178" s="7"/>
      <c r="H178" s="71"/>
      <c r="I178" s="71"/>
      <c r="J178" s="71"/>
      <c r="K178" s="71"/>
      <c r="L178" s="7"/>
      <c r="M178" s="64" t="n">
        <f aca="true">IF(OR(B178="",H178="",I178=""),0,IF(TODAY()&lt;H178,0,IF(TODAY()&gt;=I178,100,(TODAY()-H178)/(I178-H178)*100)))</f>
        <v>0</v>
      </c>
      <c r="N178" s="72" t="n">
        <v>0</v>
      </c>
      <c r="O178" s="73"/>
      <c r="P178" s="73"/>
      <c r="Q178" s="67" t="str">
        <f aca="true">IF(B178="","",IF(K178&lt;&gt;"",IF(K178&lt;=I178,"Terminé à temps","Terminé hors délai"),IF(N178=0,IF(TODAY()&lt;H178,"En attente",IF(TODAY()&gt;I178+30,"Critique","En retard")),IF(N178&gt;=M178,"À temps",IF(N178&gt;=M178*0.8,"À surveiller",IF(N178&gt;=M178*0.5,"En retard","Critique"))))))</f>
        <v/>
      </c>
      <c r="R178" s="68" t="n">
        <f aca="false">IFERROR(IF(Q178="Terminé à temps",100,IF(Q178="Terminé hors délai",75,IF(Q178="À temps",50,IF(Q178="À surveiller",40,IF(Q178="En retard",25,IF(Q178="Critique",10,IF(Q178="En attente",50,0))))))),0)</f>
        <v>0</v>
      </c>
      <c r="S178" s="7"/>
      <c r="T178" s="74"/>
      <c r="U178" s="70" t="n">
        <f aca="false">IFERROR(IF(T178="",0,T178*N178/100),0)</f>
        <v>0</v>
      </c>
      <c r="V178" s="7"/>
    </row>
    <row r="179" customFormat="false" ht="21.75" hidden="false" customHeight="true" outlineLevel="0" collapsed="false">
      <c r="B179" s="11"/>
      <c r="C179" s="11"/>
      <c r="D179" s="11"/>
      <c r="E179" s="11"/>
      <c r="F179" s="11"/>
      <c r="G179" s="11"/>
      <c r="H179" s="63"/>
      <c r="I179" s="63"/>
      <c r="J179" s="63"/>
      <c r="K179" s="63"/>
      <c r="L179" s="11"/>
      <c r="M179" s="64" t="n">
        <f aca="true">IF(OR(B179="",H179="",I179=""),0,IF(TODAY()&lt;H179,0,IF(TODAY()&gt;=I179,100,(TODAY()-H179)/(I179-H179)*100)))</f>
        <v>0</v>
      </c>
      <c r="N179" s="65" t="n">
        <v>0</v>
      </c>
      <c r="O179" s="66"/>
      <c r="P179" s="66"/>
      <c r="Q179" s="67" t="str">
        <f aca="true">IF(B179="","",IF(K179&lt;&gt;"",IF(K179&lt;=I179,"Terminé à temps","Terminé hors délai"),IF(N179=0,IF(TODAY()&lt;H179,"En attente",IF(TODAY()&gt;I179+30,"Critique","En retard")),IF(N179&gt;=M179,"À temps",IF(N179&gt;=M179*0.8,"À surveiller",IF(N179&gt;=M179*0.5,"En retard","Critique"))))))</f>
        <v/>
      </c>
      <c r="R179" s="68" t="n">
        <f aca="false">IFERROR(IF(Q179="Terminé à temps",100,IF(Q179="Terminé hors délai",75,IF(Q179="À temps",50,IF(Q179="À surveiller",40,IF(Q179="En retard",25,IF(Q179="Critique",10,IF(Q179="En attente",50,0))))))),0)</f>
        <v>0</v>
      </c>
      <c r="S179" s="11"/>
      <c r="T179" s="69"/>
      <c r="U179" s="70" t="n">
        <f aca="false">IFERROR(IF(T179="",0,T179*N179/100),0)</f>
        <v>0</v>
      </c>
      <c r="V179" s="11"/>
    </row>
    <row r="180" customFormat="false" ht="21.75" hidden="false" customHeight="true" outlineLevel="0" collapsed="false">
      <c r="B180" s="7"/>
      <c r="C180" s="7"/>
      <c r="D180" s="7"/>
      <c r="E180" s="7"/>
      <c r="F180" s="7"/>
      <c r="G180" s="7"/>
      <c r="H180" s="71"/>
      <c r="I180" s="71"/>
      <c r="J180" s="71"/>
      <c r="K180" s="71"/>
      <c r="L180" s="7"/>
      <c r="M180" s="64" t="n">
        <f aca="true">IF(OR(B180="",H180="",I180=""),0,IF(TODAY()&lt;H180,0,IF(TODAY()&gt;=I180,100,(TODAY()-H180)/(I180-H180)*100)))</f>
        <v>0</v>
      </c>
      <c r="N180" s="72" t="n">
        <v>0</v>
      </c>
      <c r="O180" s="73"/>
      <c r="P180" s="73"/>
      <c r="Q180" s="67" t="str">
        <f aca="true">IF(B180="","",IF(K180&lt;&gt;"",IF(K180&lt;=I180,"Terminé à temps","Terminé hors délai"),IF(N180=0,IF(TODAY()&lt;H180,"En attente",IF(TODAY()&gt;I180+30,"Critique","En retard")),IF(N180&gt;=M180,"À temps",IF(N180&gt;=M180*0.8,"À surveiller",IF(N180&gt;=M180*0.5,"En retard","Critique"))))))</f>
        <v/>
      </c>
      <c r="R180" s="68" t="n">
        <f aca="false">IFERROR(IF(Q180="Terminé à temps",100,IF(Q180="Terminé hors délai",75,IF(Q180="À temps",50,IF(Q180="À surveiller",40,IF(Q180="En retard",25,IF(Q180="Critique",10,IF(Q180="En attente",50,0))))))),0)</f>
        <v>0</v>
      </c>
      <c r="S180" s="7"/>
      <c r="T180" s="74"/>
      <c r="U180" s="70" t="n">
        <f aca="false">IFERROR(IF(T180="",0,T180*N180/100),0)</f>
        <v>0</v>
      </c>
      <c r="V180" s="7"/>
    </row>
    <row r="181" customFormat="false" ht="21.75" hidden="false" customHeight="true" outlineLevel="0" collapsed="false">
      <c r="B181" s="11"/>
      <c r="C181" s="11"/>
      <c r="D181" s="11"/>
      <c r="E181" s="11"/>
      <c r="F181" s="11"/>
      <c r="G181" s="11"/>
      <c r="H181" s="63"/>
      <c r="I181" s="63"/>
      <c r="J181" s="63"/>
      <c r="K181" s="63"/>
      <c r="L181" s="11"/>
      <c r="M181" s="64" t="n">
        <f aca="true">IF(OR(B181="",H181="",I181=""),0,IF(TODAY()&lt;H181,0,IF(TODAY()&gt;=I181,100,(TODAY()-H181)/(I181-H181)*100)))</f>
        <v>0</v>
      </c>
      <c r="N181" s="65" t="n">
        <v>0</v>
      </c>
      <c r="O181" s="66"/>
      <c r="P181" s="66"/>
      <c r="Q181" s="67" t="str">
        <f aca="true">IF(B181="","",IF(K181&lt;&gt;"",IF(K181&lt;=I181,"Terminé à temps","Terminé hors délai"),IF(N181=0,IF(TODAY()&lt;H181,"En attente",IF(TODAY()&gt;I181+30,"Critique","En retard")),IF(N181&gt;=M181,"À temps",IF(N181&gt;=M181*0.8,"À surveiller",IF(N181&gt;=M181*0.5,"En retard","Critique"))))))</f>
        <v/>
      </c>
      <c r="R181" s="68" t="n">
        <f aca="false">IFERROR(IF(Q181="Terminé à temps",100,IF(Q181="Terminé hors délai",75,IF(Q181="À temps",50,IF(Q181="À surveiller",40,IF(Q181="En retard",25,IF(Q181="Critique",10,IF(Q181="En attente",50,0))))))),0)</f>
        <v>0</v>
      </c>
      <c r="S181" s="11"/>
      <c r="T181" s="69"/>
      <c r="U181" s="70" t="n">
        <f aca="false">IFERROR(IF(T181="",0,T181*N181/100),0)</f>
        <v>0</v>
      </c>
      <c r="V181" s="11"/>
    </row>
    <row r="182" customFormat="false" ht="21.75" hidden="false" customHeight="true" outlineLevel="0" collapsed="false">
      <c r="B182" s="7"/>
      <c r="C182" s="7"/>
      <c r="D182" s="7"/>
      <c r="E182" s="7"/>
      <c r="F182" s="7"/>
      <c r="G182" s="7"/>
      <c r="H182" s="71"/>
      <c r="I182" s="71"/>
      <c r="J182" s="71"/>
      <c r="K182" s="71"/>
      <c r="L182" s="7"/>
      <c r="M182" s="64" t="n">
        <f aca="true">IF(OR(B182="",H182="",I182=""),0,IF(TODAY()&lt;H182,0,IF(TODAY()&gt;=I182,100,(TODAY()-H182)/(I182-H182)*100)))</f>
        <v>0</v>
      </c>
      <c r="N182" s="72" t="n">
        <v>0</v>
      </c>
      <c r="O182" s="73"/>
      <c r="P182" s="73"/>
      <c r="Q182" s="67" t="str">
        <f aca="true">IF(B182="","",IF(K182&lt;&gt;"",IF(K182&lt;=I182,"Terminé à temps","Terminé hors délai"),IF(N182=0,IF(TODAY()&lt;H182,"En attente",IF(TODAY()&gt;I182+30,"Critique","En retard")),IF(N182&gt;=M182,"À temps",IF(N182&gt;=M182*0.8,"À surveiller",IF(N182&gt;=M182*0.5,"En retard","Critique"))))))</f>
        <v/>
      </c>
      <c r="R182" s="68" t="n">
        <f aca="false">IFERROR(IF(Q182="Terminé à temps",100,IF(Q182="Terminé hors délai",75,IF(Q182="À temps",50,IF(Q182="À surveiller",40,IF(Q182="En retard",25,IF(Q182="Critique",10,IF(Q182="En attente",50,0))))))),0)</f>
        <v>0</v>
      </c>
      <c r="S182" s="7"/>
      <c r="T182" s="74"/>
      <c r="U182" s="70" t="n">
        <f aca="false">IFERROR(IF(T182="",0,T182*N182/100),0)</f>
        <v>0</v>
      </c>
      <c r="V182" s="7"/>
    </row>
    <row r="183" customFormat="false" ht="21.75" hidden="false" customHeight="true" outlineLevel="0" collapsed="false">
      <c r="B183" s="11"/>
      <c r="C183" s="11"/>
      <c r="D183" s="11"/>
      <c r="E183" s="11"/>
      <c r="F183" s="11"/>
      <c r="G183" s="11"/>
      <c r="H183" s="63"/>
      <c r="I183" s="63"/>
      <c r="J183" s="63"/>
      <c r="K183" s="63"/>
      <c r="L183" s="11"/>
      <c r="M183" s="64" t="n">
        <f aca="true">IF(OR(B183="",H183="",I183=""),0,IF(TODAY()&lt;H183,0,IF(TODAY()&gt;=I183,100,(TODAY()-H183)/(I183-H183)*100)))</f>
        <v>0</v>
      </c>
      <c r="N183" s="65" t="n">
        <v>0</v>
      </c>
      <c r="O183" s="66"/>
      <c r="P183" s="66"/>
      <c r="Q183" s="67" t="str">
        <f aca="true">IF(B183="","",IF(K183&lt;&gt;"",IF(K183&lt;=I183,"Terminé à temps","Terminé hors délai"),IF(N183=0,IF(TODAY()&lt;H183,"En attente",IF(TODAY()&gt;I183+30,"Critique","En retard")),IF(N183&gt;=M183,"À temps",IF(N183&gt;=M183*0.8,"À surveiller",IF(N183&gt;=M183*0.5,"En retard","Critique"))))))</f>
        <v/>
      </c>
      <c r="R183" s="68" t="n">
        <f aca="false">IFERROR(IF(Q183="Terminé à temps",100,IF(Q183="Terminé hors délai",75,IF(Q183="À temps",50,IF(Q183="À surveiller",40,IF(Q183="En retard",25,IF(Q183="Critique",10,IF(Q183="En attente",50,0))))))),0)</f>
        <v>0</v>
      </c>
      <c r="S183" s="11"/>
      <c r="T183" s="69"/>
      <c r="U183" s="70" t="n">
        <f aca="false">IFERROR(IF(T183="",0,T183*N183/100),0)</f>
        <v>0</v>
      </c>
      <c r="V183" s="11"/>
    </row>
    <row r="184" customFormat="false" ht="21.75" hidden="false" customHeight="true" outlineLevel="0" collapsed="false">
      <c r="B184" s="7"/>
      <c r="C184" s="7"/>
      <c r="D184" s="7"/>
      <c r="E184" s="7"/>
      <c r="F184" s="7"/>
      <c r="G184" s="7"/>
      <c r="H184" s="71"/>
      <c r="I184" s="71"/>
      <c r="J184" s="71"/>
      <c r="K184" s="71"/>
      <c r="L184" s="7"/>
      <c r="M184" s="64" t="n">
        <f aca="true">IF(OR(B184="",H184="",I184=""),0,IF(TODAY()&lt;H184,0,IF(TODAY()&gt;=I184,100,(TODAY()-H184)/(I184-H184)*100)))</f>
        <v>0</v>
      </c>
      <c r="N184" s="72" t="n">
        <v>0</v>
      </c>
      <c r="O184" s="73"/>
      <c r="P184" s="73"/>
      <c r="Q184" s="67" t="str">
        <f aca="true">IF(B184="","",IF(K184&lt;&gt;"",IF(K184&lt;=I184,"Terminé à temps","Terminé hors délai"),IF(N184=0,IF(TODAY()&lt;H184,"En attente",IF(TODAY()&gt;I184+30,"Critique","En retard")),IF(N184&gt;=M184,"À temps",IF(N184&gt;=M184*0.8,"À surveiller",IF(N184&gt;=M184*0.5,"En retard","Critique"))))))</f>
        <v/>
      </c>
      <c r="R184" s="68" t="n">
        <f aca="false">IFERROR(IF(Q184="Terminé à temps",100,IF(Q184="Terminé hors délai",75,IF(Q184="À temps",50,IF(Q184="À surveiller",40,IF(Q184="En retard",25,IF(Q184="Critique",10,IF(Q184="En attente",50,0))))))),0)</f>
        <v>0</v>
      </c>
      <c r="S184" s="7"/>
      <c r="T184" s="74"/>
      <c r="U184" s="70" t="n">
        <f aca="false">IFERROR(IF(T184="",0,T184*N184/100),0)</f>
        <v>0</v>
      </c>
      <c r="V184" s="7"/>
    </row>
    <row r="185" customFormat="false" ht="21.75" hidden="false" customHeight="true" outlineLevel="0" collapsed="false">
      <c r="B185" s="11"/>
      <c r="C185" s="11"/>
      <c r="D185" s="11"/>
      <c r="E185" s="11"/>
      <c r="F185" s="11"/>
      <c r="G185" s="11"/>
      <c r="H185" s="63"/>
      <c r="I185" s="63"/>
      <c r="J185" s="63"/>
      <c r="K185" s="63"/>
      <c r="L185" s="11"/>
      <c r="M185" s="64" t="n">
        <f aca="true">IF(OR(B185="",H185="",I185=""),0,IF(TODAY()&lt;H185,0,IF(TODAY()&gt;=I185,100,(TODAY()-H185)/(I185-H185)*100)))</f>
        <v>0</v>
      </c>
      <c r="N185" s="65" t="n">
        <v>0</v>
      </c>
      <c r="O185" s="66"/>
      <c r="P185" s="66"/>
      <c r="Q185" s="67" t="str">
        <f aca="true">IF(B185="","",IF(K185&lt;&gt;"",IF(K185&lt;=I185,"Terminé à temps","Terminé hors délai"),IF(N185=0,IF(TODAY()&lt;H185,"En attente",IF(TODAY()&gt;I185+30,"Critique","En retard")),IF(N185&gt;=M185,"À temps",IF(N185&gt;=M185*0.8,"À surveiller",IF(N185&gt;=M185*0.5,"En retard","Critique"))))))</f>
        <v/>
      </c>
      <c r="R185" s="68" t="n">
        <f aca="false">IFERROR(IF(Q185="Terminé à temps",100,IF(Q185="Terminé hors délai",75,IF(Q185="À temps",50,IF(Q185="À surveiller",40,IF(Q185="En retard",25,IF(Q185="Critique",10,IF(Q185="En attente",50,0))))))),0)</f>
        <v>0</v>
      </c>
      <c r="S185" s="11"/>
      <c r="T185" s="69"/>
      <c r="U185" s="70" t="n">
        <f aca="false">IFERROR(IF(T185="",0,T185*N185/100),0)</f>
        <v>0</v>
      </c>
      <c r="V185" s="11"/>
    </row>
    <row r="186" customFormat="false" ht="21.75" hidden="false" customHeight="true" outlineLevel="0" collapsed="false">
      <c r="B186" s="7"/>
      <c r="C186" s="7"/>
      <c r="D186" s="7"/>
      <c r="E186" s="7"/>
      <c r="F186" s="7"/>
      <c r="G186" s="7"/>
      <c r="H186" s="71"/>
      <c r="I186" s="71"/>
      <c r="J186" s="71"/>
      <c r="K186" s="71"/>
      <c r="L186" s="7"/>
      <c r="M186" s="64" t="n">
        <f aca="true">IF(OR(B186="",H186="",I186=""),0,IF(TODAY()&lt;H186,0,IF(TODAY()&gt;=I186,100,(TODAY()-H186)/(I186-H186)*100)))</f>
        <v>0</v>
      </c>
      <c r="N186" s="72" t="n">
        <v>0</v>
      </c>
      <c r="O186" s="73"/>
      <c r="P186" s="73"/>
      <c r="Q186" s="67" t="str">
        <f aca="true">IF(B186="","",IF(K186&lt;&gt;"",IF(K186&lt;=I186,"Terminé à temps","Terminé hors délai"),IF(N186=0,IF(TODAY()&lt;H186,"En attente",IF(TODAY()&gt;I186+30,"Critique","En retard")),IF(N186&gt;=M186,"À temps",IF(N186&gt;=M186*0.8,"À surveiller",IF(N186&gt;=M186*0.5,"En retard","Critique"))))))</f>
        <v/>
      </c>
      <c r="R186" s="68" t="n">
        <f aca="false">IFERROR(IF(Q186="Terminé à temps",100,IF(Q186="Terminé hors délai",75,IF(Q186="À temps",50,IF(Q186="À surveiller",40,IF(Q186="En retard",25,IF(Q186="Critique",10,IF(Q186="En attente",50,0))))))),0)</f>
        <v>0</v>
      </c>
      <c r="S186" s="7"/>
      <c r="T186" s="74"/>
      <c r="U186" s="70" t="n">
        <f aca="false">IFERROR(IF(T186="",0,T186*N186/100),0)</f>
        <v>0</v>
      </c>
      <c r="V186" s="7"/>
    </row>
    <row r="187" customFormat="false" ht="21.75" hidden="false" customHeight="true" outlineLevel="0" collapsed="false">
      <c r="B187" s="11"/>
      <c r="C187" s="11"/>
      <c r="D187" s="11"/>
      <c r="E187" s="11"/>
      <c r="F187" s="11"/>
      <c r="G187" s="11"/>
      <c r="H187" s="63"/>
      <c r="I187" s="63"/>
      <c r="J187" s="63"/>
      <c r="K187" s="63"/>
      <c r="L187" s="11"/>
      <c r="M187" s="64" t="n">
        <f aca="true">IF(OR(B187="",H187="",I187=""),0,IF(TODAY()&lt;H187,0,IF(TODAY()&gt;=I187,100,(TODAY()-H187)/(I187-H187)*100)))</f>
        <v>0</v>
      </c>
      <c r="N187" s="65" t="n">
        <v>0</v>
      </c>
      <c r="O187" s="66"/>
      <c r="P187" s="66"/>
      <c r="Q187" s="67" t="str">
        <f aca="true">IF(B187="","",IF(K187&lt;&gt;"",IF(K187&lt;=I187,"Terminé à temps","Terminé hors délai"),IF(N187=0,IF(TODAY()&lt;H187,"En attente",IF(TODAY()&gt;I187+30,"Critique","En retard")),IF(N187&gt;=M187,"À temps",IF(N187&gt;=M187*0.8,"À surveiller",IF(N187&gt;=M187*0.5,"En retard","Critique"))))))</f>
        <v/>
      </c>
      <c r="R187" s="68" t="n">
        <f aca="false">IFERROR(IF(Q187="Terminé à temps",100,IF(Q187="Terminé hors délai",75,IF(Q187="À temps",50,IF(Q187="À surveiller",40,IF(Q187="En retard",25,IF(Q187="Critique",10,IF(Q187="En attente",50,0))))))),0)</f>
        <v>0</v>
      </c>
      <c r="S187" s="11"/>
      <c r="T187" s="69"/>
      <c r="U187" s="70" t="n">
        <f aca="false">IFERROR(IF(T187="",0,T187*N187/100),0)</f>
        <v>0</v>
      </c>
      <c r="V187" s="11"/>
    </row>
    <row r="188" customFormat="false" ht="21.75" hidden="false" customHeight="true" outlineLevel="0" collapsed="false">
      <c r="B188" s="7"/>
      <c r="C188" s="7"/>
      <c r="D188" s="7"/>
      <c r="E188" s="7"/>
      <c r="F188" s="7"/>
      <c r="G188" s="7"/>
      <c r="H188" s="71"/>
      <c r="I188" s="71"/>
      <c r="J188" s="71"/>
      <c r="K188" s="71"/>
      <c r="L188" s="7"/>
      <c r="M188" s="64" t="n">
        <f aca="true">IF(OR(B188="",H188="",I188=""),0,IF(TODAY()&lt;H188,0,IF(TODAY()&gt;=I188,100,(TODAY()-H188)/(I188-H188)*100)))</f>
        <v>0</v>
      </c>
      <c r="N188" s="72" t="n">
        <v>0</v>
      </c>
      <c r="O188" s="73"/>
      <c r="P188" s="73"/>
      <c r="Q188" s="67" t="str">
        <f aca="true">IF(B188="","",IF(K188&lt;&gt;"",IF(K188&lt;=I188,"Terminé à temps","Terminé hors délai"),IF(N188=0,IF(TODAY()&lt;H188,"En attente",IF(TODAY()&gt;I188+30,"Critique","En retard")),IF(N188&gt;=M188,"À temps",IF(N188&gt;=M188*0.8,"À surveiller",IF(N188&gt;=M188*0.5,"En retard","Critique"))))))</f>
        <v/>
      </c>
      <c r="R188" s="68" t="n">
        <f aca="false">IFERROR(IF(Q188="Terminé à temps",100,IF(Q188="Terminé hors délai",75,IF(Q188="À temps",50,IF(Q188="À surveiller",40,IF(Q188="En retard",25,IF(Q188="Critique",10,IF(Q188="En attente",50,0))))))),0)</f>
        <v>0</v>
      </c>
      <c r="S188" s="7"/>
      <c r="T188" s="74"/>
      <c r="U188" s="70" t="n">
        <f aca="false">IFERROR(IF(T188="",0,T188*N188/100),0)</f>
        <v>0</v>
      </c>
      <c r="V188" s="7"/>
    </row>
    <row r="189" customFormat="false" ht="21.75" hidden="false" customHeight="true" outlineLevel="0" collapsed="false">
      <c r="B189" s="11"/>
      <c r="C189" s="11"/>
      <c r="D189" s="11"/>
      <c r="E189" s="11"/>
      <c r="F189" s="11"/>
      <c r="G189" s="11"/>
      <c r="H189" s="63"/>
      <c r="I189" s="63"/>
      <c r="J189" s="63"/>
      <c r="K189" s="63"/>
      <c r="L189" s="11"/>
      <c r="M189" s="64" t="n">
        <f aca="true">IF(OR(B189="",H189="",I189=""),0,IF(TODAY()&lt;H189,0,IF(TODAY()&gt;=I189,100,(TODAY()-H189)/(I189-H189)*100)))</f>
        <v>0</v>
      </c>
      <c r="N189" s="65" t="n">
        <v>0</v>
      </c>
      <c r="O189" s="66"/>
      <c r="P189" s="66"/>
      <c r="Q189" s="67" t="str">
        <f aca="true">IF(B189="","",IF(K189&lt;&gt;"",IF(K189&lt;=I189,"Terminé à temps","Terminé hors délai"),IF(N189=0,IF(TODAY()&lt;H189,"En attente",IF(TODAY()&gt;I189+30,"Critique","En retard")),IF(N189&gt;=M189,"À temps",IF(N189&gt;=M189*0.8,"À surveiller",IF(N189&gt;=M189*0.5,"En retard","Critique"))))))</f>
        <v/>
      </c>
      <c r="R189" s="68" t="n">
        <f aca="false">IFERROR(IF(Q189="Terminé à temps",100,IF(Q189="Terminé hors délai",75,IF(Q189="À temps",50,IF(Q189="À surveiller",40,IF(Q189="En retard",25,IF(Q189="Critique",10,IF(Q189="En attente",50,0))))))),0)</f>
        <v>0</v>
      </c>
      <c r="S189" s="11"/>
      <c r="T189" s="69"/>
      <c r="U189" s="70" t="n">
        <f aca="false">IFERROR(IF(T189="",0,T189*N189/100),0)</f>
        <v>0</v>
      </c>
      <c r="V189" s="11"/>
    </row>
    <row r="190" customFormat="false" ht="21.75" hidden="false" customHeight="true" outlineLevel="0" collapsed="false">
      <c r="B190" s="7"/>
      <c r="C190" s="7"/>
      <c r="D190" s="7"/>
      <c r="E190" s="7"/>
      <c r="F190" s="7"/>
      <c r="G190" s="7"/>
      <c r="H190" s="71"/>
      <c r="I190" s="71"/>
      <c r="J190" s="71"/>
      <c r="K190" s="71"/>
      <c r="L190" s="7"/>
      <c r="M190" s="64" t="n">
        <f aca="true">IF(OR(B190="",H190="",I190=""),0,IF(TODAY()&lt;H190,0,IF(TODAY()&gt;=I190,100,(TODAY()-H190)/(I190-H190)*100)))</f>
        <v>0</v>
      </c>
      <c r="N190" s="72" t="n">
        <v>0</v>
      </c>
      <c r="O190" s="73"/>
      <c r="P190" s="73"/>
      <c r="Q190" s="67" t="str">
        <f aca="true">IF(B190="","",IF(K190&lt;&gt;"",IF(K190&lt;=I190,"Terminé à temps","Terminé hors délai"),IF(N190=0,IF(TODAY()&lt;H190,"En attente",IF(TODAY()&gt;I190+30,"Critique","En retard")),IF(N190&gt;=M190,"À temps",IF(N190&gt;=M190*0.8,"À surveiller",IF(N190&gt;=M190*0.5,"En retard","Critique"))))))</f>
        <v/>
      </c>
      <c r="R190" s="68" t="n">
        <f aca="false">IFERROR(IF(Q190="Terminé à temps",100,IF(Q190="Terminé hors délai",75,IF(Q190="À temps",50,IF(Q190="À surveiller",40,IF(Q190="En retard",25,IF(Q190="Critique",10,IF(Q190="En attente",50,0))))))),0)</f>
        <v>0</v>
      </c>
      <c r="S190" s="7"/>
      <c r="T190" s="74"/>
      <c r="U190" s="70" t="n">
        <f aca="false">IFERROR(IF(T190="",0,T190*N190/100),0)</f>
        <v>0</v>
      </c>
      <c r="V190" s="7"/>
    </row>
    <row r="191" customFormat="false" ht="21.75" hidden="false" customHeight="true" outlineLevel="0" collapsed="false">
      <c r="B191" s="11"/>
      <c r="C191" s="11"/>
      <c r="D191" s="11"/>
      <c r="E191" s="11"/>
      <c r="F191" s="11"/>
      <c r="G191" s="11"/>
      <c r="H191" s="63"/>
      <c r="I191" s="63"/>
      <c r="J191" s="63"/>
      <c r="K191" s="63"/>
      <c r="L191" s="11"/>
      <c r="M191" s="64" t="n">
        <f aca="true">IF(OR(B191="",H191="",I191=""),0,IF(TODAY()&lt;H191,0,IF(TODAY()&gt;=I191,100,(TODAY()-H191)/(I191-H191)*100)))</f>
        <v>0</v>
      </c>
      <c r="N191" s="65" t="n">
        <v>0</v>
      </c>
      <c r="O191" s="66"/>
      <c r="P191" s="66"/>
      <c r="Q191" s="67" t="str">
        <f aca="true">IF(B191="","",IF(K191&lt;&gt;"",IF(K191&lt;=I191,"Terminé à temps","Terminé hors délai"),IF(N191=0,IF(TODAY()&lt;H191,"En attente",IF(TODAY()&gt;I191+30,"Critique","En retard")),IF(N191&gt;=M191,"À temps",IF(N191&gt;=M191*0.8,"À surveiller",IF(N191&gt;=M191*0.5,"En retard","Critique"))))))</f>
        <v/>
      </c>
      <c r="R191" s="68" t="n">
        <f aca="false">IFERROR(IF(Q191="Terminé à temps",100,IF(Q191="Terminé hors délai",75,IF(Q191="À temps",50,IF(Q191="À surveiller",40,IF(Q191="En retard",25,IF(Q191="Critique",10,IF(Q191="En attente",50,0))))))),0)</f>
        <v>0</v>
      </c>
      <c r="S191" s="11"/>
      <c r="T191" s="69"/>
      <c r="U191" s="70" t="n">
        <f aca="false">IFERROR(IF(T191="",0,T191*N191/100),0)</f>
        <v>0</v>
      </c>
      <c r="V191" s="11"/>
    </row>
    <row r="192" customFormat="false" ht="21.75" hidden="false" customHeight="true" outlineLevel="0" collapsed="false">
      <c r="B192" s="7"/>
      <c r="C192" s="7"/>
      <c r="D192" s="7"/>
      <c r="E192" s="7"/>
      <c r="F192" s="7"/>
      <c r="G192" s="7"/>
      <c r="H192" s="71"/>
      <c r="I192" s="71"/>
      <c r="J192" s="71"/>
      <c r="K192" s="71"/>
      <c r="L192" s="7"/>
      <c r="M192" s="64" t="n">
        <f aca="true">IF(OR(B192="",H192="",I192=""),0,IF(TODAY()&lt;H192,0,IF(TODAY()&gt;=I192,100,(TODAY()-H192)/(I192-H192)*100)))</f>
        <v>0</v>
      </c>
      <c r="N192" s="72" t="n">
        <v>0</v>
      </c>
      <c r="O192" s="73"/>
      <c r="P192" s="73"/>
      <c r="Q192" s="67" t="str">
        <f aca="true">IF(B192="","",IF(K192&lt;&gt;"",IF(K192&lt;=I192,"Terminé à temps","Terminé hors délai"),IF(N192=0,IF(TODAY()&lt;H192,"En attente",IF(TODAY()&gt;I192+30,"Critique","En retard")),IF(N192&gt;=M192,"À temps",IF(N192&gt;=M192*0.8,"À surveiller",IF(N192&gt;=M192*0.5,"En retard","Critique"))))))</f>
        <v/>
      </c>
      <c r="R192" s="68" t="n">
        <f aca="false">IFERROR(IF(Q192="Terminé à temps",100,IF(Q192="Terminé hors délai",75,IF(Q192="À temps",50,IF(Q192="À surveiller",40,IF(Q192="En retard",25,IF(Q192="Critique",10,IF(Q192="En attente",50,0))))))),0)</f>
        <v>0</v>
      </c>
      <c r="S192" s="7"/>
      <c r="T192" s="74"/>
      <c r="U192" s="70" t="n">
        <f aca="false">IFERROR(IF(T192="",0,T192*N192/100),0)</f>
        <v>0</v>
      </c>
      <c r="V192" s="7"/>
    </row>
    <row r="193" customFormat="false" ht="21.75" hidden="false" customHeight="true" outlineLevel="0" collapsed="false">
      <c r="B193" s="11"/>
      <c r="C193" s="11"/>
      <c r="D193" s="11"/>
      <c r="E193" s="11"/>
      <c r="F193" s="11"/>
      <c r="G193" s="11"/>
      <c r="H193" s="63"/>
      <c r="I193" s="63"/>
      <c r="J193" s="63"/>
      <c r="K193" s="63"/>
      <c r="L193" s="11"/>
      <c r="M193" s="64" t="n">
        <f aca="true">IF(OR(B193="",H193="",I193=""),0,IF(TODAY()&lt;H193,0,IF(TODAY()&gt;=I193,100,(TODAY()-H193)/(I193-H193)*100)))</f>
        <v>0</v>
      </c>
      <c r="N193" s="65" t="n">
        <v>0</v>
      </c>
      <c r="O193" s="66"/>
      <c r="P193" s="66"/>
      <c r="Q193" s="67" t="str">
        <f aca="true">IF(B193="","",IF(K193&lt;&gt;"",IF(K193&lt;=I193,"Terminé à temps","Terminé hors délai"),IF(N193=0,IF(TODAY()&lt;H193,"En attente",IF(TODAY()&gt;I193+30,"Critique","En retard")),IF(N193&gt;=M193,"À temps",IF(N193&gt;=M193*0.8,"À surveiller",IF(N193&gt;=M193*0.5,"En retard","Critique"))))))</f>
        <v/>
      </c>
      <c r="R193" s="68" t="n">
        <f aca="false">IFERROR(IF(Q193="Terminé à temps",100,IF(Q193="Terminé hors délai",75,IF(Q193="À temps",50,IF(Q193="À surveiller",40,IF(Q193="En retard",25,IF(Q193="Critique",10,IF(Q193="En attente",50,0))))))),0)</f>
        <v>0</v>
      </c>
      <c r="S193" s="11"/>
      <c r="T193" s="69"/>
      <c r="U193" s="70" t="n">
        <f aca="false">IFERROR(IF(T193="",0,T193*N193/100),0)</f>
        <v>0</v>
      </c>
      <c r="V193" s="11"/>
    </row>
    <row r="194" customFormat="false" ht="21.75" hidden="false" customHeight="true" outlineLevel="0" collapsed="false">
      <c r="B194" s="7"/>
      <c r="C194" s="7"/>
      <c r="D194" s="7"/>
      <c r="E194" s="7"/>
      <c r="F194" s="7"/>
      <c r="G194" s="7"/>
      <c r="H194" s="71"/>
      <c r="I194" s="71"/>
      <c r="J194" s="71"/>
      <c r="K194" s="71"/>
      <c r="L194" s="7"/>
      <c r="M194" s="64" t="n">
        <f aca="true">IF(OR(B194="",H194="",I194=""),0,IF(TODAY()&lt;H194,0,IF(TODAY()&gt;=I194,100,(TODAY()-H194)/(I194-H194)*100)))</f>
        <v>0</v>
      </c>
      <c r="N194" s="72" t="n">
        <v>0</v>
      </c>
      <c r="O194" s="73"/>
      <c r="P194" s="73"/>
      <c r="Q194" s="67" t="str">
        <f aca="true">IF(B194="","",IF(K194&lt;&gt;"",IF(K194&lt;=I194,"Terminé à temps","Terminé hors délai"),IF(N194=0,IF(TODAY()&lt;H194,"En attente",IF(TODAY()&gt;I194+30,"Critique","En retard")),IF(N194&gt;=M194,"À temps",IF(N194&gt;=M194*0.8,"À surveiller",IF(N194&gt;=M194*0.5,"En retard","Critique"))))))</f>
        <v/>
      </c>
      <c r="R194" s="68" t="n">
        <f aca="false">IFERROR(IF(Q194="Terminé à temps",100,IF(Q194="Terminé hors délai",75,IF(Q194="À temps",50,IF(Q194="À surveiller",40,IF(Q194="En retard",25,IF(Q194="Critique",10,IF(Q194="En attente",50,0))))))),0)</f>
        <v>0</v>
      </c>
      <c r="S194" s="7"/>
      <c r="T194" s="74"/>
      <c r="U194" s="70" t="n">
        <f aca="false">IFERROR(IF(T194="",0,T194*N194/100),0)</f>
        <v>0</v>
      </c>
      <c r="V194" s="7"/>
    </row>
    <row r="195" customFormat="false" ht="21.75" hidden="false" customHeight="true" outlineLevel="0" collapsed="false">
      <c r="B195" s="11"/>
      <c r="C195" s="11"/>
      <c r="D195" s="11"/>
      <c r="E195" s="11"/>
      <c r="F195" s="11"/>
      <c r="G195" s="11"/>
      <c r="H195" s="63"/>
      <c r="I195" s="63"/>
      <c r="J195" s="63"/>
      <c r="K195" s="63"/>
      <c r="L195" s="11"/>
      <c r="M195" s="64" t="n">
        <f aca="true">IF(OR(B195="",H195="",I195=""),0,IF(TODAY()&lt;H195,0,IF(TODAY()&gt;=I195,100,(TODAY()-H195)/(I195-H195)*100)))</f>
        <v>0</v>
      </c>
      <c r="N195" s="65" t="n">
        <v>0</v>
      </c>
      <c r="O195" s="66"/>
      <c r="P195" s="66"/>
      <c r="Q195" s="67" t="str">
        <f aca="true">IF(B195="","",IF(K195&lt;&gt;"",IF(K195&lt;=I195,"Terminé à temps","Terminé hors délai"),IF(N195=0,IF(TODAY()&lt;H195,"En attente",IF(TODAY()&gt;I195+30,"Critique","En retard")),IF(N195&gt;=M195,"À temps",IF(N195&gt;=M195*0.8,"À surveiller",IF(N195&gt;=M195*0.5,"En retard","Critique"))))))</f>
        <v/>
      </c>
      <c r="R195" s="68" t="n">
        <f aca="false">IFERROR(IF(Q195="Terminé à temps",100,IF(Q195="Terminé hors délai",75,IF(Q195="À temps",50,IF(Q195="À surveiller",40,IF(Q195="En retard",25,IF(Q195="Critique",10,IF(Q195="En attente",50,0))))))),0)</f>
        <v>0</v>
      </c>
      <c r="S195" s="11"/>
      <c r="T195" s="69"/>
      <c r="U195" s="70" t="n">
        <f aca="false">IFERROR(IF(T195="",0,T195*N195/100),0)</f>
        <v>0</v>
      </c>
      <c r="V195" s="11"/>
    </row>
    <row r="196" customFormat="false" ht="21.75" hidden="false" customHeight="true" outlineLevel="0" collapsed="false">
      <c r="B196" s="7"/>
      <c r="C196" s="7"/>
      <c r="D196" s="7"/>
      <c r="E196" s="7"/>
      <c r="F196" s="7"/>
      <c r="G196" s="7"/>
      <c r="H196" s="71"/>
      <c r="I196" s="71"/>
      <c r="J196" s="71"/>
      <c r="K196" s="71"/>
      <c r="L196" s="7"/>
      <c r="M196" s="64" t="n">
        <f aca="true">IF(OR(B196="",H196="",I196=""),0,IF(TODAY()&lt;H196,0,IF(TODAY()&gt;=I196,100,(TODAY()-H196)/(I196-H196)*100)))</f>
        <v>0</v>
      </c>
      <c r="N196" s="72" t="n">
        <v>0</v>
      </c>
      <c r="O196" s="73"/>
      <c r="P196" s="73"/>
      <c r="Q196" s="67" t="str">
        <f aca="true">IF(B196="","",IF(K196&lt;&gt;"",IF(K196&lt;=I196,"Terminé à temps","Terminé hors délai"),IF(N196=0,IF(TODAY()&lt;H196,"En attente",IF(TODAY()&gt;I196+30,"Critique","En retard")),IF(N196&gt;=M196,"À temps",IF(N196&gt;=M196*0.8,"À surveiller",IF(N196&gt;=M196*0.5,"En retard","Critique"))))))</f>
        <v/>
      </c>
      <c r="R196" s="68" t="n">
        <f aca="false">IFERROR(IF(Q196="Terminé à temps",100,IF(Q196="Terminé hors délai",75,IF(Q196="À temps",50,IF(Q196="À surveiller",40,IF(Q196="En retard",25,IF(Q196="Critique",10,IF(Q196="En attente",50,0))))))),0)</f>
        <v>0</v>
      </c>
      <c r="S196" s="7"/>
      <c r="T196" s="74"/>
      <c r="U196" s="70" t="n">
        <f aca="false">IFERROR(IF(T196="",0,T196*N196/100),0)</f>
        <v>0</v>
      </c>
      <c r="V196" s="7"/>
    </row>
    <row r="197" customFormat="false" ht="21.75" hidden="false" customHeight="true" outlineLevel="0" collapsed="false">
      <c r="B197" s="11"/>
      <c r="C197" s="11"/>
      <c r="D197" s="11"/>
      <c r="E197" s="11"/>
      <c r="F197" s="11"/>
      <c r="G197" s="11"/>
      <c r="H197" s="63"/>
      <c r="I197" s="63"/>
      <c r="J197" s="63"/>
      <c r="K197" s="63"/>
      <c r="L197" s="11"/>
      <c r="M197" s="64" t="n">
        <f aca="true">IF(OR(B197="",H197="",I197=""),0,IF(TODAY()&lt;H197,0,IF(TODAY()&gt;=I197,100,(TODAY()-H197)/(I197-H197)*100)))</f>
        <v>0</v>
      </c>
      <c r="N197" s="65" t="n">
        <v>0</v>
      </c>
      <c r="O197" s="66"/>
      <c r="P197" s="66"/>
      <c r="Q197" s="67" t="str">
        <f aca="true">IF(B197="","",IF(K197&lt;&gt;"",IF(K197&lt;=I197,"Terminé à temps","Terminé hors délai"),IF(N197=0,IF(TODAY()&lt;H197,"En attente",IF(TODAY()&gt;I197+30,"Critique","En retard")),IF(N197&gt;=M197,"À temps",IF(N197&gt;=M197*0.8,"À surveiller",IF(N197&gt;=M197*0.5,"En retard","Critique"))))))</f>
        <v/>
      </c>
      <c r="R197" s="68" t="n">
        <f aca="false">IFERROR(IF(Q197="Terminé à temps",100,IF(Q197="Terminé hors délai",75,IF(Q197="À temps",50,IF(Q197="À surveiller",40,IF(Q197="En retard",25,IF(Q197="Critique",10,IF(Q197="En attente",50,0))))))),0)</f>
        <v>0</v>
      </c>
      <c r="S197" s="11"/>
      <c r="T197" s="69"/>
      <c r="U197" s="70" t="n">
        <f aca="false">IFERROR(IF(T197="",0,T197*N197/100),0)</f>
        <v>0</v>
      </c>
      <c r="V197" s="11"/>
    </row>
    <row r="198" customFormat="false" ht="21.75" hidden="false" customHeight="true" outlineLevel="0" collapsed="false">
      <c r="B198" s="7"/>
      <c r="C198" s="7"/>
      <c r="D198" s="7"/>
      <c r="E198" s="7"/>
      <c r="F198" s="7"/>
      <c r="G198" s="7"/>
      <c r="H198" s="71"/>
      <c r="I198" s="71"/>
      <c r="J198" s="71"/>
      <c r="K198" s="71"/>
      <c r="L198" s="7"/>
      <c r="M198" s="64" t="n">
        <f aca="true">IF(OR(B198="",H198="",I198=""),0,IF(TODAY()&lt;H198,0,IF(TODAY()&gt;=I198,100,(TODAY()-H198)/(I198-H198)*100)))</f>
        <v>0</v>
      </c>
      <c r="N198" s="72" t="n">
        <v>0</v>
      </c>
      <c r="O198" s="73"/>
      <c r="P198" s="73"/>
      <c r="Q198" s="67" t="str">
        <f aca="true">IF(B198="","",IF(K198&lt;&gt;"",IF(K198&lt;=I198,"Terminé à temps","Terminé hors délai"),IF(N198=0,IF(TODAY()&lt;H198,"En attente",IF(TODAY()&gt;I198+30,"Critique","En retard")),IF(N198&gt;=M198,"À temps",IF(N198&gt;=M198*0.8,"À surveiller",IF(N198&gt;=M198*0.5,"En retard","Critique"))))))</f>
        <v/>
      </c>
      <c r="R198" s="68" t="n">
        <f aca="false">IFERROR(IF(Q198="Terminé à temps",100,IF(Q198="Terminé hors délai",75,IF(Q198="À temps",50,IF(Q198="À surveiller",40,IF(Q198="En retard",25,IF(Q198="Critique",10,IF(Q198="En attente",50,0))))))),0)</f>
        <v>0</v>
      </c>
      <c r="S198" s="7"/>
      <c r="T198" s="74"/>
      <c r="U198" s="70" t="n">
        <f aca="false">IFERROR(IF(T198="",0,T198*N198/100),0)</f>
        <v>0</v>
      </c>
      <c r="V198" s="7"/>
    </row>
    <row r="199" customFormat="false" ht="21.75" hidden="false" customHeight="true" outlineLevel="0" collapsed="false">
      <c r="B199" s="11"/>
      <c r="C199" s="11"/>
      <c r="D199" s="11"/>
      <c r="E199" s="11"/>
      <c r="F199" s="11"/>
      <c r="G199" s="11"/>
      <c r="H199" s="63"/>
      <c r="I199" s="63"/>
      <c r="J199" s="63"/>
      <c r="K199" s="63"/>
      <c r="L199" s="11"/>
      <c r="M199" s="64" t="n">
        <f aca="true">IF(OR(B199="",H199="",I199=""),0,IF(TODAY()&lt;H199,0,IF(TODAY()&gt;=I199,100,(TODAY()-H199)/(I199-H199)*100)))</f>
        <v>0</v>
      </c>
      <c r="N199" s="65" t="n">
        <v>0</v>
      </c>
      <c r="O199" s="66"/>
      <c r="P199" s="66"/>
      <c r="Q199" s="67" t="str">
        <f aca="true">IF(B199="","",IF(K199&lt;&gt;"",IF(K199&lt;=I199,"Terminé à temps","Terminé hors délai"),IF(N199=0,IF(TODAY()&lt;H199,"En attente",IF(TODAY()&gt;I199+30,"Critique","En retard")),IF(N199&gt;=M199,"À temps",IF(N199&gt;=M199*0.8,"À surveiller",IF(N199&gt;=M199*0.5,"En retard","Critique"))))))</f>
        <v/>
      </c>
      <c r="R199" s="68" t="n">
        <f aca="false">IFERROR(IF(Q199="Terminé à temps",100,IF(Q199="Terminé hors délai",75,IF(Q199="À temps",50,IF(Q199="À surveiller",40,IF(Q199="En retard",25,IF(Q199="Critique",10,IF(Q199="En attente",50,0))))))),0)</f>
        <v>0</v>
      </c>
      <c r="S199" s="11"/>
      <c r="T199" s="69"/>
      <c r="U199" s="70" t="n">
        <f aca="false">IFERROR(IF(T199="",0,T199*N199/100),0)</f>
        <v>0</v>
      </c>
      <c r="V199" s="11"/>
    </row>
    <row r="200" customFormat="false" ht="21.75" hidden="false" customHeight="true" outlineLevel="0" collapsed="false">
      <c r="B200" s="7"/>
      <c r="C200" s="7"/>
      <c r="D200" s="7"/>
      <c r="E200" s="7"/>
      <c r="F200" s="7"/>
      <c r="G200" s="7"/>
      <c r="H200" s="71"/>
      <c r="I200" s="71"/>
      <c r="J200" s="71"/>
      <c r="K200" s="71"/>
      <c r="L200" s="7"/>
      <c r="M200" s="64" t="n">
        <f aca="true">IF(OR(B200="",H200="",I200=""),0,IF(TODAY()&lt;H200,0,IF(TODAY()&gt;=I200,100,(TODAY()-H200)/(I200-H200)*100)))</f>
        <v>0</v>
      </c>
      <c r="N200" s="72" t="n">
        <v>0</v>
      </c>
      <c r="O200" s="73"/>
      <c r="P200" s="73"/>
      <c r="Q200" s="67" t="str">
        <f aca="true">IF(B200="","",IF(K200&lt;&gt;"",IF(K200&lt;=I200,"Terminé à temps","Terminé hors délai"),IF(N200=0,IF(TODAY()&lt;H200,"En attente",IF(TODAY()&gt;I200+30,"Critique","En retard")),IF(N200&gt;=M200,"À temps",IF(N200&gt;=M200*0.8,"À surveiller",IF(N200&gt;=M200*0.5,"En retard","Critique"))))))</f>
        <v/>
      </c>
      <c r="R200" s="68" t="n">
        <f aca="false">IFERROR(IF(Q200="Terminé à temps",100,IF(Q200="Terminé hors délai",75,IF(Q200="À temps",50,IF(Q200="À surveiller",40,IF(Q200="En retard",25,IF(Q200="Critique",10,IF(Q200="En attente",50,0))))))),0)</f>
        <v>0</v>
      </c>
      <c r="S200" s="7"/>
      <c r="T200" s="74"/>
      <c r="U200" s="70" t="n">
        <f aca="false">IFERROR(IF(T200="",0,T200*N200/100),0)</f>
        <v>0</v>
      </c>
      <c r="V200" s="7"/>
    </row>
  </sheetData>
  <mergeCells count="3">
    <mergeCell ref="B2:V2"/>
    <mergeCell ref="B3:V3"/>
    <mergeCell ref="B34:N34"/>
  </mergeCells>
  <conditionalFormatting sqref="Q6:Q200">
    <cfRule type="cellIs" priority="2" operator="equal" aboveAverage="0" equalAverage="0" bottom="0" percent="0" rank="0" text="" dxfId="0">
      <formula>"À temps"</formula>
    </cfRule>
    <cfRule type="cellIs" priority="3" operator="equal" aboveAverage="0" equalAverage="0" bottom="0" percent="0" rank="0" text="" dxfId="1">
      <formula>"À surveiller"</formula>
    </cfRule>
    <cfRule type="cellIs" priority="4" operator="equal" aboveAverage="0" equalAverage="0" bottom="0" percent="0" rank="0" text="" dxfId="2">
      <formula>"En retard"</formula>
    </cfRule>
    <cfRule type="cellIs" priority="5" operator="equal" aboveAverage="0" equalAverage="0" bottom="0" percent="0" rank="0" text="" dxfId="3">
      <formula>"Critique"</formula>
    </cfRule>
    <cfRule type="cellIs" priority="6" operator="equal" aboveAverage="0" equalAverage="0" bottom="0" percent="0" rank="0" text="" dxfId="4">
      <formula>"Terminé à temps"</formula>
    </cfRule>
    <cfRule type="cellIs" priority="7" operator="equal" aboveAverage="0" equalAverage="0" bottom="0" percent="0" rank="0" text="" dxfId="5">
      <formula>"Terminé hors délai"</formula>
    </cfRule>
    <cfRule type="cellIs" priority="8" operator="equal" aboveAverage="0" equalAverage="0" bottom="0" percent="0" rank="0" text="" dxfId="6">
      <formula>"Non réalisé"</formula>
    </cfRule>
    <cfRule type="cellIs" priority="9" operator="equal" aboveAverage="0" equalAverage="0" bottom="0" percent="0" rank="0" text="" dxfId="7">
      <formula>"En attente"</formula>
    </cfRule>
  </conditionalFormatting>
  <conditionalFormatting sqref="N6:N200">
    <cfRule type="colorScale" priority="10">
      <colorScale>
        <cfvo type="num" val="0"/>
        <cfvo type="num" val="50"/>
        <cfvo type="num" val="100"/>
        <color rgb="FFFFE6E6"/>
        <color rgb="FFFFF2CC"/>
        <color rgb="FFC6EFCE"/>
      </colorScale>
    </cfRule>
  </conditionalFormatting>
  <dataValidations count="1">
    <dataValidation allowBlank="true" errorStyle="stop" operator="between" showDropDown="false" showErrorMessage="false" showInputMessage="false" sqref="G6:G200"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1"/>
    <col collapsed="false" customWidth="true" hidden="false" outlineLevel="0" max="3" min="3" style="1" width="38"/>
    <col collapsed="false" customWidth="true" hidden="false" outlineLevel="0" max="5" min="4" style="1" width="10"/>
    <col collapsed="false" customWidth="true" hidden="false" outlineLevel="0" max="6" min="6" style="1" width="9"/>
    <col collapsed="false" customWidth="true" hidden="false" outlineLevel="0" max="7" min="7" style="1" width="11"/>
    <col collapsed="false" customWidth="true" hidden="false" outlineLevel="0" max="9" min="8" style="1" width="12"/>
    <col collapsed="false" customWidth="true" hidden="false" outlineLevel="0" max="10" min="10" style="1" width="10"/>
    <col collapsed="false" customWidth="true" hidden="false" outlineLevel="0" max="11" min="11" style="1" width="14"/>
    <col collapsed="false" customWidth="true" hidden="false" outlineLevel="0" max="12" min="12" style="1" width="22"/>
  </cols>
  <sheetData>
    <row r="2" customFormat="false" ht="27.75" hidden="false" customHeight="true" outlineLevel="0" collapsed="false">
      <c r="B2" s="75" t="s">
        <v>614</v>
      </c>
      <c r="C2" s="75"/>
      <c r="D2" s="75"/>
      <c r="E2" s="75"/>
      <c r="F2" s="75"/>
      <c r="G2" s="75"/>
      <c r="H2" s="75"/>
      <c r="I2" s="75"/>
      <c r="J2" s="75"/>
      <c r="K2" s="75"/>
    </row>
    <row r="3" customFormat="false" ht="36" hidden="false" customHeight="true" outlineLevel="0" collapsed="false">
      <c r="B3" s="98" t="s">
        <v>615</v>
      </c>
      <c r="C3" s="98"/>
      <c r="D3" s="98"/>
      <c r="E3" s="98"/>
      <c r="F3" s="98"/>
      <c r="G3" s="98"/>
      <c r="H3" s="98"/>
      <c r="I3" s="98"/>
      <c r="J3" s="98"/>
      <c r="K3" s="98"/>
    </row>
    <row r="5" customFormat="false" ht="37.5" hidden="false" customHeight="true" outlineLevel="0" collapsed="false">
      <c r="B5" s="77" t="s">
        <v>48</v>
      </c>
      <c r="C5" s="77" t="s">
        <v>18</v>
      </c>
      <c r="D5" s="77" t="s">
        <v>548</v>
      </c>
      <c r="E5" s="77" t="s">
        <v>208</v>
      </c>
      <c r="F5" s="77" t="s">
        <v>385</v>
      </c>
      <c r="G5" s="77" t="s">
        <v>386</v>
      </c>
      <c r="H5" s="77" t="s">
        <v>387</v>
      </c>
      <c r="I5" s="77" t="s">
        <v>388</v>
      </c>
      <c r="J5" s="77" t="s">
        <v>389</v>
      </c>
      <c r="K5" s="77" t="s">
        <v>30</v>
      </c>
      <c r="L5" s="77" t="s">
        <v>390</v>
      </c>
    </row>
    <row r="6" customFormat="false" ht="25.5" hidden="false" customHeight="true" outlineLevel="0" collapsed="false">
      <c r="B6" s="27" t="s">
        <v>447</v>
      </c>
      <c r="C6" s="11" t="s">
        <v>616</v>
      </c>
      <c r="D6" s="30" t="s">
        <v>550</v>
      </c>
      <c r="E6" s="27" t="n">
        <v>20</v>
      </c>
      <c r="F6" s="30" t="n">
        <v>0</v>
      </c>
      <c r="G6" s="52" t="n">
        <f aca="false">IFERROR(SUMIF('10. Gantt S2L'!S6:S200,B6,'10. Gantt S2L'!U6:U200),0)</f>
        <v>0</v>
      </c>
      <c r="H6" s="52" t="n">
        <f aca="false">IFERROR(VLOOKUP(B6,'12. Collecte S2L'!B:I,8,FALSE()),0)</f>
        <v>0</v>
      </c>
      <c r="I6" s="52" t="n">
        <f aca="false">IF(H6&gt;0,H6,G6)</f>
        <v>0</v>
      </c>
      <c r="J6" s="78" t="n">
        <f aca="false">IFERROR(I6/E6,0)</f>
        <v>0</v>
      </c>
      <c r="K6" s="27" t="str">
        <f aca="false">IF(J6&gt;=1,"Atteint",IF(J6&gt;=0.75,"En bonne voie",IF(J6&gt;=0.5,"À surveiller",IF(J6&gt;0,"En retard","Non démarré"))))</f>
        <v>Non démarré</v>
      </c>
      <c r="L6" s="11" t="s">
        <v>617</v>
      </c>
    </row>
    <row r="7" customFormat="false" ht="25.5" hidden="false" customHeight="true" outlineLevel="0" collapsed="false">
      <c r="B7" s="38" t="s">
        <v>453</v>
      </c>
      <c r="C7" s="7" t="s">
        <v>618</v>
      </c>
      <c r="D7" s="28" t="s">
        <v>550</v>
      </c>
      <c r="E7" s="38" t="n">
        <v>20</v>
      </c>
      <c r="F7" s="28" t="n">
        <v>0</v>
      </c>
      <c r="G7" s="52" t="n">
        <f aca="false">IFERROR(SUMIF('10. Gantt S2L'!S6:S200,B7,'10. Gantt S2L'!U6:U200),0)</f>
        <v>0</v>
      </c>
      <c r="H7" s="52" t="n">
        <f aca="false">IFERROR(VLOOKUP(B7,'12. Collecte S2L'!B:I,8,FALSE()),0)</f>
        <v>0</v>
      </c>
      <c r="I7" s="52" t="n">
        <f aca="false">IF(H7&gt;0,H7,G7)</f>
        <v>0</v>
      </c>
      <c r="J7" s="79" t="n">
        <f aca="false">IFERROR(I7/E7,0)</f>
        <v>0</v>
      </c>
      <c r="K7" s="38" t="str">
        <f aca="false">IF(J7&gt;=1,"Atteint",IF(J7&gt;=0.75,"En bonne voie",IF(J7&gt;=0.5,"À surveiller",IF(J7&gt;0,"En retard","Non démarré"))))</f>
        <v>Non démarré</v>
      </c>
      <c r="L7" s="7" t="s">
        <v>617</v>
      </c>
    </row>
    <row r="8" customFormat="false" ht="25.5" hidden="false" customHeight="true" outlineLevel="0" collapsed="false">
      <c r="B8" s="27" t="s">
        <v>455</v>
      </c>
      <c r="C8" s="11" t="s">
        <v>619</v>
      </c>
      <c r="D8" s="30" t="s">
        <v>550</v>
      </c>
      <c r="E8" s="27" t="n">
        <v>2</v>
      </c>
      <c r="F8" s="30" t="n">
        <v>0</v>
      </c>
      <c r="G8" s="52" t="n">
        <f aca="false">IFERROR(SUMIF('10. Gantt S2L'!S6:S200,B8,'10. Gantt S2L'!U6:U200),0)</f>
        <v>0</v>
      </c>
      <c r="H8" s="52" t="n">
        <f aca="false">IFERROR(VLOOKUP(B8,'12. Collecte S2L'!B:I,8,FALSE()),0)</f>
        <v>0</v>
      </c>
      <c r="I8" s="52" t="n">
        <f aca="false">IF(H8&gt;0,H8,G8)</f>
        <v>0</v>
      </c>
      <c r="J8" s="78" t="n">
        <f aca="false">IFERROR(I8/E8,0)</f>
        <v>0</v>
      </c>
      <c r="K8" s="27" t="str">
        <f aca="false">IF(J8&gt;=1,"Atteint",IF(J8&gt;=0.75,"En bonne voie",IF(J8&gt;=0.5,"À surveiller",IF(J8&gt;0,"En retard","Non démarré"))))</f>
        <v>Non démarré</v>
      </c>
      <c r="L8" s="11" t="s">
        <v>458</v>
      </c>
    </row>
    <row r="9" customFormat="false" ht="25.5" hidden="false" customHeight="true" outlineLevel="0" collapsed="false">
      <c r="B9" s="38" t="s">
        <v>461</v>
      </c>
      <c r="C9" s="7" t="s">
        <v>620</v>
      </c>
      <c r="D9" s="28" t="s">
        <v>550</v>
      </c>
      <c r="E9" s="38" t="n">
        <v>3</v>
      </c>
      <c r="F9" s="28" t="n">
        <v>0</v>
      </c>
      <c r="G9" s="52" t="n">
        <f aca="false">IFERROR(SUMIF('10. Gantt S2L'!S6:S200,B9,'10. Gantt S2L'!U6:U200),0)</f>
        <v>0</v>
      </c>
      <c r="H9" s="52" t="n">
        <f aca="false">IFERROR(VLOOKUP(B9,'12. Collecte S2L'!B:I,8,FALSE()),0)</f>
        <v>0</v>
      </c>
      <c r="I9" s="52" t="n">
        <f aca="false">IF(H9&gt;0,H9,G9)</f>
        <v>0</v>
      </c>
      <c r="J9" s="79" t="n">
        <f aca="false">IFERROR(I9/E9,0)</f>
        <v>0</v>
      </c>
      <c r="K9" s="38" t="str">
        <f aca="false">IF(J9&gt;=1,"Atteint",IF(J9&gt;=0.75,"En bonne voie",IF(J9&gt;=0.5,"À surveiller",IF(J9&gt;0,"En retard","Non démarré"))))</f>
        <v>Non démarré</v>
      </c>
      <c r="L9" s="7" t="s">
        <v>463</v>
      </c>
    </row>
    <row r="10" customFormat="false" ht="25.5" hidden="false" customHeight="true" outlineLevel="0" collapsed="false">
      <c r="B10" s="27" t="s">
        <v>466</v>
      </c>
      <c r="C10" s="11" t="s">
        <v>621</v>
      </c>
      <c r="D10" s="30" t="s">
        <v>550</v>
      </c>
      <c r="E10" s="27" t="n">
        <v>1</v>
      </c>
      <c r="F10" s="30" t="n">
        <v>0</v>
      </c>
      <c r="G10" s="52" t="n">
        <f aca="false">IFERROR(SUMIF('10. Gantt S2L'!S6:S200,B10,'10. Gantt S2L'!U6:U200),0)</f>
        <v>0</v>
      </c>
      <c r="H10" s="52" t="n">
        <f aca="false">IFERROR(VLOOKUP(B10,'12. Collecte S2L'!B:I,8,FALSE()),0)</f>
        <v>0</v>
      </c>
      <c r="I10" s="52" t="n">
        <f aca="false">IF(H10&gt;0,H10,G10)</f>
        <v>0</v>
      </c>
      <c r="J10" s="78" t="n">
        <f aca="false">IFERROR(I10/E10,0)</f>
        <v>0</v>
      </c>
      <c r="K10" s="27" t="str">
        <f aca="false">IF(J10&gt;=1,"Atteint",IF(J10&gt;=0.75,"En bonne voie",IF(J10&gt;=0.5,"À surveiller",IF(J10&gt;0,"En retard","Non démarré"))))</f>
        <v>Non démarré</v>
      </c>
      <c r="L10" s="11" t="s">
        <v>463</v>
      </c>
    </row>
    <row r="11" customFormat="false" ht="25.5" hidden="false" customHeight="true" outlineLevel="0" collapsed="false">
      <c r="B11" s="38" t="s">
        <v>469</v>
      </c>
      <c r="C11" s="7" t="s">
        <v>622</v>
      </c>
      <c r="D11" s="28" t="s">
        <v>550</v>
      </c>
      <c r="E11" s="38" t="n">
        <v>3</v>
      </c>
      <c r="F11" s="28" t="n">
        <v>0</v>
      </c>
      <c r="G11" s="52" t="n">
        <f aca="false">IFERROR(SUMIF('10. Gantt S2L'!S6:S200,B11,'10. Gantt S2L'!U6:U200),0)</f>
        <v>0</v>
      </c>
      <c r="H11" s="52" t="n">
        <f aca="false">IFERROR(VLOOKUP(B11,'12. Collecte S2L'!B:I,8,FALSE()),0)</f>
        <v>0</v>
      </c>
      <c r="I11" s="52" t="n">
        <f aca="false">IF(H11&gt;0,H11,G11)</f>
        <v>0</v>
      </c>
      <c r="J11" s="79" t="n">
        <f aca="false">IFERROR(I11/E11,0)</f>
        <v>0</v>
      </c>
      <c r="K11" s="38" t="str">
        <f aca="false">IF(J11&gt;=1,"Atteint",IF(J11&gt;=0.75,"En bonne voie",IF(J11&gt;=0.5,"À surveiller",IF(J11&gt;0,"En retard","Non démarré"))))</f>
        <v>Non démarré</v>
      </c>
      <c r="L11" s="7" t="s">
        <v>471</v>
      </c>
    </row>
    <row r="12" customFormat="false" ht="25.5" hidden="false" customHeight="true" outlineLevel="0" collapsed="false">
      <c r="B12" s="27" t="s">
        <v>473</v>
      </c>
      <c r="C12" s="11" t="s">
        <v>623</v>
      </c>
      <c r="D12" s="30" t="s">
        <v>550</v>
      </c>
      <c r="E12" s="27" t="n">
        <v>20</v>
      </c>
      <c r="F12" s="30" t="n">
        <v>0</v>
      </c>
      <c r="G12" s="52" t="n">
        <f aca="false">IFERROR(SUMIF('10. Gantt S2L'!S6:S200,B12,'10. Gantt S2L'!U6:U200),0)</f>
        <v>0</v>
      </c>
      <c r="H12" s="52" t="n">
        <f aca="false">IFERROR(VLOOKUP(B12,'12. Collecte S2L'!B:I,8,FALSE()),0)</f>
        <v>0</v>
      </c>
      <c r="I12" s="52" t="n">
        <f aca="false">IF(H12&gt;0,H12,G12)</f>
        <v>0</v>
      </c>
      <c r="J12" s="78" t="n">
        <f aca="false">IFERROR(I12/E12,0)</f>
        <v>0</v>
      </c>
      <c r="K12" s="27" t="str">
        <f aca="false">IF(J12&gt;=1,"Atteint",IF(J12&gt;=0.75,"En bonne voie",IF(J12&gt;=0.5,"À surveiller",IF(J12&gt;0,"En retard","Non démarré"))))</f>
        <v>Non démarré</v>
      </c>
      <c r="L12" s="11" t="s">
        <v>475</v>
      </c>
    </row>
    <row r="13" customFormat="false" ht="25.5" hidden="false" customHeight="true" outlineLevel="0" collapsed="false">
      <c r="B13" s="38" t="s">
        <v>477</v>
      </c>
      <c r="C13" s="7" t="s">
        <v>624</v>
      </c>
      <c r="D13" s="28" t="s">
        <v>550</v>
      </c>
      <c r="E13" s="38" t="n">
        <v>20</v>
      </c>
      <c r="F13" s="28" t="n">
        <v>0</v>
      </c>
      <c r="G13" s="52" t="n">
        <f aca="false">IFERROR(SUMIF('10. Gantt S2L'!S6:S200,B13,'10. Gantt S2L'!U6:U200),0)</f>
        <v>0</v>
      </c>
      <c r="H13" s="52" t="n">
        <f aca="false">IFERROR(VLOOKUP(B13,'12. Collecte S2L'!B:I,8,FALSE()),0)</f>
        <v>0</v>
      </c>
      <c r="I13" s="52" t="n">
        <f aca="false">IF(H13&gt;0,H13,G13)</f>
        <v>0</v>
      </c>
      <c r="J13" s="79" t="n">
        <f aca="false">IFERROR(I13/E13,0)</f>
        <v>0</v>
      </c>
      <c r="K13" s="38" t="str">
        <f aca="false">IF(J13&gt;=1,"Atteint",IF(J13&gt;=0.75,"En bonne voie",IF(J13&gt;=0.5,"À surveiller",IF(J13&gt;0,"En retard","Non démarré"))))</f>
        <v>Non démarré</v>
      </c>
      <c r="L13" s="7" t="s">
        <v>463</v>
      </c>
    </row>
    <row r="14" customFormat="false" ht="25.5" hidden="false" customHeight="true" outlineLevel="0" collapsed="false">
      <c r="B14" s="27" t="s">
        <v>480</v>
      </c>
      <c r="C14" s="11" t="s">
        <v>625</v>
      </c>
      <c r="D14" s="30" t="s">
        <v>550</v>
      </c>
      <c r="E14" s="27" t="n">
        <v>20</v>
      </c>
      <c r="F14" s="30" t="n">
        <v>0</v>
      </c>
      <c r="G14" s="52" t="n">
        <f aca="false">IFERROR(SUMIF('10. Gantt S2L'!S6:S200,B14,'10. Gantt S2L'!U6:U200),0)</f>
        <v>0</v>
      </c>
      <c r="H14" s="52" t="n">
        <f aca="false">IFERROR(VLOOKUP(B14,'12. Collecte S2L'!B:I,8,FALSE()),0)</f>
        <v>0</v>
      </c>
      <c r="I14" s="52" t="n">
        <f aca="false">IF(H14&gt;0,H14,G14)</f>
        <v>0</v>
      </c>
      <c r="J14" s="78" t="n">
        <f aca="false">IFERROR(I14/E14,0)</f>
        <v>0</v>
      </c>
      <c r="K14" s="27" t="str">
        <f aca="false">IF(J14&gt;=1,"Atteint",IF(J14&gt;=0.75,"En bonne voie",IF(J14&gt;=0.5,"À surveiller",IF(J14&gt;0,"En retard","Non démarré"))))</f>
        <v>Non démarré</v>
      </c>
      <c r="L14" s="11" t="s">
        <v>463</v>
      </c>
    </row>
    <row r="15" customFormat="false" ht="25.5" hidden="false" customHeight="true" outlineLevel="0" collapsed="false">
      <c r="B15" s="38" t="s">
        <v>484</v>
      </c>
      <c r="C15" s="7" t="s">
        <v>626</v>
      </c>
      <c r="D15" s="28" t="s">
        <v>560</v>
      </c>
      <c r="E15" s="38" t="n">
        <v>1</v>
      </c>
      <c r="F15" s="28" t="n">
        <v>0</v>
      </c>
      <c r="G15" s="52" t="n">
        <f aca="false">IFERROR(SUMIF('10. Gantt S2L'!S6:S200,B15,'10. Gantt S2L'!U6:U200),0)</f>
        <v>0</v>
      </c>
      <c r="H15" s="52" t="n">
        <f aca="false">IFERROR(VLOOKUP(B15,'12. Collecte S2L'!B:I,8,FALSE()),0)</f>
        <v>0</v>
      </c>
      <c r="I15" s="52" t="n">
        <f aca="false">IF(H15&gt;0,H15,G15)</f>
        <v>0</v>
      </c>
      <c r="J15" s="79" t="n">
        <f aca="false">IFERROR(I15/E15,0)</f>
        <v>0</v>
      </c>
      <c r="K15" s="38" t="str">
        <f aca="false">IF(J15&gt;=1,"Atteint",IF(J15&gt;=0.75,"En bonne voie",IF(J15&gt;=0.5,"À surveiller",IF(J15&gt;0,"En retard","Non démarré"))))</f>
        <v>Non démarré</v>
      </c>
      <c r="L15" s="7" t="s">
        <v>627</v>
      </c>
    </row>
    <row r="16" customFormat="false" ht="25.5" hidden="false" customHeight="true" outlineLevel="0" collapsed="false">
      <c r="B16" s="27" t="s">
        <v>488</v>
      </c>
      <c r="C16" s="11" t="s">
        <v>628</v>
      </c>
      <c r="D16" s="30" t="s">
        <v>560</v>
      </c>
      <c r="E16" s="27" t="n">
        <v>1</v>
      </c>
      <c r="F16" s="30" t="n">
        <v>0</v>
      </c>
      <c r="G16" s="52" t="n">
        <f aca="false">IFERROR(SUMIF('10. Gantt S2L'!S6:S200,B16,'10. Gantt S2L'!U6:U200),0)</f>
        <v>0</v>
      </c>
      <c r="H16" s="52" t="n">
        <f aca="false">IFERROR(VLOOKUP(B16,'12. Collecte S2L'!B:I,8,FALSE()),0)</f>
        <v>0</v>
      </c>
      <c r="I16" s="52" t="n">
        <f aca="false">IF(H16&gt;0,H16,G16)</f>
        <v>0</v>
      </c>
      <c r="J16" s="78" t="n">
        <f aca="false">IFERROR(I16/E16,0)</f>
        <v>0</v>
      </c>
      <c r="K16" s="27" t="str">
        <f aca="false">IF(J16&gt;=1,"Atteint",IF(J16&gt;=0.75,"En bonne voie",IF(J16&gt;=0.5,"À surveiller",IF(J16&gt;0,"En retard","Non démarré"))))</f>
        <v>Non démarré</v>
      </c>
      <c r="L16" s="11" t="s">
        <v>573</v>
      </c>
    </row>
    <row r="17" customFormat="false" ht="25.5" hidden="false" customHeight="true" outlineLevel="0" collapsed="false">
      <c r="B17" s="38" t="s">
        <v>492</v>
      </c>
      <c r="C17" s="7" t="s">
        <v>629</v>
      </c>
      <c r="D17" s="28" t="s">
        <v>560</v>
      </c>
      <c r="E17" s="38" t="n">
        <v>3</v>
      </c>
      <c r="F17" s="28" t="n">
        <v>0</v>
      </c>
      <c r="G17" s="52" t="n">
        <f aca="false">IFERROR(SUMIF('10. Gantt S2L'!S6:S200,B17,'10. Gantt S2L'!U6:U200),0)</f>
        <v>0</v>
      </c>
      <c r="H17" s="52" t="n">
        <f aca="false">IFERROR(VLOOKUP(B17,'12. Collecte S2L'!B:I,8,FALSE()),0)</f>
        <v>0</v>
      </c>
      <c r="I17" s="52" t="n">
        <f aca="false">IF(H17&gt;0,H17,G17)</f>
        <v>0</v>
      </c>
      <c r="J17" s="79" t="n">
        <f aca="false">IFERROR(I17/E17,0)</f>
        <v>0</v>
      </c>
      <c r="K17" s="38" t="str">
        <f aca="false">IF(J17&gt;=1,"Atteint",IF(J17&gt;=0.75,"En bonne voie",IF(J17&gt;=0.5,"À surveiller",IF(J17&gt;0,"En retard","Non démarré"))))</f>
        <v>Non démarré</v>
      </c>
      <c r="L17" s="7" t="s">
        <v>495</v>
      </c>
    </row>
    <row r="18" customFormat="false" ht="25.5" hidden="false" customHeight="true" outlineLevel="0" collapsed="false">
      <c r="B18" s="27" t="s">
        <v>497</v>
      </c>
      <c r="C18" s="11" t="s">
        <v>630</v>
      </c>
      <c r="D18" s="30" t="s">
        <v>560</v>
      </c>
      <c r="E18" s="27" t="n">
        <v>3</v>
      </c>
      <c r="F18" s="30" t="n">
        <v>0</v>
      </c>
      <c r="G18" s="52" t="n">
        <f aca="false">IFERROR(SUMIF('10. Gantt S2L'!S6:S200,B18,'10. Gantt S2L'!U6:U200),0)</f>
        <v>0</v>
      </c>
      <c r="H18" s="52" t="n">
        <f aca="false">IFERROR(VLOOKUP(B18,'12. Collecte S2L'!B:I,8,FALSE()),0)</f>
        <v>0</v>
      </c>
      <c r="I18" s="52" t="n">
        <f aca="false">IF(H18&gt;0,H18,G18)</f>
        <v>0</v>
      </c>
      <c r="J18" s="78" t="n">
        <f aca="false">IFERROR(I18/E18,0)</f>
        <v>0</v>
      </c>
      <c r="K18" s="27" t="str">
        <f aca="false">IF(J18&gt;=1,"Atteint",IF(J18&gt;=0.75,"En bonne voie",IF(J18&gt;=0.5,"À surveiller",IF(J18&gt;0,"En retard","Non démarré"))))</f>
        <v>Non démarré</v>
      </c>
      <c r="L18" s="11" t="s">
        <v>499</v>
      </c>
    </row>
    <row r="19" customFormat="false" ht="25.5" hidden="false" customHeight="true" outlineLevel="0" collapsed="false">
      <c r="B19" s="38" t="s">
        <v>502</v>
      </c>
      <c r="C19" s="7" t="s">
        <v>631</v>
      </c>
      <c r="D19" s="28" t="s">
        <v>584</v>
      </c>
      <c r="E19" s="38" t="n">
        <v>3</v>
      </c>
      <c r="F19" s="28" t="n">
        <v>0</v>
      </c>
      <c r="G19" s="52" t="n">
        <f aca="false">IFERROR(SUMIF('10. Gantt S2L'!S6:S200,B19,'10. Gantt S2L'!U6:U200),0)</f>
        <v>0</v>
      </c>
      <c r="H19" s="52" t="n">
        <f aca="false">IFERROR(VLOOKUP(B19,'12. Collecte S2L'!B:I,8,FALSE()),0)</f>
        <v>0</v>
      </c>
      <c r="I19" s="52" t="n">
        <f aca="false">IF(H19&gt;0,H19,G19)</f>
        <v>0</v>
      </c>
      <c r="J19" s="79" t="n">
        <f aca="false">IFERROR(I19/E19,0)</f>
        <v>0</v>
      </c>
      <c r="K19" s="38" t="str">
        <f aca="false">IF(J19&gt;=1,"Atteint",IF(J19&gt;=0.75,"En bonne voie",IF(J19&gt;=0.5,"À surveiller",IF(J19&gt;0,"En retard","Non démarré"))))</f>
        <v>Non démarré</v>
      </c>
      <c r="L19" s="7" t="s">
        <v>515</v>
      </c>
    </row>
    <row r="20" customFormat="false" ht="25.5" hidden="false" customHeight="true" outlineLevel="0" collapsed="false">
      <c r="B20" s="27" t="s">
        <v>506</v>
      </c>
      <c r="C20" s="11" t="s">
        <v>632</v>
      </c>
      <c r="D20" s="30" t="s">
        <v>584</v>
      </c>
      <c r="E20" s="27" t="n">
        <v>60</v>
      </c>
      <c r="F20" s="30" t="n">
        <v>0</v>
      </c>
      <c r="G20" s="52" t="n">
        <f aca="false">IFERROR(SUMIF('10. Gantt S2L'!S6:S200,B20,'10. Gantt S2L'!U6:U200),0)</f>
        <v>0</v>
      </c>
      <c r="H20" s="52" t="n">
        <f aca="false">IFERROR(VLOOKUP(B20,'12. Collecte S2L'!B:I,8,FALSE()),0)</f>
        <v>0</v>
      </c>
      <c r="I20" s="52" t="n">
        <f aca="false">IF(H20&gt;0,H20,G20)</f>
        <v>0</v>
      </c>
      <c r="J20" s="78" t="n">
        <f aca="false">IFERROR(I20/E20,0)</f>
        <v>0</v>
      </c>
      <c r="K20" s="27" t="str">
        <f aca="false">IF(J20&gt;=1,"Atteint",IF(J20&gt;=0.75,"En bonne voie",IF(J20&gt;=0.5,"À surveiller",IF(J20&gt;0,"En retard","Non démarré"))))</f>
        <v>Non démarré</v>
      </c>
      <c r="L20" s="11" t="s">
        <v>238</v>
      </c>
    </row>
    <row r="21" customFormat="false" ht="25.5" hidden="false" customHeight="true" outlineLevel="0" collapsed="false">
      <c r="B21" s="38" t="s">
        <v>510</v>
      </c>
      <c r="C21" s="7" t="s">
        <v>511</v>
      </c>
      <c r="D21" s="28" t="s">
        <v>584</v>
      </c>
      <c r="E21" s="38" t="n">
        <v>3</v>
      </c>
      <c r="F21" s="28" t="n">
        <v>0</v>
      </c>
      <c r="G21" s="52" t="n">
        <f aca="false">IFERROR(SUMIF('10. Gantt S2L'!S6:S200,B21,'10. Gantt S2L'!U6:U200),0)</f>
        <v>0</v>
      </c>
      <c r="H21" s="52" t="n">
        <f aca="false">IFERROR(VLOOKUP(B21,'12. Collecte S2L'!B:I,8,FALSE()),0)</f>
        <v>0</v>
      </c>
      <c r="I21" s="52" t="n">
        <f aca="false">IF(H21&gt;0,H21,G21)</f>
        <v>0</v>
      </c>
      <c r="J21" s="79" t="n">
        <f aca="false">IFERROR(I21/E21,0)</f>
        <v>0</v>
      </c>
      <c r="K21" s="38" t="str">
        <f aca="false">IF(J21&gt;=1,"Atteint",IF(J21&gt;=0.75,"En bonne voie",IF(J21&gt;=0.5,"À surveiller",IF(J21&gt;0,"En retard","Non démarré"))))</f>
        <v>Non démarré</v>
      </c>
      <c r="L21" s="7" t="s">
        <v>633</v>
      </c>
    </row>
    <row r="22" customFormat="false" ht="25.5" hidden="false" customHeight="true" outlineLevel="0" collapsed="false">
      <c r="B22" s="27" t="s">
        <v>513</v>
      </c>
      <c r="C22" s="11" t="s">
        <v>514</v>
      </c>
      <c r="D22" s="30" t="s">
        <v>584</v>
      </c>
      <c r="E22" s="27" t="n">
        <v>1</v>
      </c>
      <c r="F22" s="30" t="n">
        <v>0</v>
      </c>
      <c r="G22" s="52" t="n">
        <f aca="false">IFERROR(SUMIF('10. Gantt S2L'!S6:S200,B22,'10. Gantt S2L'!U6:U200),0)</f>
        <v>0</v>
      </c>
      <c r="H22" s="52" t="n">
        <f aca="false">IFERROR(VLOOKUP(B22,'12. Collecte S2L'!B:I,8,FALSE()),0)</f>
        <v>0</v>
      </c>
      <c r="I22" s="52" t="n">
        <f aca="false">IF(H22&gt;0,H22,G22)</f>
        <v>0</v>
      </c>
      <c r="J22" s="78" t="n">
        <f aca="false">IFERROR(I22/E22,0)</f>
        <v>0</v>
      </c>
      <c r="K22" s="27" t="str">
        <f aca="false">IF(J22&gt;=1,"Atteint",IF(J22&gt;=0.75,"En bonne voie",IF(J22&gt;=0.5,"À surveiller",IF(J22&gt;0,"En retard","Non démarré"))))</f>
        <v>Non démarré</v>
      </c>
      <c r="L22" s="11" t="s">
        <v>515</v>
      </c>
    </row>
    <row r="23" customFormat="false" ht="25.5" hidden="false" customHeight="true" outlineLevel="0" collapsed="false">
      <c r="B23" s="38" t="s">
        <v>516</v>
      </c>
      <c r="C23" s="7" t="s">
        <v>517</v>
      </c>
      <c r="D23" s="28" t="s">
        <v>584</v>
      </c>
      <c r="E23" s="38" t="n">
        <v>1</v>
      </c>
      <c r="F23" s="28" t="n">
        <v>0</v>
      </c>
      <c r="G23" s="52" t="n">
        <f aca="false">IFERROR(SUMIF('10. Gantt S2L'!S6:S200,B23,'10. Gantt S2L'!U6:U200),0)</f>
        <v>0</v>
      </c>
      <c r="H23" s="52" t="n">
        <f aca="false">IFERROR(VLOOKUP(B23,'12. Collecte S2L'!B:I,8,FALSE()),0)</f>
        <v>0</v>
      </c>
      <c r="I23" s="52" t="n">
        <f aca="false">IF(H23&gt;0,H23,G23)</f>
        <v>0</v>
      </c>
      <c r="J23" s="79" t="n">
        <f aca="false">IFERROR(I23/E23,0)</f>
        <v>0</v>
      </c>
      <c r="K23" s="38" t="str">
        <f aca="false">IF(J23&gt;=1,"Atteint",IF(J23&gt;=0.75,"En bonne voie",IF(J23&gt;=0.5,"À surveiller",IF(J23&gt;0,"En retard","Non démarré"))))</f>
        <v>Non démarré</v>
      </c>
      <c r="L23" s="7" t="s">
        <v>515</v>
      </c>
    </row>
    <row r="24" customFormat="false" ht="25.5" hidden="false" customHeight="true" outlineLevel="0" collapsed="false">
      <c r="B24" s="27" t="s">
        <v>519</v>
      </c>
      <c r="C24" s="11" t="s">
        <v>520</v>
      </c>
      <c r="D24" s="30" t="s">
        <v>584</v>
      </c>
      <c r="E24" s="27" t="n">
        <v>4</v>
      </c>
      <c r="F24" s="30" t="n">
        <v>0</v>
      </c>
      <c r="G24" s="52" t="n">
        <f aca="false">IFERROR(SUMIF('10. Gantt S2L'!S6:S200,B24,'10. Gantt S2L'!U6:U200),0)</f>
        <v>0</v>
      </c>
      <c r="H24" s="52" t="n">
        <f aca="false">IFERROR(VLOOKUP(B24,'12. Collecte S2L'!B:I,8,FALSE()),0)</f>
        <v>0</v>
      </c>
      <c r="I24" s="52" t="n">
        <f aca="false">IF(H24&gt;0,H24,G24)</f>
        <v>0</v>
      </c>
      <c r="J24" s="78" t="n">
        <f aca="false">IFERROR(I24/E24,0)</f>
        <v>0</v>
      </c>
      <c r="K24" s="27" t="str">
        <f aca="false">IF(J24&gt;=1,"Atteint",IF(J24&gt;=0.75,"En bonne voie",IF(J24&gt;=0.5,"À surveiller",IF(J24&gt;0,"En retard","Non démarré"))))</f>
        <v>Non démarré</v>
      </c>
      <c r="L24" s="11" t="s">
        <v>634</v>
      </c>
    </row>
    <row r="25" customFormat="false" ht="25.5" hidden="false" customHeight="true" outlineLevel="0" collapsed="false">
      <c r="B25" s="38" t="s">
        <v>526</v>
      </c>
      <c r="C25" s="7" t="s">
        <v>527</v>
      </c>
      <c r="D25" s="28" t="s">
        <v>600</v>
      </c>
      <c r="E25" s="38" t="n">
        <v>3</v>
      </c>
      <c r="F25" s="28" t="n">
        <v>0</v>
      </c>
      <c r="G25" s="52" t="n">
        <f aca="false">IFERROR(SUMIF('10. Gantt S2L'!S6:S200,B25,'10. Gantt S2L'!U6:U200),0)</f>
        <v>0</v>
      </c>
      <c r="H25" s="52" t="n">
        <f aca="false">IFERROR(VLOOKUP(B25,'12. Collecte S2L'!B:I,8,FALSE()),0)</f>
        <v>0</v>
      </c>
      <c r="I25" s="52" t="n">
        <f aca="false">IF(H25&gt;0,H25,G25)</f>
        <v>0</v>
      </c>
      <c r="J25" s="79" t="n">
        <f aca="false">IFERROR(I25/E25,0)</f>
        <v>0</v>
      </c>
      <c r="K25" s="38" t="str">
        <f aca="false">IF(J25&gt;=1,"Atteint",IF(J25&gt;=0.75,"En bonne voie",IF(J25&gt;=0.5,"À surveiller",IF(J25&gt;0,"En retard","Non démarré"))))</f>
        <v>Non démarré</v>
      </c>
      <c r="L25" s="7" t="s">
        <v>528</v>
      </c>
    </row>
    <row r="26" customFormat="false" ht="25.5" hidden="false" customHeight="true" outlineLevel="0" collapsed="false">
      <c r="B26" s="27" t="s">
        <v>530</v>
      </c>
      <c r="C26" s="11" t="s">
        <v>635</v>
      </c>
      <c r="D26" s="30" t="s">
        <v>600</v>
      </c>
      <c r="E26" s="27" t="n">
        <v>3</v>
      </c>
      <c r="F26" s="30" t="n">
        <v>0</v>
      </c>
      <c r="G26" s="52" t="n">
        <f aca="false">IFERROR(SUMIF('10. Gantt S2L'!S6:S200,B26,'10. Gantt S2L'!U6:U200),0)</f>
        <v>0</v>
      </c>
      <c r="H26" s="52" t="n">
        <f aca="false">IFERROR(VLOOKUP(B26,'12. Collecte S2L'!B:I,8,FALSE()),0)</f>
        <v>0</v>
      </c>
      <c r="I26" s="52" t="n">
        <f aca="false">IF(H26&gt;0,H26,G26)</f>
        <v>0</v>
      </c>
      <c r="J26" s="78" t="n">
        <f aca="false">IFERROR(I26/E26,0)</f>
        <v>0</v>
      </c>
      <c r="K26" s="27" t="str">
        <f aca="false">IF(J26&gt;=1,"Atteint",IF(J26&gt;=0.75,"En bonne voie",IF(J26&gt;=0.5,"À surveiller",IF(J26&gt;0,"En retard","Non démarré"))))</f>
        <v>Non démarré</v>
      </c>
      <c r="L26" s="11" t="s">
        <v>605</v>
      </c>
    </row>
    <row r="27" customFormat="false" ht="25.5" hidden="false" customHeight="true" outlineLevel="0" collapsed="false">
      <c r="B27" s="38" t="s">
        <v>535</v>
      </c>
      <c r="C27" s="7" t="s">
        <v>636</v>
      </c>
      <c r="D27" s="28" t="s">
        <v>608</v>
      </c>
      <c r="E27" s="38" t="n">
        <v>50</v>
      </c>
      <c r="F27" s="28" t="n">
        <v>0</v>
      </c>
      <c r="G27" s="52" t="n">
        <f aca="false">IFERROR(SUMIF('10. Gantt S2L'!S6:S200,B27,'10. Gantt S2L'!U6:U200),0)</f>
        <v>0</v>
      </c>
      <c r="H27" s="52" t="n">
        <f aca="false">IFERROR(VLOOKUP(B27,'12. Collecte S2L'!B:I,8,FALSE()),0)</f>
        <v>0</v>
      </c>
      <c r="I27" s="52" t="n">
        <f aca="false">IF(H27&gt;0,H27,G27)</f>
        <v>0</v>
      </c>
      <c r="J27" s="79" t="n">
        <f aca="false">IFERROR(I27/E27,0)</f>
        <v>0</v>
      </c>
      <c r="K27" s="38" t="str">
        <f aca="false">IF(J27&gt;=1,"Atteint",IF(J27&gt;=0.75,"En bonne voie",IF(J27&gt;=0.5,"À surveiller",IF(J27&gt;0,"En retard","Non démarré"))))</f>
        <v>Non démarré</v>
      </c>
      <c r="L27" s="7" t="s">
        <v>637</v>
      </c>
    </row>
    <row r="28" customFormat="false" ht="25.5" hidden="false" customHeight="true" outlineLevel="0" collapsed="false">
      <c r="B28" s="27" t="s">
        <v>542</v>
      </c>
      <c r="C28" s="11" t="s">
        <v>543</v>
      </c>
      <c r="D28" s="30" t="s">
        <v>612</v>
      </c>
      <c r="E28" s="27" t="n">
        <v>30</v>
      </c>
      <c r="F28" s="30" t="n">
        <v>0</v>
      </c>
      <c r="G28" s="52" t="n">
        <f aca="false">IFERROR(SUMIF('10. Gantt S2L'!S6:S200,B28,'10. Gantt S2L'!U6:U200),0)</f>
        <v>0</v>
      </c>
      <c r="H28" s="52" t="n">
        <f aca="false">IFERROR(VLOOKUP(B28,'12. Collecte S2L'!B:I,8,FALSE()),0)</f>
        <v>0</v>
      </c>
      <c r="I28" s="52" t="n">
        <f aca="false">IF(H28&gt;0,H28,G28)</f>
        <v>0</v>
      </c>
      <c r="J28" s="78" t="n">
        <f aca="false">IFERROR(I28/E28,0)</f>
        <v>0</v>
      </c>
      <c r="K28" s="27" t="str">
        <f aca="false">IF(J28&gt;=1,"Atteint",IF(J28&gt;=0.75,"En bonne voie",IF(J28&gt;=0.5,"À surveiller",IF(J28&gt;0,"En retard","Non démarré"))))</f>
        <v>Non démarré</v>
      </c>
      <c r="L28" s="11" t="s">
        <v>544</v>
      </c>
    </row>
    <row r="29" customFormat="false" ht="25.5" hidden="false" customHeight="true" outlineLevel="0" collapsed="false">
      <c r="B29" s="77" t="s">
        <v>638</v>
      </c>
      <c r="C29" s="77"/>
      <c r="D29" s="77"/>
      <c r="E29" s="77"/>
      <c r="F29" s="77"/>
      <c r="G29" s="77"/>
      <c r="H29" s="77"/>
      <c r="I29" s="77"/>
      <c r="J29" s="80" t="n">
        <f aca="false">AVERAGE(J6:J28)</f>
        <v>0</v>
      </c>
      <c r="K29" s="81" t="str">
        <f aca="false">COUNTIF(K6:K28,"Atteint")&amp;"/"&amp;23</f>
        <v>0/23</v>
      </c>
      <c r="L29" s="77" t="s">
        <v>413</v>
      </c>
    </row>
  </sheetData>
  <mergeCells count="3">
    <mergeCell ref="B2:K2"/>
    <mergeCell ref="B3:K3"/>
    <mergeCell ref="B29:I29"/>
  </mergeCells>
  <conditionalFormatting sqref="K6:K28">
    <cfRule type="cellIs" priority="2" operator="equal" aboveAverage="0" equalAverage="0" bottom="0" percent="0" rank="0" text="" dxfId="4">
      <formula>"Atteint"</formula>
    </cfRule>
    <cfRule type="cellIs" priority="3" operator="equal" aboveAverage="0" equalAverage="0" bottom="0" percent="0" rank="0" text="" dxfId="0">
      <formula>"En bonne voie"</formula>
    </cfRule>
    <cfRule type="cellIs" priority="4" operator="equal" aboveAverage="0" equalAverage="0" bottom="0" percent="0" rank="0" text="" dxfId="1">
      <formula>"À surveiller"</formula>
    </cfRule>
    <cfRule type="cellIs" priority="5" operator="equal" aboveAverage="0" equalAverage="0" bottom="0" percent="0" rank="0" text="" dxfId="2">
      <formula>"En retard"</formula>
    </cfRule>
    <cfRule type="cellIs" priority="6" operator="equal" aboveAverage="0" equalAverage="0" bottom="0" percent="0" rank="0" text="" dxfId="6">
      <formula>"Non démarré"</formula>
    </cfRule>
  </conditionalFormatting>
  <conditionalFormatting sqref="J6:J28">
    <cfRule type="colorScale" priority="7">
      <colorScale>
        <cfvo type="num" val="0"/>
        <cfvo type="num" val="0.5"/>
        <cfvo type="num" val="1"/>
        <color rgb="FFF8CBAD"/>
        <color rgb="FFFFF2CC"/>
        <color rgb="FFC6EFCE"/>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2:M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1"/>
    <col collapsed="false" customWidth="true" hidden="false" outlineLevel="0" max="3" min="3" style="1" width="30"/>
    <col collapsed="false" customWidth="true" hidden="false" outlineLevel="0" max="4" min="4" style="1" width="18"/>
    <col collapsed="false" customWidth="true" hidden="false" outlineLevel="0" max="5" min="5" style="1" width="14"/>
    <col collapsed="false" customWidth="true" hidden="false" outlineLevel="0" max="9" min="6" style="1" width="13"/>
    <col collapsed="false" customWidth="true" hidden="false" outlineLevel="0" max="10" min="10" style="1" width="9"/>
    <col collapsed="false" customWidth="true" hidden="false" outlineLevel="0" max="12" min="11" style="1" width="14"/>
    <col collapsed="false" customWidth="true" hidden="false" outlineLevel="0" max="13" min="13" style="1" width="22"/>
  </cols>
  <sheetData>
    <row r="2" customFormat="false" ht="27.75" hidden="false" customHeight="true" outlineLevel="0" collapsed="false">
      <c r="B2" s="39" t="s">
        <v>639</v>
      </c>
      <c r="C2" s="39"/>
      <c r="D2" s="39"/>
      <c r="E2" s="39"/>
      <c r="F2" s="39"/>
      <c r="G2" s="39"/>
      <c r="H2" s="39"/>
      <c r="I2" s="39"/>
      <c r="J2" s="39"/>
      <c r="K2" s="39"/>
      <c r="L2" s="39"/>
      <c r="M2" s="39"/>
    </row>
    <row r="3" customFormat="false" ht="36" hidden="false" customHeight="true" outlineLevel="0" collapsed="false">
      <c r="B3" s="82" t="s">
        <v>640</v>
      </c>
      <c r="C3" s="82"/>
      <c r="D3" s="82"/>
      <c r="E3" s="82"/>
      <c r="F3" s="82"/>
      <c r="G3" s="82"/>
      <c r="H3" s="82"/>
      <c r="I3" s="82"/>
      <c r="J3" s="82"/>
      <c r="K3" s="82"/>
      <c r="L3" s="82"/>
      <c r="M3" s="82"/>
    </row>
    <row r="5" customFormat="false" ht="37.5" hidden="false" customHeight="true" outlineLevel="0" collapsed="false">
      <c r="B5" s="41" t="s">
        <v>416</v>
      </c>
      <c r="C5" s="41" t="s">
        <v>18</v>
      </c>
      <c r="D5" s="41" t="s">
        <v>417</v>
      </c>
      <c r="E5" s="41" t="s">
        <v>418</v>
      </c>
      <c r="F5" s="41" t="s">
        <v>102</v>
      </c>
      <c r="G5" s="41" t="s">
        <v>419</v>
      </c>
      <c r="H5" s="41" t="s">
        <v>420</v>
      </c>
      <c r="I5" s="41" t="s">
        <v>421</v>
      </c>
      <c r="J5" s="41" t="s">
        <v>81</v>
      </c>
      <c r="K5" s="41" t="s">
        <v>422</v>
      </c>
      <c r="L5" s="41" t="s">
        <v>423</v>
      </c>
      <c r="M5" s="41" t="s">
        <v>311</v>
      </c>
    </row>
    <row r="6" customFormat="false" ht="30" hidden="false" customHeight="true" outlineLevel="0" collapsed="false">
      <c r="B6" s="27" t="s">
        <v>506</v>
      </c>
      <c r="C6" s="11" t="s">
        <v>632</v>
      </c>
      <c r="D6" s="30" t="s">
        <v>430</v>
      </c>
      <c r="E6" s="30" t="s">
        <v>431</v>
      </c>
      <c r="F6" s="30" t="s">
        <v>124</v>
      </c>
      <c r="G6" s="52" t="n">
        <f aca="false">COUNTIF('K2. Données Kobo S2L'!$C$13:$C$500,B6)</f>
        <v>0</v>
      </c>
      <c r="H6" s="52" t="n">
        <f aca="false">IF(E6="Somme",SUMIF('K2. Données Kobo S2L'!$C$13:$C$500,B6,'K2. Données Kobo S2L'!$I$13:$I$500),IF(E6="Comptage",COUNTIF('K2. Données Kobo S2L'!$C$13:$C$500,B6),IF(E6="Moyenne",IFERROR(AVERAGEIF('K2. Données Kobo S2L'!$C$13:$C$500,B6,'K2. Données Kobo S2L'!$I$13:$I$500),0),0)))</f>
        <v>0</v>
      </c>
      <c r="I6" s="83" t="n">
        <f aca="false">IF(L6&lt;&gt;"",L6,H6)</f>
        <v>0</v>
      </c>
      <c r="J6" s="30" t="s">
        <v>432</v>
      </c>
      <c r="K6" s="84" t="str">
        <f aca="false">IFERROR(maxifs('K2. Données Kobo S2L'!$E$13:$E$500,'K2. Données Kobo S2L'!$C$13:$C$500,B6),"")</f>
        <v/>
      </c>
      <c r="L6" s="85"/>
      <c r="M6" s="11"/>
    </row>
    <row r="7" customFormat="false" ht="30" hidden="false" customHeight="true" outlineLevel="0" collapsed="false">
      <c r="B7" s="38" t="s">
        <v>519</v>
      </c>
      <c r="C7" s="7" t="s">
        <v>520</v>
      </c>
      <c r="D7" s="28" t="s">
        <v>437</v>
      </c>
      <c r="E7" s="28" t="s">
        <v>431</v>
      </c>
      <c r="F7" s="28" t="s">
        <v>117</v>
      </c>
      <c r="G7" s="52" t="n">
        <f aca="false">COUNTIF('K2. Données Kobo S2L'!$C$13:$C$500,B7)</f>
        <v>0</v>
      </c>
      <c r="H7" s="52" t="n">
        <f aca="false">IF(E7="Somme",SUMIF('K2. Données Kobo S2L'!$C$13:$C$500,B7,'K2. Données Kobo S2L'!$I$13:$I$500),IF(E7="Comptage",COUNTIF('K2. Données Kobo S2L'!$C$13:$C$500,B7),IF(E7="Moyenne",IFERROR(AVERAGEIF('K2. Données Kobo S2L'!$C$13:$C$500,B7,'K2. Données Kobo S2L'!$I$13:$I$500),0),0)))</f>
        <v>0</v>
      </c>
      <c r="I7" s="83" t="n">
        <f aca="false">IF(L7&lt;&gt;"",L7,H7)</f>
        <v>0</v>
      </c>
      <c r="J7" s="28" t="s">
        <v>432</v>
      </c>
      <c r="K7" s="84" t="str">
        <f aca="false">IFERROR(maxifs('K2. Données Kobo S2L'!$E$13:$E$500,'K2. Données Kobo S2L'!$C$13:$C$500,B7),"")</f>
        <v/>
      </c>
      <c r="L7" s="85"/>
      <c r="M7" s="7"/>
    </row>
    <row r="8" customFormat="false" ht="30" hidden="false" customHeight="true" outlineLevel="0" collapsed="false">
      <c r="B8" s="27" t="s">
        <v>535</v>
      </c>
      <c r="C8" s="11" t="s">
        <v>641</v>
      </c>
      <c r="D8" s="30" t="s">
        <v>642</v>
      </c>
      <c r="E8" s="30" t="s">
        <v>431</v>
      </c>
      <c r="F8" s="30" t="s">
        <v>124</v>
      </c>
      <c r="G8" s="52" t="n">
        <f aca="false">COUNTIF('K2. Données Kobo S2L'!$C$13:$C$500,B8)</f>
        <v>0</v>
      </c>
      <c r="H8" s="52" t="n">
        <f aca="false">IF(E8="Somme",SUMIF('K2. Données Kobo S2L'!$C$13:$C$500,B8,'K2. Données Kobo S2L'!$I$13:$I$500),IF(E8="Comptage",COUNTIF('K2. Données Kobo S2L'!$C$13:$C$500,B8),IF(E8="Moyenne",IFERROR(AVERAGEIF('K2. Données Kobo S2L'!$C$13:$C$500,B8,'K2. Données Kobo S2L'!$I$13:$I$500),0),0)))</f>
        <v>0</v>
      </c>
      <c r="I8" s="83" t="n">
        <f aca="false">IF(L8&lt;&gt;"",L8,H8)</f>
        <v>0</v>
      </c>
      <c r="J8" s="30" t="s">
        <v>432</v>
      </c>
      <c r="K8" s="84" t="str">
        <f aca="false">IFERROR(maxifs('K2. Données Kobo S2L'!$E$13:$E$500,'K2. Données Kobo S2L'!$C$13:$C$500,B8),"")</f>
        <v/>
      </c>
      <c r="L8" s="85"/>
      <c r="M8" s="11"/>
    </row>
    <row r="9" customFormat="false" ht="30" hidden="false" customHeight="true" outlineLevel="0" collapsed="false">
      <c r="B9" s="38" t="s">
        <v>643</v>
      </c>
      <c r="C9" s="7" t="s">
        <v>644</v>
      </c>
      <c r="D9" s="28" t="s">
        <v>428</v>
      </c>
      <c r="E9" s="28" t="s">
        <v>426</v>
      </c>
      <c r="F9" s="28" t="s">
        <v>123</v>
      </c>
      <c r="G9" s="52" t="n">
        <f aca="false">COUNTIF('K2. Données Kobo S2L'!$C$13:$C$500,B9)</f>
        <v>0</v>
      </c>
      <c r="H9" s="52" t="n">
        <f aca="false">IF(E9="Somme",SUMIF('K2. Données Kobo S2L'!$C$13:$C$500,B9,'K2. Données Kobo S2L'!$I$13:$I$500),IF(E9="Comptage",COUNTIF('K2. Données Kobo S2L'!$C$13:$C$500,B9),IF(E9="Moyenne",IFERROR(AVERAGEIF('K2. Données Kobo S2L'!$C$13:$C$500,B9,'K2. Données Kobo S2L'!$I$13:$I$500),0),0)))</f>
        <v>0</v>
      </c>
      <c r="I9" s="83" t="n">
        <f aca="false">IF(L9&lt;&gt;"",L9,H9)</f>
        <v>0</v>
      </c>
      <c r="J9" s="28" t="s">
        <v>88</v>
      </c>
      <c r="K9" s="84" t="str">
        <f aca="false">IFERROR(maxifs('K2. Données Kobo S2L'!$E$13:$E$500,'K2. Données Kobo S2L'!$C$13:$C$500,B9),"")</f>
        <v/>
      </c>
      <c r="L9" s="85"/>
      <c r="M9" s="7"/>
    </row>
    <row r="10" customFormat="false" ht="30" hidden="false" customHeight="true" outlineLevel="0" collapsed="false">
      <c r="B10" s="27" t="s">
        <v>645</v>
      </c>
      <c r="C10" s="11" t="s">
        <v>646</v>
      </c>
      <c r="D10" s="30" t="s">
        <v>647</v>
      </c>
      <c r="E10" s="30" t="s">
        <v>426</v>
      </c>
      <c r="F10" s="30" t="s">
        <v>117</v>
      </c>
      <c r="G10" s="52" t="n">
        <f aca="false">COUNTIF('K2. Données Kobo S2L'!$C$13:$C$500,B10)</f>
        <v>0</v>
      </c>
      <c r="H10" s="52" t="n">
        <f aca="false">IF(E10="Somme",SUMIF('K2. Données Kobo S2L'!$C$13:$C$500,B10,'K2. Données Kobo S2L'!$I$13:$I$500),IF(E10="Comptage",COUNTIF('K2. Données Kobo S2L'!$C$13:$C$500,B10),IF(E10="Moyenne",IFERROR(AVERAGEIF('K2. Données Kobo S2L'!$C$13:$C$500,B10,'K2. Données Kobo S2L'!$I$13:$I$500),0),0)))</f>
        <v>0</v>
      </c>
      <c r="I10" s="83" t="n">
        <f aca="false">IF(L10&lt;&gt;"",L10,H10)</f>
        <v>0</v>
      </c>
      <c r="J10" s="30" t="s">
        <v>88</v>
      </c>
      <c r="K10" s="84" t="str">
        <f aca="false">IFERROR(maxifs('K2. Données Kobo S2L'!$E$13:$E$500,'K2. Données Kobo S2L'!$C$13:$C$500,B10),"")</f>
        <v/>
      </c>
      <c r="L10" s="85"/>
      <c r="M10" s="11"/>
    </row>
    <row r="11" customFormat="false" ht="24" hidden="false" customHeight="true" outlineLevel="0" collapsed="false">
      <c r="B11" s="11"/>
      <c r="C11" s="11"/>
      <c r="D11" s="11"/>
      <c r="E11" s="11"/>
      <c r="F11" s="11"/>
      <c r="G11" s="68" t="str">
        <f aca="false">IF(B11="","",COUNTIF('K2. Données Kobo S2L'!$C$13:$C$500,B11))</f>
        <v/>
      </c>
      <c r="H11" s="68" t="str">
        <f aca="false">IF(B11="","",IF(E11="Somme",SUMIF('K2. Données Kobo S2L'!$C$13:$C$500,B11,'K2. Données Kobo S2L'!$I$13:$I$500),IF(E11="Comptage",COUNTIF('K2. Données Kobo S2L'!$C$13:$C$500,B11),IF(E11="Moyenne",IFERROR(AVERAGEIF('K2. Données Kobo S2L'!$C$13:$C$500,B11,'K2. Données Kobo S2L'!$I$13:$I$500),0),0))))</f>
        <v/>
      </c>
      <c r="I11" s="68" t="str">
        <f aca="false">IF(B11="","",IF(L11&lt;&gt;"",L11,H11))</f>
        <v/>
      </c>
      <c r="J11" s="11"/>
      <c r="K11" s="86" t="str">
        <f aca="false">IF(B11="","",IFERROR(maxifs('K2. Données Kobo S2L'!$E$13:$E$500,'K2. Données Kobo S2L'!$C$13:$C$500,B11),""))</f>
        <v/>
      </c>
      <c r="L11" s="87"/>
      <c r="M11" s="11"/>
    </row>
    <row r="12" customFormat="false" ht="24" hidden="false" customHeight="true" outlineLevel="0" collapsed="false">
      <c r="B12" s="7"/>
      <c r="C12" s="7"/>
      <c r="D12" s="7"/>
      <c r="E12" s="7"/>
      <c r="F12" s="7"/>
      <c r="G12" s="68" t="str">
        <f aca="false">IF(B12="","",COUNTIF('K2. Données Kobo S2L'!$C$13:$C$500,B12))</f>
        <v/>
      </c>
      <c r="H12" s="68" t="str">
        <f aca="false">IF(B12="","",IF(E12="Somme",SUMIF('K2. Données Kobo S2L'!$C$13:$C$500,B12,'K2. Données Kobo S2L'!$I$13:$I$500),IF(E12="Comptage",COUNTIF('K2. Données Kobo S2L'!$C$13:$C$500,B12),IF(E12="Moyenne",IFERROR(AVERAGEIF('K2. Données Kobo S2L'!$C$13:$C$500,B12,'K2. Données Kobo S2L'!$I$13:$I$500),0),0))))</f>
        <v/>
      </c>
      <c r="I12" s="68" t="str">
        <f aca="false">IF(B12="","",IF(L12&lt;&gt;"",L12,H12))</f>
        <v/>
      </c>
      <c r="J12" s="7"/>
      <c r="K12" s="86" t="str">
        <f aca="false">IF(B12="","",IFERROR(maxifs('K2. Données Kobo S2L'!$E$13:$E$500,'K2. Données Kobo S2L'!$C$13:$C$500,B12),""))</f>
        <v/>
      </c>
      <c r="L12" s="87"/>
      <c r="M12" s="7"/>
    </row>
    <row r="13" customFormat="false" ht="24" hidden="false" customHeight="true" outlineLevel="0" collapsed="false">
      <c r="B13" s="11"/>
      <c r="C13" s="11"/>
      <c r="D13" s="11"/>
      <c r="E13" s="11"/>
      <c r="F13" s="11"/>
      <c r="G13" s="68" t="str">
        <f aca="false">IF(B13="","",COUNTIF('K2. Données Kobo S2L'!$C$13:$C$500,B13))</f>
        <v/>
      </c>
      <c r="H13" s="68" t="str">
        <f aca="false">IF(B13="","",IF(E13="Somme",SUMIF('K2. Données Kobo S2L'!$C$13:$C$500,B13,'K2. Données Kobo S2L'!$I$13:$I$500),IF(E13="Comptage",COUNTIF('K2. Données Kobo S2L'!$C$13:$C$500,B13),IF(E13="Moyenne",IFERROR(AVERAGEIF('K2. Données Kobo S2L'!$C$13:$C$500,B13,'K2. Données Kobo S2L'!$I$13:$I$500),0),0))))</f>
        <v/>
      </c>
      <c r="I13" s="68" t="str">
        <f aca="false">IF(B13="","",IF(L13&lt;&gt;"",L13,H13))</f>
        <v/>
      </c>
      <c r="J13" s="11"/>
      <c r="K13" s="86" t="str">
        <f aca="false">IF(B13="","",IFERROR(maxifs('K2. Données Kobo S2L'!$E$13:$E$500,'K2. Données Kobo S2L'!$C$13:$C$500,B13),""))</f>
        <v/>
      </c>
      <c r="L13" s="87"/>
      <c r="M13" s="11"/>
    </row>
    <row r="14" customFormat="false" ht="24" hidden="false" customHeight="true" outlineLevel="0" collapsed="false">
      <c r="B14" s="7"/>
      <c r="C14" s="7"/>
      <c r="D14" s="7"/>
      <c r="E14" s="7"/>
      <c r="F14" s="7"/>
      <c r="G14" s="68" t="str">
        <f aca="false">IF(B14="","",COUNTIF('K2. Données Kobo S2L'!$C$13:$C$500,B14))</f>
        <v/>
      </c>
      <c r="H14" s="68" t="str">
        <f aca="false">IF(B14="","",IF(E14="Somme",SUMIF('K2. Données Kobo S2L'!$C$13:$C$500,B14,'K2. Données Kobo S2L'!$I$13:$I$500),IF(E14="Comptage",COUNTIF('K2. Données Kobo S2L'!$C$13:$C$500,B14),IF(E14="Moyenne",IFERROR(AVERAGEIF('K2. Données Kobo S2L'!$C$13:$C$500,B14,'K2. Données Kobo S2L'!$I$13:$I$500),0),0))))</f>
        <v/>
      </c>
      <c r="I14" s="68" t="str">
        <f aca="false">IF(B14="","",IF(L14&lt;&gt;"",L14,H14))</f>
        <v/>
      </c>
      <c r="J14" s="7"/>
      <c r="K14" s="86" t="str">
        <f aca="false">IF(B14="","",IFERROR(maxifs('K2. Données Kobo S2L'!$E$13:$E$500,'K2. Données Kobo S2L'!$C$13:$C$500,B14),""))</f>
        <v/>
      </c>
      <c r="L14" s="87"/>
      <c r="M14" s="7"/>
    </row>
    <row r="15" customFormat="false" ht="24" hidden="false" customHeight="true" outlineLevel="0" collapsed="false">
      <c r="B15" s="11"/>
      <c r="C15" s="11"/>
      <c r="D15" s="11"/>
      <c r="E15" s="11"/>
      <c r="F15" s="11"/>
      <c r="G15" s="68" t="str">
        <f aca="false">IF(B15="","",COUNTIF('K2. Données Kobo S2L'!$C$13:$C$500,B15))</f>
        <v/>
      </c>
      <c r="H15" s="68" t="str">
        <f aca="false">IF(B15="","",IF(E15="Somme",SUMIF('K2. Données Kobo S2L'!$C$13:$C$500,B15,'K2. Données Kobo S2L'!$I$13:$I$500),IF(E15="Comptage",COUNTIF('K2. Données Kobo S2L'!$C$13:$C$500,B15),IF(E15="Moyenne",IFERROR(AVERAGEIF('K2. Données Kobo S2L'!$C$13:$C$500,B15,'K2. Données Kobo S2L'!$I$13:$I$500),0),0))))</f>
        <v/>
      </c>
      <c r="I15" s="68" t="str">
        <f aca="false">IF(B15="","",IF(L15&lt;&gt;"",L15,H15))</f>
        <v/>
      </c>
      <c r="J15" s="11"/>
      <c r="K15" s="86" t="str">
        <f aca="false">IF(B15="","",IFERROR(maxifs('K2. Données Kobo S2L'!$E$13:$E$500,'K2. Données Kobo S2L'!$C$13:$C$500,B15),""))</f>
        <v/>
      </c>
      <c r="L15" s="87"/>
      <c r="M15" s="11"/>
    </row>
    <row r="16" customFormat="false" ht="24" hidden="false" customHeight="true" outlineLevel="0" collapsed="false">
      <c r="B16" s="7"/>
      <c r="C16" s="7"/>
      <c r="D16" s="7"/>
      <c r="E16" s="7"/>
      <c r="F16" s="7"/>
      <c r="G16" s="68" t="str">
        <f aca="false">IF(B16="","",COUNTIF('K2. Données Kobo S2L'!$C$13:$C$500,B16))</f>
        <v/>
      </c>
      <c r="H16" s="68" t="str">
        <f aca="false">IF(B16="","",IF(E16="Somme",SUMIF('K2. Données Kobo S2L'!$C$13:$C$500,B16,'K2. Données Kobo S2L'!$I$13:$I$500),IF(E16="Comptage",COUNTIF('K2. Données Kobo S2L'!$C$13:$C$500,B16),IF(E16="Moyenne",IFERROR(AVERAGEIF('K2. Données Kobo S2L'!$C$13:$C$500,B16,'K2. Données Kobo S2L'!$I$13:$I$500),0),0))))</f>
        <v/>
      </c>
      <c r="I16" s="68" t="str">
        <f aca="false">IF(B16="","",IF(L16&lt;&gt;"",L16,H16))</f>
        <v/>
      </c>
      <c r="J16" s="7"/>
      <c r="K16" s="86" t="str">
        <f aca="false">IF(B16="","",IFERROR(maxifs('K2. Données Kobo S2L'!$E$13:$E$500,'K2. Données Kobo S2L'!$C$13:$C$500,B16),""))</f>
        <v/>
      </c>
      <c r="L16" s="87"/>
      <c r="M16" s="7"/>
    </row>
    <row r="17" customFormat="false" ht="24" hidden="false" customHeight="true" outlineLevel="0" collapsed="false">
      <c r="B17" s="11"/>
      <c r="C17" s="11"/>
      <c r="D17" s="11"/>
      <c r="E17" s="11"/>
      <c r="F17" s="11"/>
      <c r="G17" s="68" t="str">
        <f aca="false">IF(B17="","",COUNTIF('K2. Données Kobo S2L'!$C$13:$C$500,B17))</f>
        <v/>
      </c>
      <c r="H17" s="68" t="str">
        <f aca="false">IF(B17="","",IF(E17="Somme",SUMIF('K2. Données Kobo S2L'!$C$13:$C$500,B17,'K2. Données Kobo S2L'!$I$13:$I$500),IF(E17="Comptage",COUNTIF('K2. Données Kobo S2L'!$C$13:$C$500,B17),IF(E17="Moyenne",IFERROR(AVERAGEIF('K2. Données Kobo S2L'!$C$13:$C$500,B17,'K2. Données Kobo S2L'!$I$13:$I$500),0),0))))</f>
        <v/>
      </c>
      <c r="I17" s="68" t="str">
        <f aca="false">IF(B17="","",IF(L17&lt;&gt;"",L17,H17))</f>
        <v/>
      </c>
      <c r="J17" s="11"/>
      <c r="K17" s="86" t="str">
        <f aca="false">IF(B17="","",IFERROR(maxifs('K2. Données Kobo S2L'!$E$13:$E$500,'K2. Données Kobo S2L'!$C$13:$C$500,B17),""))</f>
        <v/>
      </c>
      <c r="L17" s="87"/>
      <c r="M17" s="11"/>
    </row>
    <row r="18" customFormat="false" ht="24" hidden="false" customHeight="true" outlineLevel="0" collapsed="false">
      <c r="B18" s="7"/>
      <c r="C18" s="7"/>
      <c r="D18" s="7"/>
      <c r="E18" s="7"/>
      <c r="F18" s="7"/>
      <c r="G18" s="68" t="str">
        <f aca="false">IF(B18="","",COUNTIF('K2. Données Kobo S2L'!$C$13:$C$500,B18))</f>
        <v/>
      </c>
      <c r="H18" s="68" t="str">
        <f aca="false">IF(B18="","",IF(E18="Somme",SUMIF('K2. Données Kobo S2L'!$C$13:$C$500,B18,'K2. Données Kobo S2L'!$I$13:$I$500),IF(E18="Comptage",COUNTIF('K2. Données Kobo S2L'!$C$13:$C$500,B18),IF(E18="Moyenne",IFERROR(AVERAGEIF('K2. Données Kobo S2L'!$C$13:$C$500,B18,'K2. Données Kobo S2L'!$I$13:$I$500),0),0))))</f>
        <v/>
      </c>
      <c r="I18" s="68" t="str">
        <f aca="false">IF(B18="","",IF(L18&lt;&gt;"",L18,H18))</f>
        <v/>
      </c>
      <c r="J18" s="7"/>
      <c r="K18" s="86" t="str">
        <f aca="false">IF(B18="","",IFERROR(maxifs('K2. Données Kobo S2L'!$E$13:$E$500,'K2. Données Kobo S2L'!$C$13:$C$500,B18),""))</f>
        <v/>
      </c>
      <c r="L18" s="87"/>
      <c r="M18" s="7"/>
    </row>
    <row r="19" customFormat="false" ht="24" hidden="false" customHeight="true" outlineLevel="0" collapsed="false">
      <c r="B19" s="11"/>
      <c r="C19" s="11"/>
      <c r="D19" s="11"/>
      <c r="E19" s="11"/>
      <c r="F19" s="11"/>
      <c r="G19" s="68" t="str">
        <f aca="false">IF(B19="","",COUNTIF('K2. Données Kobo S2L'!$C$13:$C$500,B19))</f>
        <v/>
      </c>
      <c r="H19" s="68" t="str">
        <f aca="false">IF(B19="","",IF(E19="Somme",SUMIF('K2. Données Kobo S2L'!$C$13:$C$500,B19,'K2. Données Kobo S2L'!$I$13:$I$500),IF(E19="Comptage",COUNTIF('K2. Données Kobo S2L'!$C$13:$C$500,B19),IF(E19="Moyenne",IFERROR(AVERAGEIF('K2. Données Kobo S2L'!$C$13:$C$500,B19,'K2. Données Kobo S2L'!$I$13:$I$500),0),0))))</f>
        <v/>
      </c>
      <c r="I19" s="68" t="str">
        <f aca="false">IF(B19="","",IF(L19&lt;&gt;"",L19,H19))</f>
        <v/>
      </c>
      <c r="J19" s="11"/>
      <c r="K19" s="86" t="str">
        <f aca="false">IF(B19="","",IFERROR(maxifs('K2. Données Kobo S2L'!$E$13:$E$500,'K2. Données Kobo S2L'!$C$13:$C$500,B19),""))</f>
        <v/>
      </c>
      <c r="L19" s="87"/>
      <c r="M19" s="11"/>
    </row>
    <row r="20" customFormat="false" ht="24" hidden="false" customHeight="true" outlineLevel="0" collapsed="false">
      <c r="B20" s="7"/>
      <c r="C20" s="7"/>
      <c r="D20" s="7"/>
      <c r="E20" s="7"/>
      <c r="F20" s="7"/>
      <c r="G20" s="68" t="str">
        <f aca="false">IF(B20="","",COUNTIF('K2. Données Kobo S2L'!$C$13:$C$500,B20))</f>
        <v/>
      </c>
      <c r="H20" s="68" t="str">
        <f aca="false">IF(B20="","",IF(E20="Somme",SUMIF('K2. Données Kobo S2L'!$C$13:$C$500,B20,'K2. Données Kobo S2L'!$I$13:$I$500),IF(E20="Comptage",COUNTIF('K2. Données Kobo S2L'!$C$13:$C$500,B20),IF(E20="Moyenne",IFERROR(AVERAGEIF('K2. Données Kobo S2L'!$C$13:$C$500,B20,'K2. Données Kobo S2L'!$I$13:$I$500),0),0))))</f>
        <v/>
      </c>
      <c r="I20" s="68" t="str">
        <f aca="false">IF(B20="","",IF(L20&lt;&gt;"",L20,H20))</f>
        <v/>
      </c>
      <c r="J20" s="7"/>
      <c r="K20" s="86" t="str">
        <f aca="false">IF(B20="","",IFERROR(maxifs('K2. Données Kobo S2L'!$E$13:$E$500,'K2. Données Kobo S2L'!$C$13:$C$500,B20),""))</f>
        <v/>
      </c>
      <c r="L20" s="87"/>
      <c r="M20" s="7"/>
    </row>
    <row r="21" customFormat="false" ht="24" hidden="false" customHeight="true" outlineLevel="0" collapsed="false">
      <c r="B21" s="11"/>
      <c r="C21" s="11"/>
      <c r="D21" s="11"/>
      <c r="E21" s="11"/>
      <c r="F21" s="11"/>
      <c r="G21" s="68" t="str">
        <f aca="false">IF(B21="","",COUNTIF('K2. Données Kobo S2L'!$C$13:$C$500,B21))</f>
        <v/>
      </c>
      <c r="H21" s="68" t="str">
        <f aca="false">IF(B21="","",IF(E21="Somme",SUMIF('K2. Données Kobo S2L'!$C$13:$C$500,B21,'K2. Données Kobo S2L'!$I$13:$I$500),IF(E21="Comptage",COUNTIF('K2. Données Kobo S2L'!$C$13:$C$500,B21),IF(E21="Moyenne",IFERROR(AVERAGEIF('K2. Données Kobo S2L'!$C$13:$C$500,B21,'K2. Données Kobo S2L'!$I$13:$I$500),0),0))))</f>
        <v/>
      </c>
      <c r="I21" s="68" t="str">
        <f aca="false">IF(B21="","",IF(L21&lt;&gt;"",L21,H21))</f>
        <v/>
      </c>
      <c r="J21" s="11"/>
      <c r="K21" s="86" t="str">
        <f aca="false">IF(B21="","",IFERROR(maxifs('K2. Données Kobo S2L'!$E$13:$E$500,'K2. Données Kobo S2L'!$C$13:$C$500,B21),""))</f>
        <v/>
      </c>
      <c r="L21" s="87"/>
      <c r="M21" s="11"/>
    </row>
    <row r="22" customFormat="false" ht="24" hidden="false" customHeight="true" outlineLevel="0" collapsed="false">
      <c r="B22" s="7"/>
      <c r="C22" s="7"/>
      <c r="D22" s="7"/>
      <c r="E22" s="7"/>
      <c r="F22" s="7"/>
      <c r="G22" s="68" t="str">
        <f aca="false">IF(B22="","",COUNTIF('K2. Données Kobo S2L'!$C$13:$C$500,B22))</f>
        <v/>
      </c>
      <c r="H22" s="68" t="str">
        <f aca="false">IF(B22="","",IF(E22="Somme",SUMIF('K2. Données Kobo S2L'!$C$13:$C$500,B22,'K2. Données Kobo S2L'!$I$13:$I$500),IF(E22="Comptage",COUNTIF('K2. Données Kobo S2L'!$C$13:$C$500,B22),IF(E22="Moyenne",IFERROR(AVERAGEIF('K2. Données Kobo S2L'!$C$13:$C$500,B22,'K2. Données Kobo S2L'!$I$13:$I$500),0),0))))</f>
        <v/>
      </c>
      <c r="I22" s="68" t="str">
        <f aca="false">IF(B22="","",IF(L22&lt;&gt;"",L22,H22))</f>
        <v/>
      </c>
      <c r="J22" s="7"/>
      <c r="K22" s="86" t="str">
        <f aca="false">IF(B22="","",IFERROR(maxifs('K2. Données Kobo S2L'!$E$13:$E$500,'K2. Données Kobo S2L'!$C$13:$C$500,B22),""))</f>
        <v/>
      </c>
      <c r="L22" s="87"/>
      <c r="M22" s="7"/>
    </row>
  </sheetData>
  <mergeCells count="2">
    <mergeCell ref="B2:M2"/>
    <mergeCell ref="B3:M3"/>
  </mergeCells>
  <dataValidations count="1">
    <dataValidation allowBlank="true" errorStyle="stop" operator="between" showDropDown="false" showErrorMessage="false" showInputMessage="false" sqref="E6:E21" type="list">
      <formula1>"Somme,Comptage,Moyenne"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1"/>
    <col collapsed="false" customWidth="true" hidden="false" outlineLevel="0" max="4" min="4" style="1" width="9"/>
    <col collapsed="false" customWidth="true" hidden="false" outlineLevel="0" max="5" min="5" style="1" width="11"/>
    <col collapsed="false" customWidth="true" hidden="false" outlineLevel="0" max="7" min="6" style="1" width="9"/>
    <col collapsed="false" customWidth="true" hidden="false" outlineLevel="0" max="9" min="8" style="1" width="12"/>
    <col collapsed="false" customWidth="true" hidden="false" outlineLevel="0" max="10" min="10" style="1" width="10"/>
    <col collapsed="false" customWidth="true" hidden="false" outlineLevel="0" max="11" min="11" style="1" width="12"/>
    <col collapsed="false" customWidth="true" hidden="false" outlineLevel="0" max="12" min="12" style="1" width="14"/>
  </cols>
  <sheetData>
    <row r="2" customFormat="false" ht="27.75" hidden="false" customHeight="true" outlineLevel="0" collapsed="false">
      <c r="B2" s="88" t="s">
        <v>648</v>
      </c>
      <c r="C2" s="88"/>
      <c r="D2" s="88"/>
      <c r="E2" s="88"/>
      <c r="F2" s="88"/>
      <c r="G2" s="88"/>
      <c r="H2" s="88"/>
      <c r="I2" s="88"/>
      <c r="J2" s="88"/>
      <c r="K2" s="88"/>
      <c r="L2" s="88"/>
    </row>
    <row r="3" customFormat="false" ht="15" hidden="false" customHeight="true" outlineLevel="0" collapsed="false">
      <c r="B3" s="89" t="s">
        <v>649</v>
      </c>
      <c r="C3" s="89"/>
      <c r="D3" s="89"/>
      <c r="E3" s="89"/>
      <c r="F3" s="89"/>
      <c r="G3" s="89"/>
      <c r="H3" s="89"/>
      <c r="I3" s="89"/>
      <c r="J3" s="89"/>
      <c r="K3" s="89"/>
      <c r="L3" s="89"/>
    </row>
    <row r="5" customFormat="false" ht="36" hidden="false" customHeight="true" outlineLevel="0" collapsed="false">
      <c r="B5" s="90" t="s">
        <v>440</v>
      </c>
      <c r="C5" s="90" t="s">
        <v>441</v>
      </c>
      <c r="D5" s="90" t="s">
        <v>34</v>
      </c>
      <c r="E5" s="90" t="s">
        <v>35</v>
      </c>
      <c r="F5" s="90" t="s">
        <v>36</v>
      </c>
      <c r="G5" s="90" t="s">
        <v>37</v>
      </c>
      <c r="H5" s="90" t="s">
        <v>32</v>
      </c>
      <c r="I5" s="90" t="s">
        <v>33</v>
      </c>
      <c r="J5" s="90" t="s">
        <v>442</v>
      </c>
      <c r="K5" s="90" t="s">
        <v>443</v>
      </c>
      <c r="L5" s="90" t="s">
        <v>71</v>
      </c>
    </row>
    <row r="6" customFormat="false" ht="24" hidden="false" customHeight="true" outlineLevel="0" collapsed="false">
      <c r="B6" s="10" t="str">
        <f aca="false">IF('3. Équipe'!C6="","",'3. Équipe'!C6)</f>
        <v>KASSIMOU Mountarou</v>
      </c>
      <c r="C6" s="52" t="n">
        <f aca="false">IF(B6="","",COUNTIF('10. Gantt S2L'!E$6:E$200,"*"&amp;B6&amp;"*")+COUNTIF('10. Gantt S2L'!F$6:F$200,"*"&amp;B6&amp;"*"))</f>
        <v>13</v>
      </c>
      <c r="D6" s="52" t="n">
        <f aca="false">IF(B6="","",COUNTIFS('10. Gantt S2L'!E$6:E$200,"*"&amp;B6&amp;"*",'10. Gantt S2L'!Q$6:Q$200,"À temps"))</f>
        <v>0</v>
      </c>
      <c r="E6" s="52" t="n">
        <f aca="false">IF(B6="","",COUNTIFS('10. Gantt S2L'!E$6:E$200,"*"&amp;B6&amp;"*",'10. Gantt S2L'!Q$6:Q$200,"À surveiller"))</f>
        <v>0</v>
      </c>
      <c r="F6" s="52" t="n">
        <f aca="false">IF(B6="","",COUNTIFS('10. Gantt S2L'!E$6:E$200,"*"&amp;B6&amp;"*",'10. Gantt S2L'!Q$6:Q$200,"En retard"))</f>
        <v>1</v>
      </c>
      <c r="G6" s="52" t="n">
        <f aca="false">IF(B6="","",COUNTIFS('10. Gantt S2L'!E$6:E$200,"*"&amp;B6&amp;"*",'10. Gantt S2L'!Q$6:Q$200,"Critique"))</f>
        <v>3</v>
      </c>
      <c r="H6" s="52" t="n">
        <f aca="false">IF(B6="","",COUNTIFS('10. Gantt S2L'!E$6:E$200,"*"&amp;B6&amp;"*",'10. Gantt S2L'!Q$6:Q$200,"Terminé à temps"))</f>
        <v>0</v>
      </c>
      <c r="I6" s="52" t="n">
        <f aca="false">IF(B6="","",COUNTIFS('10. Gantt S2L'!E$6:E$200,"*"&amp;B6&amp;"*",'10. Gantt S2L'!Q$6:Q$200,"Terminé hors délai"))</f>
        <v>0</v>
      </c>
      <c r="J6" s="55" t="n">
        <f aca="false">IF(B6="","",IFERROR(SUMPRODUCT(('10. Gantt S2L'!E$6:E$200=B6)*('10. Gantt S2L'!R$6:R$200))/SUMPRODUCT(--('10. Gantt S2L'!E$6:E$200=B6)),0))</f>
        <v>13.75</v>
      </c>
      <c r="K6" s="91" t="n">
        <f aca="false">IF(B6="","",IFERROR(SUMPRODUCT(('10. Gantt S2L'!E$6:E$200=B6)*('10. Gantt S2L'!R$6:R$200)*('10. Gantt S2L'!G$6:G$200))/SUMPRODUCT(--('10. Gantt S2L'!E$6:E$200=B6)*('10. Gantt S2L'!G$6:G$200))/100,0))</f>
        <v>0.116666666666667</v>
      </c>
      <c r="L6" s="27" t="str">
        <f aca="false">IF(B6="","",IF(K6&gt;=0.85,"Excellent",IF(K6&gt;=0.65,"Satisfaisant",IF(K6&gt;=0.4,"À améliorer",IF(K6&gt;0,"Insuffisant","Non évalué")))))</f>
        <v>Insuffisant</v>
      </c>
    </row>
    <row r="7" customFormat="false" ht="24" hidden="false" customHeight="true" outlineLevel="0" collapsed="false">
      <c r="B7" s="6" t="str">
        <f aca="false">IF('3. Équipe'!C7="","",'3. Équipe'!C7)</f>
        <v>OLOMONCHIN Francis</v>
      </c>
      <c r="C7" s="52" t="n">
        <f aca="false">IF(B7="","",COUNTIF('10. Gantt S2L'!E$6:E$200,"*"&amp;B7&amp;"*")+COUNTIF('10. Gantt S2L'!F$6:F$200,"*"&amp;B7&amp;"*"))</f>
        <v>20</v>
      </c>
      <c r="D7" s="52" t="n">
        <f aca="false">IF(B7="","",COUNTIFS('10. Gantt S2L'!E$6:E$200,"*"&amp;B7&amp;"*",'10. Gantt S2L'!Q$6:Q$200,"À temps"))</f>
        <v>0</v>
      </c>
      <c r="E7" s="52" t="n">
        <f aca="false">IF(B7="","",COUNTIFS('10. Gantt S2L'!E$6:E$200,"*"&amp;B7&amp;"*",'10. Gantt S2L'!Q$6:Q$200,"À surveiller"))</f>
        <v>0</v>
      </c>
      <c r="F7" s="52" t="n">
        <f aca="false">IF(B7="","",COUNTIFS('10. Gantt S2L'!E$6:E$200,"*"&amp;B7&amp;"*",'10. Gantt S2L'!Q$6:Q$200,"En retard"))</f>
        <v>7</v>
      </c>
      <c r="G7" s="52" t="n">
        <f aca="false">IF(B7="","",COUNTIFS('10. Gantt S2L'!E$6:E$200,"*"&amp;B7&amp;"*",'10. Gantt S2L'!Q$6:Q$200,"Critique"))</f>
        <v>0</v>
      </c>
      <c r="H7" s="52" t="n">
        <f aca="false">IF(B7="","",COUNTIFS('10. Gantt S2L'!E$6:E$200,"*"&amp;B7&amp;"*",'10. Gantt S2L'!Q$6:Q$200,"Terminé à temps"))</f>
        <v>0</v>
      </c>
      <c r="I7" s="52" t="n">
        <f aca="false">IF(B7="","",COUNTIFS('10. Gantt S2L'!E$6:E$200,"*"&amp;B7&amp;"*",'10. Gantt S2L'!Q$6:Q$200,"Terminé hors délai"))</f>
        <v>0</v>
      </c>
      <c r="J7" s="55" t="n">
        <f aca="false">IF(B7="","",IFERROR(SUMPRODUCT(('10. Gantt S2L'!E$6:E$200=B7)*('10. Gantt S2L'!R$6:R$200))/SUMPRODUCT(--('10. Gantt S2L'!E$6:E$200=B7)),0))</f>
        <v>40.2777777777778</v>
      </c>
      <c r="K7" s="91" t="n">
        <f aca="false">IF(B7="","",IFERROR(SUMPRODUCT(('10. Gantt S2L'!E$6:E$200=B7)*('10. Gantt S2L'!R$6:R$200)*('10. Gantt S2L'!G$6:G$200))/SUMPRODUCT(--('10. Gantt S2L'!E$6:E$200=B7)*('10. Gantt S2L'!G$6:G$200))/100,0))</f>
        <v>0.401162790697674</v>
      </c>
      <c r="L7" s="38" t="str">
        <f aca="false">IF(B7="","",IF(K7&gt;=0.85,"Excellent",IF(K7&gt;=0.65,"Satisfaisant",IF(K7&gt;=0.4,"À améliorer",IF(K7&gt;0,"Insuffisant","Non évalué")))))</f>
        <v>À améliorer</v>
      </c>
    </row>
    <row r="8" customFormat="false" ht="24" hidden="false" customHeight="true" outlineLevel="0" collapsed="false">
      <c r="B8" s="10" t="str">
        <f aca="false">IF('3. Équipe'!C8="","",'3. Équipe'!C8)</f>
        <v>INOUSSA Ousmanou</v>
      </c>
      <c r="C8" s="52" t="n">
        <f aca="false">IF(B8="","",COUNTIF('10. Gantt S2L'!E$6:E$200,"*"&amp;B8&amp;"*")+COUNTIF('10. Gantt S2L'!F$6:F$200,"*"&amp;B8&amp;"*"))</f>
        <v>8</v>
      </c>
      <c r="D8" s="52" t="n">
        <f aca="false">IF(B8="","",COUNTIFS('10. Gantt S2L'!E$6:E$200,"*"&amp;B8&amp;"*",'10. Gantt S2L'!Q$6:Q$200,"À temps"))</f>
        <v>0</v>
      </c>
      <c r="E8" s="52" t="n">
        <f aca="false">IF(B8="","",COUNTIFS('10. Gantt S2L'!E$6:E$200,"*"&amp;B8&amp;"*",'10. Gantt S2L'!Q$6:Q$200,"À surveiller"))</f>
        <v>0</v>
      </c>
      <c r="F8" s="52" t="n">
        <f aca="false">IF(B8="","",COUNTIFS('10. Gantt S2L'!E$6:E$200,"*"&amp;B8&amp;"*",'10. Gantt S2L'!Q$6:Q$200,"En retard"))</f>
        <v>4</v>
      </c>
      <c r="G8" s="52" t="n">
        <f aca="false">IF(B8="","",COUNTIFS('10. Gantt S2L'!E$6:E$200,"*"&amp;B8&amp;"*",'10. Gantt S2L'!Q$6:Q$200,"Critique"))</f>
        <v>2</v>
      </c>
      <c r="H8" s="52" t="n">
        <f aca="false">IF(B8="","",COUNTIFS('10. Gantt S2L'!E$6:E$200,"*"&amp;B8&amp;"*",'10. Gantt S2L'!Q$6:Q$200,"Terminé à temps"))</f>
        <v>0</v>
      </c>
      <c r="I8" s="52" t="n">
        <f aca="false">IF(B8="","",COUNTIFS('10. Gantt S2L'!E$6:E$200,"*"&amp;B8&amp;"*",'10. Gantt S2L'!Q$6:Q$200,"Terminé hors délai"))</f>
        <v>0</v>
      </c>
      <c r="J8" s="55" t="n">
        <f aca="false">IF(B8="","",IFERROR(SUMPRODUCT(('10. Gantt S2L'!E$6:E$200=B8)*('10. Gantt S2L'!R$6:R$200))/SUMPRODUCT(--('10. Gantt S2L'!E$6:E$200=B8)),0))</f>
        <v>20</v>
      </c>
      <c r="K8" s="91" t="n">
        <f aca="false">IF(B8="","",IFERROR(SUMPRODUCT(('10. Gantt S2L'!E$6:E$200=B8)*('10. Gantt S2L'!R$6:R$200)*('10. Gantt S2L'!G$6:G$200))/SUMPRODUCT(--('10. Gantt S2L'!E$6:E$200=B8)*('10. Gantt S2L'!G$6:G$200))/100,0))</f>
        <v>0.185714285714286</v>
      </c>
      <c r="L8" s="27" t="str">
        <f aca="false">IF(B8="","",IF(K8&gt;=0.85,"Excellent",IF(K8&gt;=0.65,"Satisfaisant",IF(K8&gt;=0.4,"À améliorer",IF(K8&gt;0,"Insuffisant","Non évalué")))))</f>
        <v>Insuffisant</v>
      </c>
    </row>
    <row r="9" customFormat="false" ht="24" hidden="false" customHeight="true" outlineLevel="0" collapsed="false">
      <c r="B9" s="6" t="str">
        <f aca="false">IF('3. Équipe'!C9="","",'3. Équipe'!C9)</f>
        <v>BOUKARI AROUNA Rafiou</v>
      </c>
      <c r="C9" s="52" t="n">
        <f aca="false">IF(B9="","",COUNTIF('10. Gantt S2L'!E$6:E$200,"*"&amp;B9&amp;"*")+COUNTIF('10. Gantt S2L'!F$6:F$200,"*"&amp;B9&amp;"*"))</f>
        <v>1</v>
      </c>
      <c r="D9" s="52" t="n">
        <f aca="false">IF(B9="","",COUNTIFS('10. Gantt S2L'!E$6:E$200,"*"&amp;B9&amp;"*",'10. Gantt S2L'!Q$6:Q$200,"À temps"))</f>
        <v>0</v>
      </c>
      <c r="E9" s="52" t="n">
        <f aca="false">IF(B9="","",COUNTIFS('10. Gantt S2L'!E$6:E$200,"*"&amp;B9&amp;"*",'10. Gantt S2L'!Q$6:Q$200,"À surveiller"))</f>
        <v>0</v>
      </c>
      <c r="F9" s="52" t="n">
        <f aca="false">IF(B9="","",COUNTIFS('10. Gantt S2L'!E$6:E$200,"*"&amp;B9&amp;"*",'10. Gantt S2L'!Q$6:Q$200,"En retard"))</f>
        <v>0</v>
      </c>
      <c r="G9" s="52" t="n">
        <f aca="false">IF(B9="","",COUNTIFS('10. Gantt S2L'!E$6:E$200,"*"&amp;B9&amp;"*",'10. Gantt S2L'!Q$6:Q$200,"Critique"))</f>
        <v>0</v>
      </c>
      <c r="H9" s="52" t="n">
        <f aca="false">IF(B9="","",COUNTIFS('10. Gantt S2L'!E$6:E$200,"*"&amp;B9&amp;"*",'10. Gantt S2L'!Q$6:Q$200,"Terminé à temps"))</f>
        <v>0</v>
      </c>
      <c r="I9" s="52" t="n">
        <f aca="false">IF(B9="","",COUNTIFS('10. Gantt S2L'!E$6:E$200,"*"&amp;B9&amp;"*",'10. Gantt S2L'!Q$6:Q$200,"Terminé hors délai"))</f>
        <v>0</v>
      </c>
      <c r="J9" s="55" t="n">
        <f aca="false">IF(B9="","",IFERROR(SUMPRODUCT(('10. Gantt S2L'!E$6:E$200=B9)*('10. Gantt S2L'!R$6:R$200))/SUMPRODUCT(--('10. Gantt S2L'!E$6:E$200=B9)),0))</f>
        <v>0</v>
      </c>
      <c r="K9" s="91" t="n">
        <f aca="false">IF(B9="","",IFERROR(SUMPRODUCT(('10. Gantt S2L'!E$6:E$200=B9)*('10. Gantt S2L'!R$6:R$200)*('10. Gantt S2L'!G$6:G$200))/SUMPRODUCT(--('10. Gantt S2L'!E$6:E$200=B9)*('10. Gantt S2L'!G$6:G$200))/100,0))</f>
        <v>0</v>
      </c>
      <c r="L9" s="38" t="str">
        <f aca="false">IF(B9="","",IF(K9&gt;=0.85,"Excellent",IF(K9&gt;=0.65,"Satisfaisant",IF(K9&gt;=0.4,"À améliorer",IF(K9&gt;0,"Insuffisant","Non évalué")))))</f>
        <v>Non évalué</v>
      </c>
    </row>
    <row r="10" customFormat="false" ht="24" hidden="false" customHeight="true" outlineLevel="0" collapsed="false">
      <c r="B10" s="10" t="str">
        <f aca="false">IF('3. Équipe'!C10="","",'3. Équipe'!C10)</f>
        <v>BA KOTO Bona Sinani Rebecca</v>
      </c>
      <c r="C10" s="52" t="n">
        <f aca="false">IF(B10="","",COUNTIF('10. Gantt S2L'!E$6:E$200,"*"&amp;B10&amp;"*")+COUNTIF('10. Gantt S2L'!F$6:F$200,"*"&amp;B10&amp;"*"))</f>
        <v>8</v>
      </c>
      <c r="D10" s="52" t="n">
        <f aca="false">IF(B10="","",COUNTIFS('10. Gantt S2L'!E$6:E$200,"*"&amp;B10&amp;"*",'10. Gantt S2L'!Q$6:Q$200,"À temps"))</f>
        <v>0</v>
      </c>
      <c r="E10" s="52" t="n">
        <f aca="false">IF(B10="","",COUNTIFS('10. Gantt S2L'!E$6:E$200,"*"&amp;B10&amp;"*",'10. Gantt S2L'!Q$6:Q$200,"À surveiller"))</f>
        <v>0</v>
      </c>
      <c r="F10" s="52" t="n">
        <f aca="false">IF(B10="","",COUNTIFS('10. Gantt S2L'!E$6:E$200,"*"&amp;B10&amp;"*",'10. Gantt S2L'!Q$6:Q$200,"En retard"))</f>
        <v>0</v>
      </c>
      <c r="G10" s="52" t="n">
        <f aca="false">IF(B10="","",COUNTIFS('10. Gantt S2L'!E$6:E$200,"*"&amp;B10&amp;"*",'10. Gantt S2L'!Q$6:Q$200,"Critique"))</f>
        <v>0</v>
      </c>
      <c r="H10" s="52" t="n">
        <f aca="false">IF(B10="","",COUNTIFS('10. Gantt S2L'!E$6:E$200,"*"&amp;B10&amp;"*",'10. Gantt S2L'!Q$6:Q$200,"Terminé à temps"))</f>
        <v>0</v>
      </c>
      <c r="I10" s="52" t="n">
        <f aca="false">IF(B10="","",COUNTIFS('10. Gantt S2L'!E$6:E$200,"*"&amp;B10&amp;"*",'10. Gantt S2L'!Q$6:Q$200,"Terminé hors délai"))</f>
        <v>0</v>
      </c>
      <c r="J10" s="55" t="n">
        <f aca="false">IF(B10="","",IFERROR(SUMPRODUCT(('10. Gantt S2L'!E$6:E$200=B10)*('10. Gantt S2L'!R$6:R$200))/SUMPRODUCT(--('10. Gantt S2L'!E$6:E$200=B10)),0))</f>
        <v>0</v>
      </c>
      <c r="K10" s="91" t="n">
        <f aca="false">IF(B10="","",IFERROR(SUMPRODUCT(('10. Gantt S2L'!E$6:E$200=B10)*('10. Gantt S2L'!R$6:R$200)*('10. Gantt S2L'!G$6:G$200))/SUMPRODUCT(--('10. Gantt S2L'!E$6:E$200=B10)*('10. Gantt S2L'!G$6:G$200))/100,0))</f>
        <v>0</v>
      </c>
      <c r="L10" s="27" t="str">
        <f aca="false">IF(B10="","",IF(K10&gt;=0.85,"Excellent",IF(K10&gt;=0.65,"Satisfaisant",IF(K10&gt;=0.4,"À améliorer",IF(K10&gt;0,"Insuffisant","Non évalué")))))</f>
        <v>Non évalué</v>
      </c>
    </row>
    <row r="11" customFormat="false" ht="24" hidden="false" customHeight="true" outlineLevel="0" collapsed="false">
      <c r="B11" s="6" t="str">
        <f aca="false">IF('3. Équipe'!C11="","",'3. Équipe'!C11)</f>
        <v>ASSOUMA Nadjibatou</v>
      </c>
      <c r="C11" s="52" t="n">
        <f aca="false">IF(B11="","",COUNTIF('10. Gantt S2L'!E$6:E$200,"*"&amp;B11&amp;"*")+COUNTIF('10. Gantt S2L'!F$6:F$200,"*"&amp;B11&amp;"*"))</f>
        <v>0</v>
      </c>
      <c r="D11" s="52" t="n">
        <f aca="false">IF(B11="","",COUNTIFS('10. Gantt S2L'!E$6:E$200,"*"&amp;B11&amp;"*",'10. Gantt S2L'!Q$6:Q$200,"À temps"))</f>
        <v>0</v>
      </c>
      <c r="E11" s="52" t="n">
        <f aca="false">IF(B11="","",COUNTIFS('10. Gantt S2L'!E$6:E$200,"*"&amp;B11&amp;"*",'10. Gantt S2L'!Q$6:Q$200,"À surveiller"))</f>
        <v>0</v>
      </c>
      <c r="F11" s="52" t="n">
        <f aca="false">IF(B11="","",COUNTIFS('10. Gantt S2L'!E$6:E$200,"*"&amp;B11&amp;"*",'10. Gantt S2L'!Q$6:Q$200,"En retard"))</f>
        <v>0</v>
      </c>
      <c r="G11" s="52" t="n">
        <f aca="false">IF(B11="","",COUNTIFS('10. Gantt S2L'!E$6:E$200,"*"&amp;B11&amp;"*",'10. Gantt S2L'!Q$6:Q$200,"Critique"))</f>
        <v>0</v>
      </c>
      <c r="H11" s="52" t="n">
        <f aca="false">IF(B11="","",COUNTIFS('10. Gantt S2L'!E$6:E$200,"*"&amp;B11&amp;"*",'10. Gantt S2L'!Q$6:Q$200,"Terminé à temps"))</f>
        <v>0</v>
      </c>
      <c r="I11" s="52" t="n">
        <f aca="false">IF(B11="","",COUNTIFS('10. Gantt S2L'!E$6:E$200,"*"&amp;B11&amp;"*",'10. Gantt S2L'!Q$6:Q$200,"Terminé hors délai"))</f>
        <v>0</v>
      </c>
      <c r="J11" s="55" t="n">
        <f aca="false">IF(B11="","",IFERROR(SUMPRODUCT(('10. Gantt S2L'!E$6:E$200=B11)*('10. Gantt S2L'!R$6:R$200))/SUMPRODUCT(--('10. Gantt S2L'!E$6:E$200=B11)),0))</f>
        <v>0</v>
      </c>
      <c r="K11" s="91" t="n">
        <f aca="false">IF(B11="","",IFERROR(SUMPRODUCT(('10. Gantt S2L'!E$6:E$200=B11)*('10. Gantt S2L'!R$6:R$200)*('10. Gantt S2L'!G$6:G$200))/SUMPRODUCT(--('10. Gantt S2L'!E$6:E$200=B11)*('10. Gantt S2L'!G$6:G$200))/100,0))</f>
        <v>0</v>
      </c>
      <c r="L11" s="38" t="str">
        <f aca="false">IF(B11="","",IF(K11&gt;=0.85,"Excellent",IF(K11&gt;=0.65,"Satisfaisant",IF(K11&gt;=0.4,"À améliorer",IF(K11&gt;0,"Insuffisant","Non évalué")))))</f>
        <v>Non évalué</v>
      </c>
    </row>
    <row r="12" customFormat="false" ht="24" hidden="false" customHeight="true" outlineLevel="0" collapsed="false">
      <c r="B12" s="10" t="str">
        <f aca="false">IF('3. Équipe'!C12="","",'3. Équipe'!C12)</f>
        <v>BOUANDI Pierre</v>
      </c>
      <c r="C12" s="52" t="n">
        <f aca="false">IF(B12="","",COUNTIF('10. Gantt S2L'!E$6:E$200,"*"&amp;B12&amp;"*")+COUNTIF('10. Gantt S2L'!F$6:F$200,"*"&amp;B12&amp;"*"))</f>
        <v>0</v>
      </c>
      <c r="D12" s="52" t="n">
        <f aca="false">IF(B12="","",COUNTIFS('10. Gantt S2L'!E$6:E$200,"*"&amp;B12&amp;"*",'10. Gantt S2L'!Q$6:Q$200,"À temps"))</f>
        <v>0</v>
      </c>
      <c r="E12" s="52" t="n">
        <f aca="false">IF(B12="","",COUNTIFS('10. Gantt S2L'!E$6:E$200,"*"&amp;B12&amp;"*",'10. Gantt S2L'!Q$6:Q$200,"À surveiller"))</f>
        <v>0</v>
      </c>
      <c r="F12" s="52" t="n">
        <f aca="false">IF(B12="","",COUNTIFS('10. Gantt S2L'!E$6:E$200,"*"&amp;B12&amp;"*",'10. Gantt S2L'!Q$6:Q$200,"En retard"))</f>
        <v>0</v>
      </c>
      <c r="G12" s="52" t="n">
        <f aca="false">IF(B12="","",COUNTIFS('10. Gantt S2L'!E$6:E$200,"*"&amp;B12&amp;"*",'10. Gantt S2L'!Q$6:Q$200,"Critique"))</f>
        <v>0</v>
      </c>
      <c r="H12" s="52" t="n">
        <f aca="false">IF(B12="","",COUNTIFS('10. Gantt S2L'!E$6:E$200,"*"&amp;B12&amp;"*",'10. Gantt S2L'!Q$6:Q$200,"Terminé à temps"))</f>
        <v>0</v>
      </c>
      <c r="I12" s="52" t="n">
        <f aca="false">IF(B12="","",COUNTIFS('10. Gantt S2L'!E$6:E$200,"*"&amp;B12&amp;"*",'10. Gantt S2L'!Q$6:Q$200,"Terminé hors délai"))</f>
        <v>0</v>
      </c>
      <c r="J12" s="55" t="n">
        <f aca="false">IF(B12="","",IFERROR(SUMPRODUCT(('10. Gantt S2L'!E$6:E$200=B12)*('10. Gantt S2L'!R$6:R$200))/SUMPRODUCT(--('10. Gantt S2L'!E$6:E$200=B12)),0))</f>
        <v>0</v>
      </c>
      <c r="K12" s="91" t="n">
        <f aca="false">IF(B12="","",IFERROR(SUMPRODUCT(('10. Gantt S2L'!E$6:E$200=B12)*('10. Gantt S2L'!R$6:R$200)*('10. Gantt S2L'!G$6:G$200))/SUMPRODUCT(--('10. Gantt S2L'!E$6:E$200=B12)*('10. Gantt S2L'!G$6:G$200))/100,0))</f>
        <v>0</v>
      </c>
      <c r="L12" s="27" t="str">
        <f aca="false">IF(B12="","",IF(K12&gt;=0.85,"Excellent",IF(K12&gt;=0.65,"Satisfaisant",IF(K12&gt;=0.4,"À améliorer",IF(K12&gt;0,"Insuffisant","Non évalué")))))</f>
        <v>Non évalué</v>
      </c>
    </row>
    <row r="13" customFormat="false" ht="24" hidden="false" customHeight="true" outlineLevel="0" collapsed="false">
      <c r="B13" s="6" t="str">
        <f aca="false">IF('3. Équipe'!C13="","",'3. Équipe'!C13)</f>
        <v>MAMA Adou Razak</v>
      </c>
      <c r="C13" s="52" t="n">
        <f aca="false">IF(B13="","",COUNTIF('10. Gantt S2L'!E$6:E$200,"*"&amp;B13&amp;"*")+COUNTIF('10. Gantt S2L'!F$6:F$200,"*"&amp;B13&amp;"*"))</f>
        <v>0</v>
      </c>
      <c r="D13" s="52" t="n">
        <f aca="false">IF(B13="","",COUNTIFS('10. Gantt S2L'!E$6:E$200,"*"&amp;B13&amp;"*",'10. Gantt S2L'!Q$6:Q$200,"À temps"))</f>
        <v>0</v>
      </c>
      <c r="E13" s="52" t="n">
        <f aca="false">IF(B13="","",COUNTIFS('10. Gantt S2L'!E$6:E$200,"*"&amp;B13&amp;"*",'10. Gantt S2L'!Q$6:Q$200,"À surveiller"))</f>
        <v>0</v>
      </c>
      <c r="F13" s="52" t="n">
        <f aca="false">IF(B13="","",COUNTIFS('10. Gantt S2L'!E$6:E$200,"*"&amp;B13&amp;"*",'10. Gantt S2L'!Q$6:Q$200,"En retard"))</f>
        <v>0</v>
      </c>
      <c r="G13" s="52" t="n">
        <f aca="false">IF(B13="","",COUNTIFS('10. Gantt S2L'!E$6:E$200,"*"&amp;B13&amp;"*",'10. Gantt S2L'!Q$6:Q$200,"Critique"))</f>
        <v>0</v>
      </c>
      <c r="H13" s="52" t="n">
        <f aca="false">IF(B13="","",COUNTIFS('10. Gantt S2L'!E$6:E$200,"*"&amp;B13&amp;"*",'10. Gantt S2L'!Q$6:Q$200,"Terminé à temps"))</f>
        <v>0</v>
      </c>
      <c r="I13" s="52" t="n">
        <f aca="false">IF(B13="","",COUNTIFS('10. Gantt S2L'!E$6:E$200,"*"&amp;B13&amp;"*",'10. Gantt S2L'!Q$6:Q$200,"Terminé hors délai"))</f>
        <v>0</v>
      </c>
      <c r="J13" s="55" t="n">
        <f aca="false">IF(B13="","",IFERROR(SUMPRODUCT(('10. Gantt S2L'!E$6:E$200=B13)*('10. Gantt S2L'!R$6:R$200))/SUMPRODUCT(--('10. Gantt S2L'!E$6:E$200=B13)),0))</f>
        <v>0</v>
      </c>
      <c r="K13" s="91" t="n">
        <f aca="false">IF(B13="","",IFERROR(SUMPRODUCT(('10. Gantt S2L'!E$6:E$200=B13)*('10. Gantt S2L'!R$6:R$200)*('10. Gantt S2L'!G$6:G$200))/SUMPRODUCT(--('10. Gantt S2L'!E$6:E$200=B13)*('10. Gantt S2L'!G$6:G$200))/100,0))</f>
        <v>0</v>
      </c>
      <c r="L13" s="38" t="str">
        <f aca="false">IF(B13="","",IF(K13&gt;=0.85,"Excellent",IF(K13&gt;=0.65,"Satisfaisant",IF(K13&gt;=0.4,"À améliorer",IF(K13&gt;0,"Insuffisant","Non évalué")))))</f>
        <v>Non évalué</v>
      </c>
    </row>
    <row r="14" customFormat="false" ht="24" hidden="false" customHeight="true" outlineLevel="0" collapsed="false">
      <c r="B14" s="10" t="str">
        <f aca="false">IF('3. Équipe'!C14="","",'3. Équipe'!C14)</f>
        <v>ASSOUMA Amida</v>
      </c>
      <c r="C14" s="52" t="n">
        <f aca="false">IF(B14="","",COUNTIF('10. Gantt S2L'!E$6:E$200,"*"&amp;B14&amp;"*")+COUNTIF('10. Gantt S2L'!F$6:F$200,"*"&amp;B14&amp;"*"))</f>
        <v>0</v>
      </c>
      <c r="D14" s="52" t="n">
        <f aca="false">IF(B14="","",COUNTIFS('10. Gantt S2L'!E$6:E$200,"*"&amp;B14&amp;"*",'10. Gantt S2L'!Q$6:Q$200,"À temps"))</f>
        <v>0</v>
      </c>
      <c r="E14" s="52" t="n">
        <f aca="false">IF(B14="","",COUNTIFS('10. Gantt S2L'!E$6:E$200,"*"&amp;B14&amp;"*",'10. Gantt S2L'!Q$6:Q$200,"À surveiller"))</f>
        <v>0</v>
      </c>
      <c r="F14" s="52" t="n">
        <f aca="false">IF(B14="","",COUNTIFS('10. Gantt S2L'!E$6:E$200,"*"&amp;B14&amp;"*",'10. Gantt S2L'!Q$6:Q$200,"En retard"))</f>
        <v>0</v>
      </c>
      <c r="G14" s="52" t="n">
        <f aca="false">IF(B14="","",COUNTIFS('10. Gantt S2L'!E$6:E$200,"*"&amp;B14&amp;"*",'10. Gantt S2L'!Q$6:Q$200,"Critique"))</f>
        <v>0</v>
      </c>
      <c r="H14" s="52" t="n">
        <f aca="false">IF(B14="","",COUNTIFS('10. Gantt S2L'!E$6:E$200,"*"&amp;B14&amp;"*",'10. Gantt S2L'!Q$6:Q$200,"Terminé à temps"))</f>
        <v>0</v>
      </c>
      <c r="I14" s="52" t="n">
        <f aca="false">IF(B14="","",COUNTIFS('10. Gantt S2L'!E$6:E$200,"*"&amp;B14&amp;"*",'10. Gantt S2L'!Q$6:Q$200,"Terminé hors délai"))</f>
        <v>0</v>
      </c>
      <c r="J14" s="55" t="n">
        <f aca="false">IF(B14="","",IFERROR(SUMPRODUCT(('10. Gantt S2L'!E$6:E$200=B14)*('10. Gantt S2L'!R$6:R$200))/SUMPRODUCT(--('10. Gantt S2L'!E$6:E$200=B14)),0))</f>
        <v>0</v>
      </c>
      <c r="K14" s="91" t="n">
        <f aca="false">IF(B14="","",IFERROR(SUMPRODUCT(('10. Gantt S2L'!E$6:E$200=B14)*('10. Gantt S2L'!R$6:R$200)*('10. Gantt S2L'!G$6:G$200))/SUMPRODUCT(--('10. Gantt S2L'!E$6:E$200=B14)*('10. Gantt S2L'!G$6:G$200))/100,0))</f>
        <v>0</v>
      </c>
      <c r="L14" s="27" t="str">
        <f aca="false">IF(B14="","",IF(K14&gt;=0.85,"Excellent",IF(K14&gt;=0.65,"Satisfaisant",IF(K14&gt;=0.4,"À améliorer",IF(K14&gt;0,"Insuffisant","Non évalué")))))</f>
        <v>Non évalué</v>
      </c>
    </row>
    <row r="15" customFormat="false" ht="24" hidden="false" customHeight="true" outlineLevel="0" collapsed="false">
      <c r="B15" s="6" t="str">
        <f aca="false">IF('3. Équipe'!C15="","",'3. Équipe'!C15)</f>
        <v>AGONNOUDE Murielle</v>
      </c>
      <c r="C15" s="52" t="n">
        <f aca="false">IF(B15="","",COUNTIF('10. Gantt S2L'!E$6:E$200,"*"&amp;B15&amp;"*")+COUNTIF('10. Gantt S2L'!F$6:F$200,"*"&amp;B15&amp;"*"))</f>
        <v>0</v>
      </c>
      <c r="D15" s="52" t="n">
        <f aca="false">IF(B15="","",COUNTIFS('10. Gantt S2L'!E$6:E$200,"*"&amp;B15&amp;"*",'10. Gantt S2L'!Q$6:Q$200,"À temps"))</f>
        <v>0</v>
      </c>
      <c r="E15" s="52" t="n">
        <f aca="false">IF(B15="","",COUNTIFS('10. Gantt S2L'!E$6:E$200,"*"&amp;B15&amp;"*",'10. Gantt S2L'!Q$6:Q$200,"À surveiller"))</f>
        <v>0</v>
      </c>
      <c r="F15" s="52" t="n">
        <f aca="false">IF(B15="","",COUNTIFS('10. Gantt S2L'!E$6:E$200,"*"&amp;B15&amp;"*",'10. Gantt S2L'!Q$6:Q$200,"En retard"))</f>
        <v>0</v>
      </c>
      <c r="G15" s="52" t="n">
        <f aca="false">IF(B15="","",COUNTIFS('10. Gantt S2L'!E$6:E$200,"*"&amp;B15&amp;"*",'10. Gantt S2L'!Q$6:Q$200,"Critique"))</f>
        <v>0</v>
      </c>
      <c r="H15" s="52" t="n">
        <f aca="false">IF(B15="","",COUNTIFS('10. Gantt S2L'!E$6:E$200,"*"&amp;B15&amp;"*",'10. Gantt S2L'!Q$6:Q$200,"Terminé à temps"))</f>
        <v>0</v>
      </c>
      <c r="I15" s="52" t="n">
        <f aca="false">IF(B15="","",COUNTIFS('10. Gantt S2L'!E$6:E$200,"*"&amp;B15&amp;"*",'10. Gantt S2L'!Q$6:Q$200,"Terminé hors délai"))</f>
        <v>0</v>
      </c>
      <c r="J15" s="55" t="n">
        <f aca="false">IF(B15="","",IFERROR(SUMPRODUCT(('10. Gantt S2L'!E$6:E$200=B15)*('10. Gantt S2L'!R$6:R$200))/SUMPRODUCT(--('10. Gantt S2L'!E$6:E$200=B15)),0))</f>
        <v>0</v>
      </c>
      <c r="K15" s="91" t="n">
        <f aca="false">IF(B15="","",IFERROR(SUMPRODUCT(('10. Gantt S2L'!E$6:E$200=B15)*('10. Gantt S2L'!R$6:R$200)*('10. Gantt S2L'!G$6:G$200))/SUMPRODUCT(--('10. Gantt S2L'!E$6:E$200=B15)*('10. Gantt S2L'!G$6:G$200))/100,0))</f>
        <v>0</v>
      </c>
      <c r="L15" s="38" t="str">
        <f aca="false">IF(B15="","",IF(K15&gt;=0.85,"Excellent",IF(K15&gt;=0.65,"Satisfaisant",IF(K15&gt;=0.4,"À améliorer",IF(K15&gt;0,"Insuffisant","Non évalué")))))</f>
        <v>Non évalué</v>
      </c>
    </row>
    <row r="16" customFormat="false" ht="24" hidden="false" customHeight="true" outlineLevel="0" collapsed="false">
      <c r="B16" s="10" t="str">
        <f aca="false">IF('3. Équipe'!C16="","",'3. Équipe'!C16)</f>
        <v>AMADOU Nafissatou</v>
      </c>
      <c r="C16" s="52" t="n">
        <f aca="false">IF(B16="","",COUNTIF('10. Gantt S2L'!E$6:E$200,"*"&amp;B16&amp;"*")+COUNTIF('10. Gantt S2L'!F$6:F$200,"*"&amp;B16&amp;"*"))</f>
        <v>0</v>
      </c>
      <c r="D16" s="52" t="n">
        <f aca="false">IF(B16="","",COUNTIFS('10. Gantt S2L'!E$6:E$200,"*"&amp;B16&amp;"*",'10. Gantt S2L'!Q$6:Q$200,"À temps"))</f>
        <v>0</v>
      </c>
      <c r="E16" s="52" t="n">
        <f aca="false">IF(B16="","",COUNTIFS('10. Gantt S2L'!E$6:E$200,"*"&amp;B16&amp;"*",'10. Gantt S2L'!Q$6:Q$200,"À surveiller"))</f>
        <v>0</v>
      </c>
      <c r="F16" s="52" t="n">
        <f aca="false">IF(B16="","",COUNTIFS('10. Gantt S2L'!E$6:E$200,"*"&amp;B16&amp;"*",'10. Gantt S2L'!Q$6:Q$200,"En retard"))</f>
        <v>0</v>
      </c>
      <c r="G16" s="52" t="n">
        <f aca="false">IF(B16="","",COUNTIFS('10. Gantt S2L'!E$6:E$200,"*"&amp;B16&amp;"*",'10. Gantt S2L'!Q$6:Q$200,"Critique"))</f>
        <v>0</v>
      </c>
      <c r="H16" s="52" t="n">
        <f aca="false">IF(B16="","",COUNTIFS('10. Gantt S2L'!E$6:E$200,"*"&amp;B16&amp;"*",'10. Gantt S2L'!Q$6:Q$200,"Terminé à temps"))</f>
        <v>0</v>
      </c>
      <c r="I16" s="52" t="n">
        <f aca="false">IF(B16="","",COUNTIFS('10. Gantt S2L'!E$6:E$200,"*"&amp;B16&amp;"*",'10. Gantt S2L'!Q$6:Q$200,"Terminé hors délai"))</f>
        <v>0</v>
      </c>
      <c r="J16" s="55" t="n">
        <f aca="false">IF(B16="","",IFERROR(SUMPRODUCT(('10. Gantt S2L'!E$6:E$200=B16)*('10. Gantt S2L'!R$6:R$200))/SUMPRODUCT(--('10. Gantt S2L'!E$6:E$200=B16)),0))</f>
        <v>0</v>
      </c>
      <c r="K16" s="91" t="n">
        <f aca="false">IF(B16="","",IFERROR(SUMPRODUCT(('10. Gantt S2L'!E$6:E$200=B16)*('10. Gantt S2L'!R$6:R$200)*('10. Gantt S2L'!G$6:G$200))/SUMPRODUCT(--('10. Gantt S2L'!E$6:E$200=B16)*('10. Gantt S2L'!G$6:G$200))/100,0))</f>
        <v>0</v>
      </c>
      <c r="L16" s="27" t="str">
        <f aca="false">IF(B16="","",IF(K16&gt;=0.85,"Excellent",IF(K16&gt;=0.65,"Satisfaisant",IF(K16&gt;=0.4,"À améliorer",IF(K16&gt;0,"Insuffisant","Non évalué")))))</f>
        <v>Non évalué</v>
      </c>
    </row>
    <row r="17" customFormat="false" ht="24" hidden="false" customHeight="true" outlineLevel="0" collapsed="false">
      <c r="B17" s="6" t="str">
        <f aca="false">IF('3. Équipe'!C17="","",'3. Équipe'!C17)</f>
        <v>SARE KOMME Joséphine</v>
      </c>
      <c r="C17" s="52" t="n">
        <f aca="false">IF(B17="","",COUNTIF('10. Gantt S2L'!E$6:E$200,"*"&amp;B17&amp;"*")+COUNTIF('10. Gantt S2L'!F$6:F$200,"*"&amp;B17&amp;"*"))</f>
        <v>0</v>
      </c>
      <c r="D17" s="52" t="n">
        <f aca="false">IF(B17="","",COUNTIFS('10. Gantt S2L'!E$6:E$200,"*"&amp;B17&amp;"*",'10. Gantt S2L'!Q$6:Q$200,"À temps"))</f>
        <v>0</v>
      </c>
      <c r="E17" s="52" t="n">
        <f aca="false">IF(B17="","",COUNTIFS('10. Gantt S2L'!E$6:E$200,"*"&amp;B17&amp;"*",'10. Gantt S2L'!Q$6:Q$200,"À surveiller"))</f>
        <v>0</v>
      </c>
      <c r="F17" s="52" t="n">
        <f aca="false">IF(B17="","",COUNTIFS('10. Gantt S2L'!E$6:E$200,"*"&amp;B17&amp;"*",'10. Gantt S2L'!Q$6:Q$200,"En retard"))</f>
        <v>0</v>
      </c>
      <c r="G17" s="52" t="n">
        <f aca="false">IF(B17="","",COUNTIFS('10. Gantt S2L'!E$6:E$200,"*"&amp;B17&amp;"*",'10. Gantt S2L'!Q$6:Q$200,"Critique"))</f>
        <v>0</v>
      </c>
      <c r="H17" s="52" t="n">
        <f aca="false">IF(B17="","",COUNTIFS('10. Gantt S2L'!E$6:E$200,"*"&amp;B17&amp;"*",'10. Gantt S2L'!Q$6:Q$200,"Terminé à temps"))</f>
        <v>0</v>
      </c>
      <c r="I17" s="52" t="n">
        <f aca="false">IF(B17="","",COUNTIFS('10. Gantt S2L'!E$6:E$200,"*"&amp;B17&amp;"*",'10. Gantt S2L'!Q$6:Q$200,"Terminé hors délai"))</f>
        <v>0</v>
      </c>
      <c r="J17" s="55" t="n">
        <f aca="false">IF(B17="","",IFERROR(SUMPRODUCT(('10. Gantt S2L'!E$6:E$200=B17)*('10. Gantt S2L'!R$6:R$200))/SUMPRODUCT(--('10. Gantt S2L'!E$6:E$200=B17)),0))</f>
        <v>0</v>
      </c>
      <c r="K17" s="91" t="n">
        <f aca="false">IF(B17="","",IFERROR(SUMPRODUCT(('10. Gantt S2L'!E$6:E$200=B17)*('10. Gantt S2L'!R$6:R$200)*('10. Gantt S2L'!G$6:G$200))/SUMPRODUCT(--('10. Gantt S2L'!E$6:E$200=B17)*('10. Gantt S2L'!G$6:G$200))/100,0))</f>
        <v>0</v>
      </c>
      <c r="L17" s="38" t="str">
        <f aca="false">IF(B17="","",IF(K17&gt;=0.85,"Excellent",IF(K17&gt;=0.65,"Satisfaisant",IF(K17&gt;=0.4,"À améliorer",IF(K17&gt;0,"Insuffisant","Non évalué")))))</f>
        <v>Non évalué</v>
      </c>
    </row>
    <row r="18" customFormat="false" ht="24" hidden="false" customHeight="true" outlineLevel="0" collapsed="false">
      <c r="B18" s="10" t="str">
        <f aca="false">IF('3. Équipe'!C18="","",'3. Équipe'!C18)</f>
        <v>GOUDI Simoni</v>
      </c>
      <c r="C18" s="52" t="n">
        <f aca="false">IF(B18="","",COUNTIF('10. Gantt S2L'!E$6:E$200,"*"&amp;B18&amp;"*")+COUNTIF('10. Gantt S2L'!F$6:F$200,"*"&amp;B18&amp;"*"))</f>
        <v>0</v>
      </c>
      <c r="D18" s="52" t="n">
        <f aca="false">IF(B18="","",COUNTIFS('10. Gantt S2L'!E$6:E$200,"*"&amp;B18&amp;"*",'10. Gantt S2L'!Q$6:Q$200,"À temps"))</f>
        <v>0</v>
      </c>
      <c r="E18" s="52" t="n">
        <f aca="false">IF(B18="","",COUNTIFS('10. Gantt S2L'!E$6:E$200,"*"&amp;B18&amp;"*",'10. Gantt S2L'!Q$6:Q$200,"À surveiller"))</f>
        <v>0</v>
      </c>
      <c r="F18" s="52" t="n">
        <f aca="false">IF(B18="","",COUNTIFS('10. Gantt S2L'!E$6:E$200,"*"&amp;B18&amp;"*",'10. Gantt S2L'!Q$6:Q$200,"En retard"))</f>
        <v>0</v>
      </c>
      <c r="G18" s="52" t="n">
        <f aca="false">IF(B18="","",COUNTIFS('10. Gantt S2L'!E$6:E$200,"*"&amp;B18&amp;"*",'10. Gantt S2L'!Q$6:Q$200,"Critique"))</f>
        <v>0</v>
      </c>
      <c r="H18" s="52" t="n">
        <f aca="false">IF(B18="","",COUNTIFS('10. Gantt S2L'!E$6:E$200,"*"&amp;B18&amp;"*",'10. Gantt S2L'!Q$6:Q$200,"Terminé à temps"))</f>
        <v>0</v>
      </c>
      <c r="I18" s="52" t="n">
        <f aca="false">IF(B18="","",COUNTIFS('10. Gantt S2L'!E$6:E$200,"*"&amp;B18&amp;"*",'10. Gantt S2L'!Q$6:Q$200,"Terminé hors délai"))</f>
        <v>0</v>
      </c>
      <c r="J18" s="55" t="n">
        <f aca="false">IF(B18="","",IFERROR(SUMPRODUCT(('10. Gantt S2L'!E$6:E$200=B18)*('10. Gantt S2L'!R$6:R$200))/SUMPRODUCT(--('10. Gantt S2L'!E$6:E$200=B18)),0))</f>
        <v>0</v>
      </c>
      <c r="K18" s="91" t="n">
        <f aca="false">IF(B18="","",IFERROR(SUMPRODUCT(('10. Gantt S2L'!E$6:E$200=B18)*('10. Gantt S2L'!R$6:R$200)*('10. Gantt S2L'!G$6:G$200))/SUMPRODUCT(--('10. Gantt S2L'!E$6:E$200=B18)*('10. Gantt S2L'!G$6:G$200))/100,0))</f>
        <v>0</v>
      </c>
      <c r="L18" s="27" t="str">
        <f aca="false">IF(B18="","",IF(K18&gt;=0.85,"Excellent",IF(K18&gt;=0.65,"Satisfaisant",IF(K18&gt;=0.4,"À améliorer",IF(K18&gt;0,"Insuffisant","Non évalué")))))</f>
        <v>Non évalué</v>
      </c>
    </row>
    <row r="19" customFormat="false" ht="24" hidden="false" customHeight="true" outlineLevel="0" collapsed="false">
      <c r="B19" s="6" t="str">
        <f aca="false">IF('3. Équipe'!C19="","",'3. Équipe'!C19)</f>
        <v/>
      </c>
      <c r="C19" s="52" t="str">
        <f aca="false">IF(B19="","",COUNTIF('10. Gantt S2L'!E$6:E$200,"*"&amp;B19&amp;"*")+COUNTIF('10. Gantt S2L'!F$6:F$200,"*"&amp;B19&amp;"*"))</f>
        <v/>
      </c>
      <c r="D19" s="52" t="str">
        <f aca="false">IF(B19="","",COUNTIFS('10. Gantt S2L'!E$6:E$200,"*"&amp;B19&amp;"*",'10. Gantt S2L'!Q$6:Q$200,"À temps"))</f>
        <v/>
      </c>
      <c r="E19" s="52" t="str">
        <f aca="false">IF(B19="","",COUNTIFS('10. Gantt S2L'!E$6:E$200,"*"&amp;B19&amp;"*",'10. Gantt S2L'!Q$6:Q$200,"À surveiller"))</f>
        <v/>
      </c>
      <c r="F19" s="52" t="str">
        <f aca="false">IF(B19="","",COUNTIFS('10. Gantt S2L'!E$6:E$200,"*"&amp;B19&amp;"*",'10. Gantt S2L'!Q$6:Q$200,"En retard"))</f>
        <v/>
      </c>
      <c r="G19" s="52" t="str">
        <f aca="false">IF(B19="","",COUNTIFS('10. Gantt S2L'!E$6:E$200,"*"&amp;B19&amp;"*",'10. Gantt S2L'!Q$6:Q$200,"Critique"))</f>
        <v/>
      </c>
      <c r="H19" s="52" t="str">
        <f aca="false">IF(B19="","",COUNTIFS('10. Gantt S2L'!E$6:E$200,"*"&amp;B19&amp;"*",'10. Gantt S2L'!Q$6:Q$200,"Terminé à temps"))</f>
        <v/>
      </c>
      <c r="I19" s="52" t="str">
        <f aca="false">IF(B19="","",COUNTIFS('10. Gantt S2L'!E$6:E$200,"*"&amp;B19&amp;"*",'10. Gantt S2L'!Q$6:Q$200,"Terminé hors délai"))</f>
        <v/>
      </c>
      <c r="J19" s="55" t="str">
        <f aca="false">IF(B19="","",IFERROR(SUMPRODUCT(('10. Gantt S2L'!E$6:E$200=B19)*('10. Gantt S2L'!R$6:R$200))/SUMPRODUCT(--('10. Gantt S2L'!E$6:E$200=B19)),0))</f>
        <v/>
      </c>
      <c r="K19" s="91" t="str">
        <f aca="false">IF(B19="","",IFERROR(SUMPRODUCT(('10. Gantt S2L'!E$6:E$200=B19)*('10. Gantt S2L'!R$6:R$200)*('10. Gantt S2L'!G$6:G$200))/SUMPRODUCT(--('10. Gantt S2L'!E$6:E$200=B19)*('10. Gantt S2L'!G$6:G$200))/100,0))</f>
        <v/>
      </c>
      <c r="L19" s="38" t="str">
        <f aca="false">IF(B19="","",IF(K19&gt;=0.85,"Excellent",IF(K19&gt;=0.65,"Satisfaisant",IF(K19&gt;=0.4,"À améliorer",IF(K19&gt;0,"Insuffisant","Non évalué")))))</f>
        <v/>
      </c>
    </row>
    <row r="20" customFormat="false" ht="24" hidden="false" customHeight="true" outlineLevel="0" collapsed="false">
      <c r="B20" s="10" t="str">
        <f aca="false">IF('3. Équipe'!C20="","",'3. Équipe'!C20)</f>
        <v/>
      </c>
      <c r="C20" s="52" t="str">
        <f aca="false">IF(B20="","",COUNTIF('10. Gantt S2L'!E$6:E$200,"*"&amp;B20&amp;"*")+COUNTIF('10. Gantt S2L'!F$6:F$200,"*"&amp;B20&amp;"*"))</f>
        <v/>
      </c>
      <c r="D20" s="52" t="str">
        <f aca="false">IF(B20="","",COUNTIFS('10. Gantt S2L'!E$6:E$200,"*"&amp;B20&amp;"*",'10. Gantt S2L'!Q$6:Q$200,"À temps"))</f>
        <v/>
      </c>
      <c r="E20" s="52" t="str">
        <f aca="false">IF(B20="","",COUNTIFS('10. Gantt S2L'!E$6:E$200,"*"&amp;B20&amp;"*",'10. Gantt S2L'!Q$6:Q$200,"À surveiller"))</f>
        <v/>
      </c>
      <c r="F20" s="52" t="str">
        <f aca="false">IF(B20="","",COUNTIFS('10. Gantt S2L'!E$6:E$200,"*"&amp;B20&amp;"*",'10. Gantt S2L'!Q$6:Q$200,"En retard"))</f>
        <v/>
      </c>
      <c r="G20" s="52" t="str">
        <f aca="false">IF(B20="","",COUNTIFS('10. Gantt S2L'!E$6:E$200,"*"&amp;B20&amp;"*",'10. Gantt S2L'!Q$6:Q$200,"Critique"))</f>
        <v/>
      </c>
      <c r="H20" s="52" t="str">
        <f aca="false">IF(B20="","",COUNTIFS('10. Gantt S2L'!E$6:E$200,"*"&amp;B20&amp;"*",'10. Gantt S2L'!Q$6:Q$200,"Terminé à temps"))</f>
        <v/>
      </c>
      <c r="I20" s="52" t="str">
        <f aca="false">IF(B20="","",COUNTIFS('10. Gantt S2L'!E$6:E$200,"*"&amp;B20&amp;"*",'10. Gantt S2L'!Q$6:Q$200,"Terminé hors délai"))</f>
        <v/>
      </c>
      <c r="J20" s="55" t="str">
        <f aca="false">IF(B20="","",IFERROR(SUMPRODUCT(('10. Gantt S2L'!E$6:E$200=B20)*('10. Gantt S2L'!R$6:R$200))/SUMPRODUCT(--('10. Gantt S2L'!E$6:E$200=B20)),0))</f>
        <v/>
      </c>
      <c r="K20" s="91" t="str">
        <f aca="false">IF(B20="","",IFERROR(SUMPRODUCT(('10. Gantt S2L'!E$6:E$200=B20)*('10. Gantt S2L'!R$6:R$200)*('10. Gantt S2L'!G$6:G$200))/SUMPRODUCT(--('10. Gantt S2L'!E$6:E$200=B20)*('10. Gantt S2L'!G$6:G$200))/100,0))</f>
        <v/>
      </c>
      <c r="L20" s="27" t="str">
        <f aca="false">IF(B20="","",IF(K20&gt;=0.85,"Excellent",IF(K20&gt;=0.65,"Satisfaisant",IF(K20&gt;=0.4,"À améliorer",IF(K20&gt;0,"Insuffisant","Non évalué")))))</f>
        <v/>
      </c>
    </row>
    <row r="21" customFormat="false" ht="24" hidden="false" customHeight="true" outlineLevel="0" collapsed="false">
      <c r="B21" s="6" t="str">
        <f aca="false">IF('3. Équipe'!C21="","",'3. Équipe'!C21)</f>
        <v/>
      </c>
      <c r="C21" s="52" t="str">
        <f aca="false">IF(B21="","",COUNTIF('10. Gantt S2L'!E$6:E$200,"*"&amp;B21&amp;"*")+COUNTIF('10. Gantt S2L'!F$6:F$200,"*"&amp;B21&amp;"*"))</f>
        <v/>
      </c>
      <c r="D21" s="52" t="str">
        <f aca="false">IF(B21="","",COUNTIFS('10. Gantt S2L'!E$6:E$200,"*"&amp;B21&amp;"*",'10. Gantt S2L'!Q$6:Q$200,"À temps"))</f>
        <v/>
      </c>
      <c r="E21" s="52" t="str">
        <f aca="false">IF(B21="","",COUNTIFS('10. Gantt S2L'!E$6:E$200,"*"&amp;B21&amp;"*",'10. Gantt S2L'!Q$6:Q$200,"À surveiller"))</f>
        <v/>
      </c>
      <c r="F21" s="52" t="str">
        <f aca="false">IF(B21="","",COUNTIFS('10. Gantt S2L'!E$6:E$200,"*"&amp;B21&amp;"*",'10. Gantt S2L'!Q$6:Q$200,"En retard"))</f>
        <v/>
      </c>
      <c r="G21" s="52" t="str">
        <f aca="false">IF(B21="","",COUNTIFS('10. Gantt S2L'!E$6:E$200,"*"&amp;B21&amp;"*",'10. Gantt S2L'!Q$6:Q$200,"Critique"))</f>
        <v/>
      </c>
      <c r="H21" s="52" t="str">
        <f aca="false">IF(B21="","",COUNTIFS('10. Gantt S2L'!E$6:E$200,"*"&amp;B21&amp;"*",'10. Gantt S2L'!Q$6:Q$200,"Terminé à temps"))</f>
        <v/>
      </c>
      <c r="I21" s="52" t="str">
        <f aca="false">IF(B21="","",COUNTIFS('10. Gantt S2L'!E$6:E$200,"*"&amp;B21&amp;"*",'10. Gantt S2L'!Q$6:Q$200,"Terminé hors délai"))</f>
        <v/>
      </c>
      <c r="J21" s="55" t="str">
        <f aca="false">IF(B21="","",IFERROR(SUMPRODUCT(('10. Gantt S2L'!E$6:E$200=B21)*('10. Gantt S2L'!R$6:R$200))/SUMPRODUCT(--('10. Gantt S2L'!E$6:E$200=B21)),0))</f>
        <v/>
      </c>
      <c r="K21" s="91" t="str">
        <f aca="false">IF(B21="","",IFERROR(SUMPRODUCT(('10. Gantt S2L'!E$6:E$200=B21)*('10. Gantt S2L'!R$6:R$200)*('10. Gantt S2L'!G$6:G$200))/SUMPRODUCT(--('10. Gantt S2L'!E$6:E$200=B21)*('10. Gantt S2L'!G$6:G$200))/100,0))</f>
        <v/>
      </c>
      <c r="L21" s="38" t="str">
        <f aca="false">IF(B21="","",IF(K21&gt;=0.85,"Excellent",IF(K21&gt;=0.65,"Satisfaisant",IF(K21&gt;=0.4,"À améliorer",IF(K21&gt;0,"Insuffisant","Non évalué")))))</f>
        <v/>
      </c>
    </row>
    <row r="22" customFormat="false" ht="24" hidden="false" customHeight="true" outlineLevel="0" collapsed="false">
      <c r="B22" s="10" t="str">
        <f aca="false">IF('3. Équipe'!C22="","",'3. Équipe'!C22)</f>
        <v/>
      </c>
      <c r="C22" s="52" t="str">
        <f aca="false">IF(B22="","",COUNTIF('10. Gantt S2L'!E$6:E$200,"*"&amp;B22&amp;"*")+COUNTIF('10. Gantt S2L'!F$6:F$200,"*"&amp;B22&amp;"*"))</f>
        <v/>
      </c>
      <c r="D22" s="52" t="str">
        <f aca="false">IF(B22="","",COUNTIFS('10. Gantt S2L'!E$6:E$200,"*"&amp;B22&amp;"*",'10. Gantt S2L'!Q$6:Q$200,"À temps"))</f>
        <v/>
      </c>
      <c r="E22" s="52" t="str">
        <f aca="false">IF(B22="","",COUNTIFS('10. Gantt S2L'!E$6:E$200,"*"&amp;B22&amp;"*",'10. Gantt S2L'!Q$6:Q$200,"À surveiller"))</f>
        <v/>
      </c>
      <c r="F22" s="52" t="str">
        <f aca="false">IF(B22="","",COUNTIFS('10. Gantt S2L'!E$6:E$200,"*"&amp;B22&amp;"*",'10. Gantt S2L'!Q$6:Q$200,"En retard"))</f>
        <v/>
      </c>
      <c r="G22" s="52" t="str">
        <f aca="false">IF(B22="","",COUNTIFS('10. Gantt S2L'!E$6:E$200,"*"&amp;B22&amp;"*",'10. Gantt S2L'!Q$6:Q$200,"Critique"))</f>
        <v/>
      </c>
      <c r="H22" s="52" t="str">
        <f aca="false">IF(B22="","",COUNTIFS('10. Gantt S2L'!E$6:E$200,"*"&amp;B22&amp;"*",'10. Gantt S2L'!Q$6:Q$200,"Terminé à temps"))</f>
        <v/>
      </c>
      <c r="I22" s="52" t="str">
        <f aca="false">IF(B22="","",COUNTIFS('10. Gantt S2L'!E$6:E$200,"*"&amp;B22&amp;"*",'10. Gantt S2L'!Q$6:Q$200,"Terminé hors délai"))</f>
        <v/>
      </c>
      <c r="J22" s="55" t="str">
        <f aca="false">IF(B22="","",IFERROR(SUMPRODUCT(('10. Gantt S2L'!E$6:E$200=B22)*('10. Gantt S2L'!R$6:R$200))/SUMPRODUCT(--('10. Gantt S2L'!E$6:E$200=B22)),0))</f>
        <v/>
      </c>
      <c r="K22" s="91" t="str">
        <f aca="false">IF(B22="","",IFERROR(SUMPRODUCT(('10. Gantt S2L'!E$6:E$200=B22)*('10. Gantt S2L'!R$6:R$200)*('10. Gantt S2L'!G$6:G$200))/SUMPRODUCT(--('10. Gantt S2L'!E$6:E$200=B22)*('10. Gantt S2L'!G$6:G$200))/100,0))</f>
        <v/>
      </c>
      <c r="L22" s="27" t="str">
        <f aca="false">IF(B22="","",IF(K22&gt;=0.85,"Excellent",IF(K22&gt;=0.65,"Satisfaisant",IF(K22&gt;=0.4,"À améliorer",IF(K22&gt;0,"Insuffisant","Non évalué")))))</f>
        <v/>
      </c>
    </row>
    <row r="23" customFormat="false" ht="24" hidden="false" customHeight="true" outlineLevel="0" collapsed="false">
      <c r="B23" s="6" t="str">
        <f aca="false">IF('3. Équipe'!C23="","",'3. Équipe'!C23)</f>
        <v/>
      </c>
      <c r="C23" s="52" t="str">
        <f aca="false">IF(B23="","",COUNTIF('10. Gantt S2L'!E$6:E$200,"*"&amp;B23&amp;"*")+COUNTIF('10. Gantt S2L'!F$6:F$200,"*"&amp;B23&amp;"*"))</f>
        <v/>
      </c>
      <c r="D23" s="52" t="str">
        <f aca="false">IF(B23="","",COUNTIFS('10. Gantt S2L'!E$6:E$200,"*"&amp;B23&amp;"*",'10. Gantt S2L'!Q$6:Q$200,"À temps"))</f>
        <v/>
      </c>
      <c r="E23" s="52" t="str">
        <f aca="false">IF(B23="","",COUNTIFS('10. Gantt S2L'!E$6:E$200,"*"&amp;B23&amp;"*",'10. Gantt S2L'!Q$6:Q$200,"À surveiller"))</f>
        <v/>
      </c>
      <c r="F23" s="52" t="str">
        <f aca="false">IF(B23="","",COUNTIFS('10. Gantt S2L'!E$6:E$200,"*"&amp;B23&amp;"*",'10. Gantt S2L'!Q$6:Q$200,"En retard"))</f>
        <v/>
      </c>
      <c r="G23" s="52" t="str">
        <f aca="false">IF(B23="","",COUNTIFS('10. Gantt S2L'!E$6:E$200,"*"&amp;B23&amp;"*",'10. Gantt S2L'!Q$6:Q$200,"Critique"))</f>
        <v/>
      </c>
      <c r="H23" s="52" t="str">
        <f aca="false">IF(B23="","",COUNTIFS('10. Gantt S2L'!E$6:E$200,"*"&amp;B23&amp;"*",'10. Gantt S2L'!Q$6:Q$200,"Terminé à temps"))</f>
        <v/>
      </c>
      <c r="I23" s="52" t="str">
        <f aca="false">IF(B23="","",COUNTIFS('10. Gantt S2L'!E$6:E$200,"*"&amp;B23&amp;"*",'10. Gantt S2L'!Q$6:Q$200,"Terminé hors délai"))</f>
        <v/>
      </c>
      <c r="J23" s="55" t="str">
        <f aca="false">IF(B23="","",IFERROR(SUMPRODUCT(('10. Gantt S2L'!E$6:E$200=B23)*('10. Gantt S2L'!R$6:R$200))/SUMPRODUCT(--('10. Gantt S2L'!E$6:E$200=B23)),0))</f>
        <v/>
      </c>
      <c r="K23" s="91" t="str">
        <f aca="false">IF(B23="","",IFERROR(SUMPRODUCT(('10. Gantt S2L'!E$6:E$200=B23)*('10. Gantt S2L'!R$6:R$200)*('10. Gantt S2L'!G$6:G$200))/SUMPRODUCT(--('10. Gantt S2L'!E$6:E$200=B23)*('10. Gantt S2L'!G$6:G$200))/100,0))</f>
        <v/>
      </c>
      <c r="L23" s="38" t="str">
        <f aca="false">IF(B23="","",IF(K23&gt;=0.85,"Excellent",IF(K23&gt;=0.65,"Satisfaisant",IF(K23&gt;=0.4,"À améliorer",IF(K23&gt;0,"Insuffisant","Non évalué")))))</f>
        <v/>
      </c>
    </row>
    <row r="24" customFormat="false" ht="24" hidden="false" customHeight="true" outlineLevel="0" collapsed="false">
      <c r="B24" s="10" t="str">
        <f aca="false">IF('3. Équipe'!C24="","",'3. Équipe'!C24)</f>
        <v/>
      </c>
      <c r="C24" s="52" t="str">
        <f aca="false">IF(B24="","",COUNTIF('10. Gantt S2L'!E$6:E$200,"*"&amp;B24&amp;"*")+COUNTIF('10. Gantt S2L'!F$6:F$200,"*"&amp;B24&amp;"*"))</f>
        <v/>
      </c>
      <c r="D24" s="52" t="str">
        <f aca="false">IF(B24="","",COUNTIFS('10. Gantt S2L'!E$6:E$200,"*"&amp;B24&amp;"*",'10. Gantt S2L'!Q$6:Q$200,"À temps"))</f>
        <v/>
      </c>
      <c r="E24" s="52" t="str">
        <f aca="false">IF(B24="","",COUNTIFS('10. Gantt S2L'!E$6:E$200,"*"&amp;B24&amp;"*",'10. Gantt S2L'!Q$6:Q$200,"À surveiller"))</f>
        <v/>
      </c>
      <c r="F24" s="52" t="str">
        <f aca="false">IF(B24="","",COUNTIFS('10. Gantt S2L'!E$6:E$200,"*"&amp;B24&amp;"*",'10. Gantt S2L'!Q$6:Q$200,"En retard"))</f>
        <v/>
      </c>
      <c r="G24" s="52" t="str">
        <f aca="false">IF(B24="","",COUNTIFS('10. Gantt S2L'!E$6:E$200,"*"&amp;B24&amp;"*",'10. Gantt S2L'!Q$6:Q$200,"Critique"))</f>
        <v/>
      </c>
      <c r="H24" s="52" t="str">
        <f aca="false">IF(B24="","",COUNTIFS('10. Gantt S2L'!E$6:E$200,"*"&amp;B24&amp;"*",'10. Gantt S2L'!Q$6:Q$200,"Terminé à temps"))</f>
        <v/>
      </c>
      <c r="I24" s="52" t="str">
        <f aca="false">IF(B24="","",COUNTIFS('10. Gantt S2L'!E$6:E$200,"*"&amp;B24&amp;"*",'10. Gantt S2L'!Q$6:Q$200,"Terminé hors délai"))</f>
        <v/>
      </c>
      <c r="J24" s="55" t="str">
        <f aca="false">IF(B24="","",IFERROR(SUMPRODUCT(('10. Gantt S2L'!E$6:E$200=B24)*('10. Gantt S2L'!R$6:R$200))/SUMPRODUCT(--('10. Gantt S2L'!E$6:E$200=B24)),0))</f>
        <v/>
      </c>
      <c r="K24" s="91" t="str">
        <f aca="false">IF(B24="","",IFERROR(SUMPRODUCT(('10. Gantt S2L'!E$6:E$200=B24)*('10. Gantt S2L'!R$6:R$200)*('10. Gantt S2L'!G$6:G$200))/SUMPRODUCT(--('10. Gantt S2L'!E$6:E$200=B24)*('10. Gantt S2L'!G$6:G$200))/100,0))</f>
        <v/>
      </c>
      <c r="L24" s="27" t="str">
        <f aca="false">IF(B24="","",IF(K24&gt;=0.85,"Excellent",IF(K24&gt;=0.65,"Satisfaisant",IF(K24&gt;=0.4,"À améliorer",IF(K24&gt;0,"Insuffisant","Non évalué")))))</f>
        <v/>
      </c>
    </row>
    <row r="25" customFormat="false" ht="24" hidden="false" customHeight="true" outlineLevel="0" collapsed="false">
      <c r="B25" s="6" t="str">
        <f aca="false">IF('3. Équipe'!C25="","",'3. Équipe'!C25)</f>
        <v/>
      </c>
      <c r="C25" s="52" t="str">
        <f aca="false">IF(B25="","",COUNTIF('10. Gantt S2L'!E$6:E$200,"*"&amp;B25&amp;"*")+COUNTIF('10. Gantt S2L'!F$6:F$200,"*"&amp;B25&amp;"*"))</f>
        <v/>
      </c>
      <c r="D25" s="52" t="str">
        <f aca="false">IF(B25="","",COUNTIFS('10. Gantt S2L'!E$6:E$200,"*"&amp;B25&amp;"*",'10. Gantt S2L'!Q$6:Q$200,"À temps"))</f>
        <v/>
      </c>
      <c r="E25" s="52" t="str">
        <f aca="false">IF(B25="","",COUNTIFS('10. Gantt S2L'!E$6:E$200,"*"&amp;B25&amp;"*",'10. Gantt S2L'!Q$6:Q$200,"À surveiller"))</f>
        <v/>
      </c>
      <c r="F25" s="52" t="str">
        <f aca="false">IF(B25="","",COUNTIFS('10. Gantt S2L'!E$6:E$200,"*"&amp;B25&amp;"*",'10. Gantt S2L'!Q$6:Q$200,"En retard"))</f>
        <v/>
      </c>
      <c r="G25" s="52" t="str">
        <f aca="false">IF(B25="","",COUNTIFS('10. Gantt S2L'!E$6:E$200,"*"&amp;B25&amp;"*",'10. Gantt S2L'!Q$6:Q$200,"Critique"))</f>
        <v/>
      </c>
      <c r="H25" s="52" t="str">
        <f aca="false">IF(B25="","",COUNTIFS('10. Gantt S2L'!E$6:E$200,"*"&amp;B25&amp;"*",'10. Gantt S2L'!Q$6:Q$200,"Terminé à temps"))</f>
        <v/>
      </c>
      <c r="I25" s="52" t="str">
        <f aca="false">IF(B25="","",COUNTIFS('10. Gantt S2L'!E$6:E$200,"*"&amp;B25&amp;"*",'10. Gantt S2L'!Q$6:Q$200,"Terminé hors délai"))</f>
        <v/>
      </c>
      <c r="J25" s="55" t="str">
        <f aca="false">IF(B25="","",IFERROR(SUMPRODUCT(('10. Gantt S2L'!E$6:E$200=B25)*('10. Gantt S2L'!R$6:R$200))/SUMPRODUCT(--('10. Gantt S2L'!E$6:E$200=B25)),0))</f>
        <v/>
      </c>
      <c r="K25" s="91" t="str">
        <f aca="false">IF(B25="","",IFERROR(SUMPRODUCT(('10. Gantt S2L'!E$6:E$200=B25)*('10. Gantt S2L'!R$6:R$200)*('10. Gantt S2L'!G$6:G$200))/SUMPRODUCT(--('10. Gantt S2L'!E$6:E$200=B25)*('10. Gantt S2L'!G$6:G$200))/100,0))</f>
        <v/>
      </c>
      <c r="L25" s="38" t="str">
        <f aca="false">IF(B25="","",IF(K25&gt;=0.85,"Excellent",IF(K25&gt;=0.65,"Satisfaisant",IF(K25&gt;=0.4,"À améliorer",IF(K25&gt;0,"Insuffisant","Non évalué")))))</f>
        <v/>
      </c>
    </row>
    <row r="26" customFormat="false" ht="24" hidden="false" customHeight="true" outlineLevel="0" collapsed="false">
      <c r="B26" s="10" t="str">
        <f aca="false">IF('3. Équipe'!C26="","",'3. Équipe'!C26)</f>
        <v/>
      </c>
      <c r="C26" s="52" t="str">
        <f aca="false">IF(B26="","",COUNTIF('10. Gantt S2L'!E$6:E$200,"*"&amp;B26&amp;"*")+COUNTIF('10. Gantt S2L'!F$6:F$200,"*"&amp;B26&amp;"*"))</f>
        <v/>
      </c>
      <c r="D26" s="52" t="str">
        <f aca="false">IF(B26="","",COUNTIFS('10. Gantt S2L'!E$6:E$200,"*"&amp;B26&amp;"*",'10. Gantt S2L'!Q$6:Q$200,"À temps"))</f>
        <v/>
      </c>
      <c r="E26" s="52" t="str">
        <f aca="false">IF(B26="","",COUNTIFS('10. Gantt S2L'!E$6:E$200,"*"&amp;B26&amp;"*",'10. Gantt S2L'!Q$6:Q$200,"À surveiller"))</f>
        <v/>
      </c>
      <c r="F26" s="52" t="str">
        <f aca="false">IF(B26="","",COUNTIFS('10. Gantt S2L'!E$6:E$200,"*"&amp;B26&amp;"*",'10. Gantt S2L'!Q$6:Q$200,"En retard"))</f>
        <v/>
      </c>
      <c r="G26" s="52" t="str">
        <f aca="false">IF(B26="","",COUNTIFS('10. Gantt S2L'!E$6:E$200,"*"&amp;B26&amp;"*",'10. Gantt S2L'!Q$6:Q$200,"Critique"))</f>
        <v/>
      </c>
      <c r="H26" s="52" t="str">
        <f aca="false">IF(B26="","",COUNTIFS('10. Gantt S2L'!E$6:E$200,"*"&amp;B26&amp;"*",'10. Gantt S2L'!Q$6:Q$200,"Terminé à temps"))</f>
        <v/>
      </c>
      <c r="I26" s="52" t="str">
        <f aca="false">IF(B26="","",COUNTIFS('10. Gantt S2L'!E$6:E$200,"*"&amp;B26&amp;"*",'10. Gantt S2L'!Q$6:Q$200,"Terminé hors délai"))</f>
        <v/>
      </c>
      <c r="J26" s="55" t="str">
        <f aca="false">IF(B26="","",IFERROR(SUMPRODUCT(('10. Gantt S2L'!E$6:E$200=B26)*('10. Gantt S2L'!R$6:R$200))/SUMPRODUCT(--('10. Gantt S2L'!E$6:E$200=B26)),0))</f>
        <v/>
      </c>
      <c r="K26" s="91" t="str">
        <f aca="false">IF(B26="","",IFERROR(SUMPRODUCT(('10. Gantt S2L'!E$6:E$200=B26)*('10. Gantt S2L'!R$6:R$200)*('10. Gantt S2L'!G$6:G$200))/SUMPRODUCT(--('10. Gantt S2L'!E$6:E$200=B26)*('10. Gantt S2L'!G$6:G$200))/100,0))</f>
        <v/>
      </c>
      <c r="L26" s="27" t="str">
        <f aca="false">IF(B26="","",IF(K26&gt;=0.85,"Excellent",IF(K26&gt;=0.65,"Satisfaisant",IF(K26&gt;=0.4,"À améliorer",IF(K26&gt;0,"Insuffisant","Non évalué")))))</f>
        <v/>
      </c>
    </row>
    <row r="27" customFormat="false" ht="24" hidden="false" customHeight="true" outlineLevel="0" collapsed="false">
      <c r="B27" s="6" t="str">
        <f aca="false">IF('3. Équipe'!C27="","",'3. Équipe'!C27)</f>
        <v/>
      </c>
      <c r="C27" s="52" t="str">
        <f aca="false">IF(B27="","",COUNTIF('10. Gantt S2L'!E$6:E$200,"*"&amp;B27&amp;"*")+COUNTIF('10. Gantt S2L'!F$6:F$200,"*"&amp;B27&amp;"*"))</f>
        <v/>
      </c>
      <c r="D27" s="52" t="str">
        <f aca="false">IF(B27="","",COUNTIFS('10. Gantt S2L'!E$6:E$200,"*"&amp;B27&amp;"*",'10. Gantt S2L'!Q$6:Q$200,"À temps"))</f>
        <v/>
      </c>
      <c r="E27" s="52" t="str">
        <f aca="false">IF(B27="","",COUNTIFS('10. Gantt S2L'!E$6:E$200,"*"&amp;B27&amp;"*",'10. Gantt S2L'!Q$6:Q$200,"À surveiller"))</f>
        <v/>
      </c>
      <c r="F27" s="52" t="str">
        <f aca="false">IF(B27="","",COUNTIFS('10. Gantt S2L'!E$6:E$200,"*"&amp;B27&amp;"*",'10. Gantt S2L'!Q$6:Q$200,"En retard"))</f>
        <v/>
      </c>
      <c r="G27" s="52" t="str">
        <f aca="false">IF(B27="","",COUNTIFS('10. Gantt S2L'!E$6:E$200,"*"&amp;B27&amp;"*",'10. Gantt S2L'!Q$6:Q$200,"Critique"))</f>
        <v/>
      </c>
      <c r="H27" s="52" t="str">
        <f aca="false">IF(B27="","",COUNTIFS('10. Gantt S2L'!E$6:E$200,"*"&amp;B27&amp;"*",'10. Gantt S2L'!Q$6:Q$200,"Terminé à temps"))</f>
        <v/>
      </c>
      <c r="I27" s="52" t="str">
        <f aca="false">IF(B27="","",COUNTIFS('10. Gantt S2L'!E$6:E$200,"*"&amp;B27&amp;"*",'10. Gantt S2L'!Q$6:Q$200,"Terminé hors délai"))</f>
        <v/>
      </c>
      <c r="J27" s="55" t="str">
        <f aca="false">IF(B27="","",IFERROR(SUMPRODUCT(('10. Gantt S2L'!E$6:E$200=B27)*('10. Gantt S2L'!R$6:R$200))/SUMPRODUCT(--('10. Gantt S2L'!E$6:E$200=B27)),0))</f>
        <v/>
      </c>
      <c r="K27" s="91" t="str">
        <f aca="false">IF(B27="","",IFERROR(SUMPRODUCT(('10. Gantt S2L'!E$6:E$200=B27)*('10. Gantt S2L'!R$6:R$200)*('10. Gantt S2L'!G$6:G$200))/SUMPRODUCT(--('10. Gantt S2L'!E$6:E$200=B27)*('10. Gantt S2L'!G$6:G$200))/100,0))</f>
        <v/>
      </c>
      <c r="L27" s="38" t="str">
        <f aca="false">IF(B27="","",IF(K27&gt;=0.85,"Excellent",IF(K27&gt;=0.65,"Satisfaisant",IF(K27&gt;=0.4,"À améliorer",IF(K27&gt;0,"Insuffisant","Non évalué")))))</f>
        <v/>
      </c>
    </row>
    <row r="28" customFormat="false" ht="24" hidden="false" customHeight="true" outlineLevel="0" collapsed="false">
      <c r="B28" s="10" t="str">
        <f aca="false">IF('3. Équipe'!C28="","",'3. Équipe'!C28)</f>
        <v/>
      </c>
      <c r="C28" s="52" t="str">
        <f aca="false">IF(B28="","",COUNTIF('10. Gantt S2L'!E$6:E$200,"*"&amp;B28&amp;"*")+COUNTIF('10. Gantt S2L'!F$6:F$200,"*"&amp;B28&amp;"*"))</f>
        <v/>
      </c>
      <c r="D28" s="52" t="str">
        <f aca="false">IF(B28="","",COUNTIFS('10. Gantt S2L'!E$6:E$200,"*"&amp;B28&amp;"*",'10. Gantt S2L'!Q$6:Q$200,"À temps"))</f>
        <v/>
      </c>
      <c r="E28" s="52" t="str">
        <f aca="false">IF(B28="","",COUNTIFS('10. Gantt S2L'!E$6:E$200,"*"&amp;B28&amp;"*",'10. Gantt S2L'!Q$6:Q$200,"À surveiller"))</f>
        <v/>
      </c>
      <c r="F28" s="52" t="str">
        <f aca="false">IF(B28="","",COUNTIFS('10. Gantt S2L'!E$6:E$200,"*"&amp;B28&amp;"*",'10. Gantt S2L'!Q$6:Q$200,"En retard"))</f>
        <v/>
      </c>
      <c r="G28" s="52" t="str">
        <f aca="false">IF(B28="","",COUNTIFS('10. Gantt S2L'!E$6:E$200,"*"&amp;B28&amp;"*",'10. Gantt S2L'!Q$6:Q$200,"Critique"))</f>
        <v/>
      </c>
      <c r="H28" s="52" t="str">
        <f aca="false">IF(B28="","",COUNTIFS('10. Gantt S2L'!E$6:E$200,"*"&amp;B28&amp;"*",'10. Gantt S2L'!Q$6:Q$200,"Terminé à temps"))</f>
        <v/>
      </c>
      <c r="I28" s="52" t="str">
        <f aca="false">IF(B28="","",COUNTIFS('10. Gantt S2L'!E$6:E$200,"*"&amp;B28&amp;"*",'10. Gantt S2L'!Q$6:Q$200,"Terminé hors délai"))</f>
        <v/>
      </c>
      <c r="J28" s="55" t="str">
        <f aca="false">IF(B28="","",IFERROR(SUMPRODUCT(('10. Gantt S2L'!E$6:E$200=B28)*('10. Gantt S2L'!R$6:R$200))/SUMPRODUCT(--('10. Gantt S2L'!E$6:E$200=B28)),0))</f>
        <v/>
      </c>
      <c r="K28" s="91" t="str">
        <f aca="false">IF(B28="","",IFERROR(SUMPRODUCT(('10. Gantt S2L'!E$6:E$200=B28)*('10. Gantt S2L'!R$6:R$200)*('10. Gantt S2L'!G$6:G$200))/SUMPRODUCT(--('10. Gantt S2L'!E$6:E$200=B28)*('10. Gantt S2L'!G$6:G$200))/100,0))</f>
        <v/>
      </c>
      <c r="L28" s="27" t="str">
        <f aca="false">IF(B28="","",IF(K28&gt;=0.85,"Excellent",IF(K28&gt;=0.65,"Satisfaisant",IF(K28&gt;=0.4,"À améliorer",IF(K28&gt;0,"Insuffisant","Non évalué")))))</f>
        <v/>
      </c>
    </row>
    <row r="29" customFormat="false" ht="24" hidden="false" customHeight="true" outlineLevel="0" collapsed="false">
      <c r="B29" s="6" t="str">
        <f aca="false">IF('3. Équipe'!C29="","",'3. Équipe'!C29)</f>
        <v/>
      </c>
      <c r="C29" s="52" t="str">
        <f aca="false">IF(B29="","",COUNTIF('10. Gantt S2L'!E$6:E$200,"*"&amp;B29&amp;"*")+COUNTIF('10. Gantt S2L'!F$6:F$200,"*"&amp;B29&amp;"*"))</f>
        <v/>
      </c>
      <c r="D29" s="52" t="str">
        <f aca="false">IF(B29="","",COUNTIFS('10. Gantt S2L'!E$6:E$200,"*"&amp;B29&amp;"*",'10. Gantt S2L'!Q$6:Q$200,"À temps"))</f>
        <v/>
      </c>
      <c r="E29" s="52" t="str">
        <f aca="false">IF(B29="","",COUNTIFS('10. Gantt S2L'!E$6:E$200,"*"&amp;B29&amp;"*",'10. Gantt S2L'!Q$6:Q$200,"À surveiller"))</f>
        <v/>
      </c>
      <c r="F29" s="52" t="str">
        <f aca="false">IF(B29="","",COUNTIFS('10. Gantt S2L'!E$6:E$200,"*"&amp;B29&amp;"*",'10. Gantt S2L'!Q$6:Q$200,"En retard"))</f>
        <v/>
      </c>
      <c r="G29" s="52" t="str">
        <f aca="false">IF(B29="","",COUNTIFS('10. Gantt S2L'!E$6:E$200,"*"&amp;B29&amp;"*",'10. Gantt S2L'!Q$6:Q$200,"Critique"))</f>
        <v/>
      </c>
      <c r="H29" s="52" t="str">
        <f aca="false">IF(B29="","",COUNTIFS('10. Gantt S2L'!E$6:E$200,"*"&amp;B29&amp;"*",'10. Gantt S2L'!Q$6:Q$200,"Terminé à temps"))</f>
        <v/>
      </c>
      <c r="I29" s="52" t="str">
        <f aca="false">IF(B29="","",COUNTIFS('10. Gantt S2L'!E$6:E$200,"*"&amp;B29&amp;"*",'10. Gantt S2L'!Q$6:Q$200,"Terminé hors délai"))</f>
        <v/>
      </c>
      <c r="J29" s="55" t="str">
        <f aca="false">IF(B29="","",IFERROR(SUMPRODUCT(('10. Gantt S2L'!E$6:E$200=B29)*('10. Gantt S2L'!R$6:R$200))/SUMPRODUCT(--('10. Gantt S2L'!E$6:E$200=B29)),0))</f>
        <v/>
      </c>
      <c r="K29" s="91" t="str">
        <f aca="false">IF(B29="","",IFERROR(SUMPRODUCT(('10. Gantt S2L'!E$6:E$200=B29)*('10. Gantt S2L'!R$6:R$200)*('10. Gantt S2L'!G$6:G$200))/SUMPRODUCT(--('10. Gantt S2L'!E$6:E$200=B29)*('10. Gantt S2L'!G$6:G$200))/100,0))</f>
        <v/>
      </c>
      <c r="L29" s="38" t="str">
        <f aca="false">IF(B29="","",IF(K29&gt;=0.85,"Excellent",IF(K29&gt;=0.65,"Satisfaisant",IF(K29&gt;=0.4,"À améliorer",IF(K29&gt;0,"Insuffisant","Non évalué")))))</f>
        <v/>
      </c>
    </row>
    <row r="30" customFormat="false" ht="24" hidden="false" customHeight="true" outlineLevel="0" collapsed="false">
      <c r="B30" s="10" t="str">
        <f aca="false">IF('3. Équipe'!C30="","",'3. Équipe'!C30)</f>
        <v/>
      </c>
      <c r="C30" s="52" t="str">
        <f aca="false">IF(B30="","",COUNTIF('10. Gantt S2L'!E$6:E$200,"*"&amp;B30&amp;"*")+COUNTIF('10. Gantt S2L'!F$6:F$200,"*"&amp;B30&amp;"*"))</f>
        <v/>
      </c>
      <c r="D30" s="52" t="str">
        <f aca="false">IF(B30="","",COUNTIFS('10. Gantt S2L'!E$6:E$200,"*"&amp;B30&amp;"*",'10. Gantt S2L'!Q$6:Q$200,"À temps"))</f>
        <v/>
      </c>
      <c r="E30" s="52" t="str">
        <f aca="false">IF(B30="","",COUNTIFS('10. Gantt S2L'!E$6:E$200,"*"&amp;B30&amp;"*",'10. Gantt S2L'!Q$6:Q$200,"À surveiller"))</f>
        <v/>
      </c>
      <c r="F30" s="52" t="str">
        <f aca="false">IF(B30="","",COUNTIFS('10. Gantt S2L'!E$6:E$200,"*"&amp;B30&amp;"*",'10. Gantt S2L'!Q$6:Q$200,"En retard"))</f>
        <v/>
      </c>
      <c r="G30" s="52" t="str">
        <f aca="false">IF(B30="","",COUNTIFS('10. Gantt S2L'!E$6:E$200,"*"&amp;B30&amp;"*",'10. Gantt S2L'!Q$6:Q$200,"Critique"))</f>
        <v/>
      </c>
      <c r="H30" s="52" t="str">
        <f aca="false">IF(B30="","",COUNTIFS('10. Gantt S2L'!E$6:E$200,"*"&amp;B30&amp;"*",'10. Gantt S2L'!Q$6:Q$200,"Terminé à temps"))</f>
        <v/>
      </c>
      <c r="I30" s="52" t="str">
        <f aca="false">IF(B30="","",COUNTIFS('10. Gantt S2L'!E$6:E$200,"*"&amp;B30&amp;"*",'10. Gantt S2L'!Q$6:Q$200,"Terminé hors délai"))</f>
        <v/>
      </c>
      <c r="J30" s="55" t="str">
        <f aca="false">IF(B30="","",IFERROR(SUMPRODUCT(('10. Gantt S2L'!E$6:E$200=B30)*('10. Gantt S2L'!R$6:R$200))/SUMPRODUCT(--('10. Gantt S2L'!E$6:E$200=B30)),0))</f>
        <v/>
      </c>
      <c r="K30" s="91" t="str">
        <f aca="false">IF(B30="","",IFERROR(SUMPRODUCT(('10. Gantt S2L'!E$6:E$200=B30)*('10. Gantt S2L'!R$6:R$200)*('10. Gantt S2L'!G$6:G$200))/SUMPRODUCT(--('10. Gantt S2L'!E$6:E$200=B30)*('10. Gantt S2L'!G$6:G$200))/100,0))</f>
        <v/>
      </c>
      <c r="L30" s="27" t="str">
        <f aca="false">IF(B30="","",IF(K30&gt;=0.85,"Excellent",IF(K30&gt;=0.65,"Satisfaisant",IF(K30&gt;=0.4,"À améliorer",IF(K30&gt;0,"Insuffisant","Non évalué")))))</f>
        <v/>
      </c>
    </row>
    <row r="31" customFormat="false" ht="24" hidden="false" customHeight="true" outlineLevel="0" collapsed="false">
      <c r="B31" s="6" t="str">
        <f aca="false">IF('3. Équipe'!C31="","",'3. Équipe'!C31)</f>
        <v/>
      </c>
      <c r="C31" s="52" t="str">
        <f aca="false">IF(B31="","",COUNTIF('10. Gantt S2L'!E$6:E$200,"*"&amp;B31&amp;"*")+COUNTIF('10. Gantt S2L'!F$6:F$200,"*"&amp;B31&amp;"*"))</f>
        <v/>
      </c>
      <c r="D31" s="52" t="str">
        <f aca="false">IF(B31="","",COUNTIFS('10. Gantt S2L'!E$6:E$200,"*"&amp;B31&amp;"*",'10. Gantt S2L'!Q$6:Q$200,"À temps"))</f>
        <v/>
      </c>
      <c r="E31" s="52" t="str">
        <f aca="false">IF(B31="","",COUNTIFS('10. Gantt S2L'!E$6:E$200,"*"&amp;B31&amp;"*",'10. Gantt S2L'!Q$6:Q$200,"À surveiller"))</f>
        <v/>
      </c>
      <c r="F31" s="52" t="str">
        <f aca="false">IF(B31="","",COUNTIFS('10. Gantt S2L'!E$6:E$200,"*"&amp;B31&amp;"*",'10. Gantt S2L'!Q$6:Q$200,"En retard"))</f>
        <v/>
      </c>
      <c r="G31" s="52" t="str">
        <f aca="false">IF(B31="","",COUNTIFS('10. Gantt S2L'!E$6:E$200,"*"&amp;B31&amp;"*",'10. Gantt S2L'!Q$6:Q$200,"Critique"))</f>
        <v/>
      </c>
      <c r="H31" s="52" t="str">
        <f aca="false">IF(B31="","",COUNTIFS('10. Gantt S2L'!E$6:E$200,"*"&amp;B31&amp;"*",'10. Gantt S2L'!Q$6:Q$200,"Terminé à temps"))</f>
        <v/>
      </c>
      <c r="I31" s="52" t="str">
        <f aca="false">IF(B31="","",COUNTIFS('10. Gantt S2L'!E$6:E$200,"*"&amp;B31&amp;"*",'10. Gantt S2L'!Q$6:Q$200,"Terminé hors délai"))</f>
        <v/>
      </c>
      <c r="J31" s="55" t="str">
        <f aca="false">IF(B31="","",IFERROR(SUMPRODUCT(('10. Gantt S2L'!E$6:E$200=B31)*('10. Gantt S2L'!R$6:R$200))/SUMPRODUCT(--('10. Gantt S2L'!E$6:E$200=B31)),0))</f>
        <v/>
      </c>
      <c r="K31" s="91" t="str">
        <f aca="false">IF(B31="","",IFERROR(SUMPRODUCT(('10. Gantt S2L'!E$6:E$200=B31)*('10. Gantt S2L'!R$6:R$200)*('10. Gantt S2L'!G$6:G$200))/SUMPRODUCT(--('10. Gantt S2L'!E$6:E$200=B31)*('10. Gantt S2L'!G$6:G$200))/100,0))</f>
        <v/>
      </c>
      <c r="L31" s="38" t="str">
        <f aca="false">IF(B31="","",IF(K31&gt;=0.85,"Excellent",IF(K31&gt;=0.65,"Satisfaisant",IF(K31&gt;=0.4,"À améliorer",IF(K31&gt;0,"Insuffisant","Non évalué")))))</f>
        <v/>
      </c>
    </row>
    <row r="32" customFormat="false" ht="24" hidden="false" customHeight="true" outlineLevel="0" collapsed="false">
      <c r="B32" s="10" t="str">
        <f aca="false">IF('3. Équipe'!C32="","",'3. Équipe'!C32)</f>
        <v/>
      </c>
      <c r="C32" s="52" t="str">
        <f aca="false">IF(B32="","",COUNTIF('10. Gantt S2L'!E$6:E$200,"*"&amp;B32&amp;"*")+COUNTIF('10. Gantt S2L'!F$6:F$200,"*"&amp;B32&amp;"*"))</f>
        <v/>
      </c>
      <c r="D32" s="52" t="str">
        <f aca="false">IF(B32="","",COUNTIFS('10. Gantt S2L'!E$6:E$200,"*"&amp;B32&amp;"*",'10. Gantt S2L'!Q$6:Q$200,"À temps"))</f>
        <v/>
      </c>
      <c r="E32" s="52" t="str">
        <f aca="false">IF(B32="","",COUNTIFS('10. Gantt S2L'!E$6:E$200,"*"&amp;B32&amp;"*",'10. Gantt S2L'!Q$6:Q$200,"À surveiller"))</f>
        <v/>
      </c>
      <c r="F32" s="52" t="str">
        <f aca="false">IF(B32="","",COUNTIFS('10. Gantt S2L'!E$6:E$200,"*"&amp;B32&amp;"*",'10. Gantt S2L'!Q$6:Q$200,"En retard"))</f>
        <v/>
      </c>
      <c r="G32" s="52" t="str">
        <f aca="false">IF(B32="","",COUNTIFS('10. Gantt S2L'!E$6:E$200,"*"&amp;B32&amp;"*",'10. Gantt S2L'!Q$6:Q$200,"Critique"))</f>
        <v/>
      </c>
      <c r="H32" s="52" t="str">
        <f aca="false">IF(B32="","",COUNTIFS('10. Gantt S2L'!E$6:E$200,"*"&amp;B32&amp;"*",'10. Gantt S2L'!Q$6:Q$200,"Terminé à temps"))</f>
        <v/>
      </c>
      <c r="I32" s="52" t="str">
        <f aca="false">IF(B32="","",COUNTIFS('10. Gantt S2L'!E$6:E$200,"*"&amp;B32&amp;"*",'10. Gantt S2L'!Q$6:Q$200,"Terminé hors délai"))</f>
        <v/>
      </c>
      <c r="J32" s="55" t="str">
        <f aca="false">IF(B32="","",IFERROR(SUMPRODUCT(('10. Gantt S2L'!E$6:E$200=B32)*('10. Gantt S2L'!R$6:R$200))/SUMPRODUCT(--('10. Gantt S2L'!E$6:E$200=B32)),0))</f>
        <v/>
      </c>
      <c r="K32" s="91" t="str">
        <f aca="false">IF(B32="","",IFERROR(SUMPRODUCT(('10. Gantt S2L'!E$6:E$200=B32)*('10. Gantt S2L'!R$6:R$200)*('10. Gantt S2L'!G$6:G$200))/SUMPRODUCT(--('10. Gantt S2L'!E$6:E$200=B32)*('10. Gantt S2L'!G$6:G$200))/100,0))</f>
        <v/>
      </c>
      <c r="L32" s="27" t="str">
        <f aca="false">IF(B32="","",IF(K32&gt;=0.85,"Excellent",IF(K32&gt;=0.65,"Satisfaisant",IF(K32&gt;=0.4,"À améliorer",IF(K32&gt;0,"Insuffisant","Non évalué")))))</f>
        <v/>
      </c>
    </row>
    <row r="33" customFormat="false" ht="24" hidden="false" customHeight="true" outlineLevel="0" collapsed="false">
      <c r="B33" s="6" t="str">
        <f aca="false">IF('3. Équipe'!C33="","",'3. Équipe'!C33)</f>
        <v/>
      </c>
      <c r="C33" s="52" t="str">
        <f aca="false">IF(B33="","",COUNTIF('10. Gantt S2L'!E$6:E$200,"*"&amp;B33&amp;"*")+COUNTIF('10. Gantt S2L'!F$6:F$200,"*"&amp;B33&amp;"*"))</f>
        <v/>
      </c>
      <c r="D33" s="52" t="str">
        <f aca="false">IF(B33="","",COUNTIFS('10. Gantt S2L'!E$6:E$200,"*"&amp;B33&amp;"*",'10. Gantt S2L'!Q$6:Q$200,"À temps"))</f>
        <v/>
      </c>
      <c r="E33" s="52" t="str">
        <f aca="false">IF(B33="","",COUNTIFS('10. Gantt S2L'!E$6:E$200,"*"&amp;B33&amp;"*",'10. Gantt S2L'!Q$6:Q$200,"À surveiller"))</f>
        <v/>
      </c>
      <c r="F33" s="52" t="str">
        <f aca="false">IF(B33="","",COUNTIFS('10. Gantt S2L'!E$6:E$200,"*"&amp;B33&amp;"*",'10. Gantt S2L'!Q$6:Q$200,"En retard"))</f>
        <v/>
      </c>
      <c r="G33" s="52" t="str">
        <f aca="false">IF(B33="","",COUNTIFS('10. Gantt S2L'!E$6:E$200,"*"&amp;B33&amp;"*",'10. Gantt S2L'!Q$6:Q$200,"Critique"))</f>
        <v/>
      </c>
      <c r="H33" s="52" t="str">
        <f aca="false">IF(B33="","",COUNTIFS('10. Gantt S2L'!E$6:E$200,"*"&amp;B33&amp;"*",'10. Gantt S2L'!Q$6:Q$200,"Terminé à temps"))</f>
        <v/>
      </c>
      <c r="I33" s="52" t="str">
        <f aca="false">IF(B33="","",COUNTIFS('10. Gantt S2L'!E$6:E$200,"*"&amp;B33&amp;"*",'10. Gantt S2L'!Q$6:Q$200,"Terminé hors délai"))</f>
        <v/>
      </c>
      <c r="J33" s="55" t="str">
        <f aca="false">IF(B33="","",IFERROR(SUMPRODUCT(('10. Gantt S2L'!E$6:E$200=B33)*('10. Gantt S2L'!R$6:R$200))/SUMPRODUCT(--('10. Gantt S2L'!E$6:E$200=B33)),0))</f>
        <v/>
      </c>
      <c r="K33" s="91" t="str">
        <f aca="false">IF(B33="","",IFERROR(SUMPRODUCT(('10. Gantt S2L'!E$6:E$200=B33)*('10. Gantt S2L'!R$6:R$200)*('10. Gantt S2L'!G$6:G$200))/SUMPRODUCT(--('10. Gantt S2L'!E$6:E$200=B33)*('10. Gantt S2L'!G$6:G$200))/100,0))</f>
        <v/>
      </c>
      <c r="L33" s="38" t="str">
        <f aca="false">IF(B33="","",IF(K33&gt;=0.85,"Excellent",IF(K33&gt;=0.65,"Satisfaisant",IF(K33&gt;=0.4,"À améliorer",IF(K33&gt;0,"Insuffisant","Non évalué")))))</f>
        <v/>
      </c>
    </row>
    <row r="34" customFormat="false" ht="24" hidden="false" customHeight="true" outlineLevel="0" collapsed="false">
      <c r="B34" s="10" t="str">
        <f aca="false">IF('3. Équipe'!C34="","",'3. Équipe'!C34)</f>
        <v/>
      </c>
      <c r="C34" s="52" t="str">
        <f aca="false">IF(B34="","",COUNTIF('10. Gantt S2L'!E$6:E$200,"*"&amp;B34&amp;"*")+COUNTIF('10. Gantt S2L'!F$6:F$200,"*"&amp;B34&amp;"*"))</f>
        <v/>
      </c>
      <c r="D34" s="52" t="str">
        <f aca="false">IF(B34="","",COUNTIFS('10. Gantt S2L'!E$6:E$200,"*"&amp;B34&amp;"*",'10. Gantt S2L'!Q$6:Q$200,"À temps"))</f>
        <v/>
      </c>
      <c r="E34" s="52" t="str">
        <f aca="false">IF(B34="","",COUNTIFS('10. Gantt S2L'!E$6:E$200,"*"&amp;B34&amp;"*",'10. Gantt S2L'!Q$6:Q$200,"À surveiller"))</f>
        <v/>
      </c>
      <c r="F34" s="52" t="str">
        <f aca="false">IF(B34="","",COUNTIFS('10. Gantt S2L'!E$6:E$200,"*"&amp;B34&amp;"*",'10. Gantt S2L'!Q$6:Q$200,"En retard"))</f>
        <v/>
      </c>
      <c r="G34" s="52" t="str">
        <f aca="false">IF(B34="","",COUNTIFS('10. Gantt S2L'!E$6:E$200,"*"&amp;B34&amp;"*",'10. Gantt S2L'!Q$6:Q$200,"Critique"))</f>
        <v/>
      </c>
      <c r="H34" s="52" t="str">
        <f aca="false">IF(B34="","",COUNTIFS('10. Gantt S2L'!E$6:E$200,"*"&amp;B34&amp;"*",'10. Gantt S2L'!Q$6:Q$200,"Terminé à temps"))</f>
        <v/>
      </c>
      <c r="I34" s="52" t="str">
        <f aca="false">IF(B34="","",COUNTIFS('10. Gantt S2L'!E$6:E$200,"*"&amp;B34&amp;"*",'10. Gantt S2L'!Q$6:Q$200,"Terminé hors délai"))</f>
        <v/>
      </c>
      <c r="J34" s="55" t="str">
        <f aca="false">IF(B34="","",IFERROR(SUMPRODUCT(('10. Gantt S2L'!E$6:E$200=B34)*('10. Gantt S2L'!R$6:R$200))/SUMPRODUCT(--('10. Gantt S2L'!E$6:E$200=B34)),0))</f>
        <v/>
      </c>
      <c r="K34" s="91" t="str">
        <f aca="false">IF(B34="","",IFERROR(SUMPRODUCT(('10. Gantt S2L'!E$6:E$200=B34)*('10. Gantt S2L'!R$6:R$200)*('10. Gantt S2L'!G$6:G$200))/SUMPRODUCT(--('10. Gantt S2L'!E$6:E$200=B34)*('10. Gantt S2L'!G$6:G$200))/100,0))</f>
        <v/>
      </c>
      <c r="L34" s="27" t="str">
        <f aca="false">IF(B34="","",IF(K34&gt;=0.85,"Excellent",IF(K34&gt;=0.65,"Satisfaisant",IF(K34&gt;=0.4,"À améliorer",IF(K34&gt;0,"Insuffisant","Non évalué")))))</f>
        <v/>
      </c>
    </row>
    <row r="35" customFormat="false" ht="24" hidden="false" customHeight="true" outlineLevel="0" collapsed="false">
      <c r="B35" s="6" t="str">
        <f aca="false">IF('3. Équipe'!C35="","",'3. Équipe'!C35)</f>
        <v/>
      </c>
      <c r="C35" s="52" t="str">
        <f aca="false">IF(B35="","",COUNTIF('10. Gantt S2L'!E$6:E$200,"*"&amp;B35&amp;"*")+COUNTIF('10. Gantt S2L'!F$6:F$200,"*"&amp;B35&amp;"*"))</f>
        <v/>
      </c>
      <c r="D35" s="52" t="str">
        <f aca="false">IF(B35="","",COUNTIFS('10. Gantt S2L'!E$6:E$200,"*"&amp;B35&amp;"*",'10. Gantt S2L'!Q$6:Q$200,"À temps"))</f>
        <v/>
      </c>
      <c r="E35" s="52" t="str">
        <f aca="false">IF(B35="","",COUNTIFS('10. Gantt S2L'!E$6:E$200,"*"&amp;B35&amp;"*",'10. Gantt S2L'!Q$6:Q$200,"À surveiller"))</f>
        <v/>
      </c>
      <c r="F35" s="52" t="str">
        <f aca="false">IF(B35="","",COUNTIFS('10. Gantt S2L'!E$6:E$200,"*"&amp;B35&amp;"*",'10. Gantt S2L'!Q$6:Q$200,"En retard"))</f>
        <v/>
      </c>
      <c r="G35" s="52" t="str">
        <f aca="false">IF(B35="","",COUNTIFS('10. Gantt S2L'!E$6:E$200,"*"&amp;B35&amp;"*",'10. Gantt S2L'!Q$6:Q$200,"Critique"))</f>
        <v/>
      </c>
      <c r="H35" s="52" t="str">
        <f aca="false">IF(B35="","",COUNTIFS('10. Gantt S2L'!E$6:E$200,"*"&amp;B35&amp;"*",'10. Gantt S2L'!Q$6:Q$200,"Terminé à temps"))</f>
        <v/>
      </c>
      <c r="I35" s="52" t="str">
        <f aca="false">IF(B35="","",COUNTIFS('10. Gantt S2L'!E$6:E$200,"*"&amp;B35&amp;"*",'10. Gantt S2L'!Q$6:Q$200,"Terminé hors délai"))</f>
        <v/>
      </c>
      <c r="J35" s="55" t="str">
        <f aca="false">IF(B35="","",IFERROR(SUMPRODUCT(('10. Gantt S2L'!E$6:E$200=B35)*('10. Gantt S2L'!R$6:R$200))/SUMPRODUCT(--('10. Gantt S2L'!E$6:E$200=B35)),0))</f>
        <v/>
      </c>
      <c r="K35" s="91" t="str">
        <f aca="false">IF(B35="","",IFERROR(SUMPRODUCT(('10. Gantt S2L'!E$6:E$200=B35)*('10. Gantt S2L'!R$6:R$200)*('10. Gantt S2L'!G$6:G$200))/SUMPRODUCT(--('10. Gantt S2L'!E$6:E$200=B35)*('10. Gantt S2L'!G$6:G$200))/100,0))</f>
        <v/>
      </c>
      <c r="L35" s="38" t="str">
        <f aca="false">IF(B35="","",IF(K35&gt;=0.85,"Excellent",IF(K35&gt;=0.65,"Satisfaisant",IF(K35&gt;=0.4,"À améliorer",IF(K35&gt;0,"Insuffisant","Non évalué")))))</f>
        <v/>
      </c>
    </row>
    <row r="36" customFormat="false" ht="24" hidden="false" customHeight="true" outlineLevel="0" collapsed="false">
      <c r="B36" s="10" t="str">
        <f aca="false">IF('3. Équipe'!C36="","",'3. Équipe'!C36)</f>
        <v/>
      </c>
      <c r="C36" s="52" t="str">
        <f aca="false">IF(B36="","",COUNTIF('10. Gantt S2L'!E$6:E$200,"*"&amp;B36&amp;"*")+COUNTIF('10. Gantt S2L'!F$6:F$200,"*"&amp;B36&amp;"*"))</f>
        <v/>
      </c>
      <c r="D36" s="52" t="str">
        <f aca="false">IF(B36="","",COUNTIFS('10. Gantt S2L'!E$6:E$200,"*"&amp;B36&amp;"*",'10. Gantt S2L'!Q$6:Q$200,"À temps"))</f>
        <v/>
      </c>
      <c r="E36" s="52" t="str">
        <f aca="false">IF(B36="","",COUNTIFS('10. Gantt S2L'!E$6:E$200,"*"&amp;B36&amp;"*",'10. Gantt S2L'!Q$6:Q$200,"À surveiller"))</f>
        <v/>
      </c>
      <c r="F36" s="52" t="str">
        <f aca="false">IF(B36="","",COUNTIFS('10. Gantt S2L'!E$6:E$200,"*"&amp;B36&amp;"*",'10. Gantt S2L'!Q$6:Q$200,"En retard"))</f>
        <v/>
      </c>
      <c r="G36" s="52" t="str">
        <f aca="false">IF(B36="","",COUNTIFS('10. Gantt S2L'!E$6:E$200,"*"&amp;B36&amp;"*",'10. Gantt S2L'!Q$6:Q$200,"Critique"))</f>
        <v/>
      </c>
      <c r="H36" s="52" t="str">
        <f aca="false">IF(B36="","",COUNTIFS('10. Gantt S2L'!E$6:E$200,"*"&amp;B36&amp;"*",'10. Gantt S2L'!Q$6:Q$200,"Terminé à temps"))</f>
        <v/>
      </c>
      <c r="I36" s="52" t="str">
        <f aca="false">IF(B36="","",COUNTIFS('10. Gantt S2L'!E$6:E$200,"*"&amp;B36&amp;"*",'10. Gantt S2L'!Q$6:Q$200,"Terminé hors délai"))</f>
        <v/>
      </c>
      <c r="J36" s="55" t="str">
        <f aca="false">IF(B36="","",IFERROR(SUMPRODUCT(('10. Gantt S2L'!E$6:E$200=B36)*('10. Gantt S2L'!R$6:R$200))/SUMPRODUCT(--('10. Gantt S2L'!E$6:E$200=B36)),0))</f>
        <v/>
      </c>
      <c r="K36" s="91" t="str">
        <f aca="false">IF(B36="","",IFERROR(SUMPRODUCT(('10. Gantt S2L'!E$6:E$200=B36)*('10. Gantt S2L'!R$6:R$200)*('10. Gantt S2L'!G$6:G$200))/SUMPRODUCT(--('10. Gantt S2L'!E$6:E$200=B36)*('10. Gantt S2L'!G$6:G$200))/100,0))</f>
        <v/>
      </c>
      <c r="L36" s="27" t="str">
        <f aca="false">IF(B36="","",IF(K36&gt;=0.85,"Excellent",IF(K36&gt;=0.65,"Satisfaisant",IF(K36&gt;=0.4,"À améliorer",IF(K36&gt;0,"Insuffisant","Non évalué")))))</f>
        <v/>
      </c>
    </row>
    <row r="37" customFormat="false" ht="24" hidden="false" customHeight="true" outlineLevel="0" collapsed="false">
      <c r="B37" s="6" t="str">
        <f aca="false">IF('3. Équipe'!C37="","",'3. Équipe'!C37)</f>
        <v/>
      </c>
      <c r="C37" s="52" t="str">
        <f aca="false">IF(B37="","",COUNTIF('10. Gantt S2L'!E$6:E$200,"*"&amp;B37&amp;"*")+COUNTIF('10. Gantt S2L'!F$6:F$200,"*"&amp;B37&amp;"*"))</f>
        <v/>
      </c>
      <c r="D37" s="52" t="str">
        <f aca="false">IF(B37="","",COUNTIFS('10. Gantt S2L'!E$6:E$200,"*"&amp;B37&amp;"*",'10. Gantt S2L'!Q$6:Q$200,"À temps"))</f>
        <v/>
      </c>
      <c r="E37" s="52" t="str">
        <f aca="false">IF(B37="","",COUNTIFS('10. Gantt S2L'!E$6:E$200,"*"&amp;B37&amp;"*",'10. Gantt S2L'!Q$6:Q$200,"À surveiller"))</f>
        <v/>
      </c>
      <c r="F37" s="52" t="str">
        <f aca="false">IF(B37="","",COUNTIFS('10. Gantt S2L'!E$6:E$200,"*"&amp;B37&amp;"*",'10. Gantt S2L'!Q$6:Q$200,"En retard"))</f>
        <v/>
      </c>
      <c r="G37" s="52" t="str">
        <f aca="false">IF(B37="","",COUNTIFS('10. Gantt S2L'!E$6:E$200,"*"&amp;B37&amp;"*",'10. Gantt S2L'!Q$6:Q$200,"Critique"))</f>
        <v/>
      </c>
      <c r="H37" s="52" t="str">
        <f aca="false">IF(B37="","",COUNTIFS('10. Gantt S2L'!E$6:E$200,"*"&amp;B37&amp;"*",'10. Gantt S2L'!Q$6:Q$200,"Terminé à temps"))</f>
        <v/>
      </c>
      <c r="I37" s="52" t="str">
        <f aca="false">IF(B37="","",COUNTIFS('10. Gantt S2L'!E$6:E$200,"*"&amp;B37&amp;"*",'10. Gantt S2L'!Q$6:Q$200,"Terminé hors délai"))</f>
        <v/>
      </c>
      <c r="J37" s="55" t="str">
        <f aca="false">IF(B37="","",IFERROR(SUMPRODUCT(('10. Gantt S2L'!E$6:E$200=B37)*('10. Gantt S2L'!R$6:R$200))/SUMPRODUCT(--('10. Gantt S2L'!E$6:E$200=B37)),0))</f>
        <v/>
      </c>
      <c r="K37" s="91" t="str">
        <f aca="false">IF(B37="","",IFERROR(SUMPRODUCT(('10. Gantt S2L'!E$6:E$200=B37)*('10. Gantt S2L'!R$6:R$200)*('10. Gantt S2L'!G$6:G$200))/SUMPRODUCT(--('10. Gantt S2L'!E$6:E$200=B37)*('10. Gantt S2L'!G$6:G$200))/100,0))</f>
        <v/>
      </c>
      <c r="L37" s="38" t="str">
        <f aca="false">IF(B37="","",IF(K37&gt;=0.85,"Excellent",IF(K37&gt;=0.65,"Satisfaisant",IF(K37&gt;=0.4,"À améliorer",IF(K37&gt;0,"Insuffisant","Non évalué")))))</f>
        <v/>
      </c>
    </row>
    <row r="38" customFormat="false" ht="24" hidden="false" customHeight="true" outlineLevel="0" collapsed="false">
      <c r="B38" s="10" t="str">
        <f aca="false">IF('3. Équipe'!C38="","",'3. Équipe'!C38)</f>
        <v/>
      </c>
      <c r="C38" s="52" t="str">
        <f aca="false">IF(B38="","",COUNTIF('10. Gantt S2L'!E$6:E$200,"*"&amp;B38&amp;"*")+COUNTIF('10. Gantt S2L'!F$6:F$200,"*"&amp;B38&amp;"*"))</f>
        <v/>
      </c>
      <c r="D38" s="52" t="str">
        <f aca="false">IF(B38="","",COUNTIFS('10. Gantt S2L'!E$6:E$200,"*"&amp;B38&amp;"*",'10. Gantt S2L'!Q$6:Q$200,"À temps"))</f>
        <v/>
      </c>
      <c r="E38" s="52" t="str">
        <f aca="false">IF(B38="","",COUNTIFS('10. Gantt S2L'!E$6:E$200,"*"&amp;B38&amp;"*",'10. Gantt S2L'!Q$6:Q$200,"À surveiller"))</f>
        <v/>
      </c>
      <c r="F38" s="52" t="str">
        <f aca="false">IF(B38="","",COUNTIFS('10. Gantt S2L'!E$6:E$200,"*"&amp;B38&amp;"*",'10. Gantt S2L'!Q$6:Q$200,"En retard"))</f>
        <v/>
      </c>
      <c r="G38" s="52" t="str">
        <f aca="false">IF(B38="","",COUNTIFS('10. Gantt S2L'!E$6:E$200,"*"&amp;B38&amp;"*",'10. Gantt S2L'!Q$6:Q$200,"Critique"))</f>
        <v/>
      </c>
      <c r="H38" s="52" t="str">
        <f aca="false">IF(B38="","",COUNTIFS('10. Gantt S2L'!E$6:E$200,"*"&amp;B38&amp;"*",'10. Gantt S2L'!Q$6:Q$200,"Terminé à temps"))</f>
        <v/>
      </c>
      <c r="I38" s="52" t="str">
        <f aca="false">IF(B38="","",COUNTIFS('10. Gantt S2L'!E$6:E$200,"*"&amp;B38&amp;"*",'10. Gantt S2L'!Q$6:Q$200,"Terminé hors délai"))</f>
        <v/>
      </c>
      <c r="J38" s="55" t="str">
        <f aca="false">IF(B38="","",IFERROR(SUMPRODUCT(('10. Gantt S2L'!E$6:E$200=B38)*('10. Gantt S2L'!R$6:R$200))/SUMPRODUCT(--('10. Gantt S2L'!E$6:E$200=B38)),0))</f>
        <v/>
      </c>
      <c r="K38" s="91" t="str">
        <f aca="false">IF(B38="","",IFERROR(SUMPRODUCT(('10. Gantt S2L'!E$6:E$200=B38)*('10. Gantt S2L'!R$6:R$200)*('10. Gantt S2L'!G$6:G$200))/SUMPRODUCT(--('10. Gantt S2L'!E$6:E$200=B38)*('10. Gantt S2L'!G$6:G$200))/100,0))</f>
        <v/>
      </c>
      <c r="L38" s="27" t="str">
        <f aca="false">IF(B38="","",IF(K38&gt;=0.85,"Excellent",IF(K38&gt;=0.65,"Satisfaisant",IF(K38&gt;=0.4,"À améliorer",IF(K38&gt;0,"Insuffisant","Non évalué")))))</f>
        <v/>
      </c>
    </row>
    <row r="39" customFormat="false" ht="24" hidden="false" customHeight="true" outlineLevel="0" collapsed="false">
      <c r="B39" s="6" t="str">
        <f aca="false">IF('3. Équipe'!C39="","",'3. Équipe'!C39)</f>
        <v/>
      </c>
      <c r="C39" s="52" t="str">
        <f aca="false">IF(B39="","",COUNTIF('10. Gantt S2L'!E$6:E$200,"*"&amp;B39&amp;"*")+COUNTIF('10. Gantt S2L'!F$6:F$200,"*"&amp;B39&amp;"*"))</f>
        <v/>
      </c>
      <c r="D39" s="52" t="str">
        <f aca="false">IF(B39="","",COUNTIFS('10. Gantt S2L'!E$6:E$200,"*"&amp;B39&amp;"*",'10. Gantt S2L'!Q$6:Q$200,"À temps"))</f>
        <v/>
      </c>
      <c r="E39" s="52" t="str">
        <f aca="false">IF(B39="","",COUNTIFS('10. Gantt S2L'!E$6:E$200,"*"&amp;B39&amp;"*",'10. Gantt S2L'!Q$6:Q$200,"À surveiller"))</f>
        <v/>
      </c>
      <c r="F39" s="52" t="str">
        <f aca="false">IF(B39="","",COUNTIFS('10. Gantt S2L'!E$6:E$200,"*"&amp;B39&amp;"*",'10. Gantt S2L'!Q$6:Q$200,"En retard"))</f>
        <v/>
      </c>
      <c r="G39" s="52" t="str">
        <f aca="false">IF(B39="","",COUNTIFS('10. Gantt S2L'!E$6:E$200,"*"&amp;B39&amp;"*",'10. Gantt S2L'!Q$6:Q$200,"Critique"))</f>
        <v/>
      </c>
      <c r="H39" s="52" t="str">
        <f aca="false">IF(B39="","",COUNTIFS('10. Gantt S2L'!E$6:E$200,"*"&amp;B39&amp;"*",'10. Gantt S2L'!Q$6:Q$200,"Terminé à temps"))</f>
        <v/>
      </c>
      <c r="I39" s="52" t="str">
        <f aca="false">IF(B39="","",COUNTIFS('10. Gantt S2L'!E$6:E$200,"*"&amp;B39&amp;"*",'10. Gantt S2L'!Q$6:Q$200,"Terminé hors délai"))</f>
        <v/>
      </c>
      <c r="J39" s="55" t="str">
        <f aca="false">IF(B39="","",IFERROR(SUMPRODUCT(('10. Gantt S2L'!E$6:E$200=B39)*('10. Gantt S2L'!R$6:R$200))/SUMPRODUCT(--('10. Gantt S2L'!E$6:E$200=B39)),0))</f>
        <v/>
      </c>
      <c r="K39" s="91" t="str">
        <f aca="false">IF(B39="","",IFERROR(SUMPRODUCT(('10. Gantt S2L'!E$6:E$200=B39)*('10. Gantt S2L'!R$6:R$200)*('10. Gantt S2L'!G$6:G$200))/SUMPRODUCT(--('10. Gantt S2L'!E$6:E$200=B39)*('10. Gantt S2L'!G$6:G$200))/100,0))</f>
        <v/>
      </c>
      <c r="L39" s="38" t="str">
        <f aca="false">IF(B39="","",IF(K39&gt;=0.85,"Excellent",IF(K39&gt;=0.65,"Satisfaisant",IF(K39&gt;=0.4,"À améliorer",IF(K39&gt;0,"Insuffisant","Non évalué")))))</f>
        <v/>
      </c>
    </row>
    <row r="40" customFormat="false" ht="24" hidden="false" customHeight="true" outlineLevel="0" collapsed="false">
      <c r="B40" s="10" t="str">
        <f aca="false">IF('3. Équipe'!C40="","",'3. Équipe'!C40)</f>
        <v/>
      </c>
      <c r="C40" s="52" t="str">
        <f aca="false">IF(B40="","",COUNTIF('10. Gantt S2L'!E$6:E$200,"*"&amp;B40&amp;"*")+COUNTIF('10. Gantt S2L'!F$6:F$200,"*"&amp;B40&amp;"*"))</f>
        <v/>
      </c>
      <c r="D40" s="52" t="str">
        <f aca="false">IF(B40="","",COUNTIFS('10. Gantt S2L'!E$6:E$200,"*"&amp;B40&amp;"*",'10. Gantt S2L'!Q$6:Q$200,"À temps"))</f>
        <v/>
      </c>
      <c r="E40" s="52" t="str">
        <f aca="false">IF(B40="","",COUNTIFS('10. Gantt S2L'!E$6:E$200,"*"&amp;B40&amp;"*",'10. Gantt S2L'!Q$6:Q$200,"À surveiller"))</f>
        <v/>
      </c>
      <c r="F40" s="52" t="str">
        <f aca="false">IF(B40="","",COUNTIFS('10. Gantt S2L'!E$6:E$200,"*"&amp;B40&amp;"*",'10. Gantt S2L'!Q$6:Q$200,"En retard"))</f>
        <v/>
      </c>
      <c r="G40" s="52" t="str">
        <f aca="false">IF(B40="","",COUNTIFS('10. Gantt S2L'!E$6:E$200,"*"&amp;B40&amp;"*",'10. Gantt S2L'!Q$6:Q$200,"Critique"))</f>
        <v/>
      </c>
      <c r="H40" s="52" t="str">
        <f aca="false">IF(B40="","",COUNTIFS('10. Gantt S2L'!E$6:E$200,"*"&amp;B40&amp;"*",'10. Gantt S2L'!Q$6:Q$200,"Terminé à temps"))</f>
        <v/>
      </c>
      <c r="I40" s="52" t="str">
        <f aca="false">IF(B40="","",COUNTIFS('10. Gantt S2L'!E$6:E$200,"*"&amp;B40&amp;"*",'10. Gantt S2L'!Q$6:Q$200,"Terminé hors délai"))</f>
        <v/>
      </c>
      <c r="J40" s="55" t="str">
        <f aca="false">IF(B40="","",IFERROR(SUMPRODUCT(('10. Gantt S2L'!E$6:E$200=B40)*('10. Gantt S2L'!R$6:R$200))/SUMPRODUCT(--('10. Gantt S2L'!E$6:E$200=B40)),0))</f>
        <v/>
      </c>
      <c r="K40" s="91" t="str">
        <f aca="false">IF(B40="","",IFERROR(SUMPRODUCT(('10. Gantt S2L'!E$6:E$200=B40)*('10. Gantt S2L'!R$6:R$200)*('10. Gantt S2L'!G$6:G$200))/SUMPRODUCT(--('10. Gantt S2L'!E$6:E$200=B40)*('10. Gantt S2L'!G$6:G$200))/100,0))</f>
        <v/>
      </c>
      <c r="L40" s="27" t="str">
        <f aca="false">IF(B40="","",IF(K40&gt;=0.85,"Excellent",IF(K40&gt;=0.65,"Satisfaisant",IF(K40&gt;=0.4,"À améliorer",IF(K40&gt;0,"Insuffisant","Non évalué")))))</f>
        <v/>
      </c>
    </row>
    <row r="41" customFormat="false" ht="24" hidden="false" customHeight="true" outlineLevel="0" collapsed="false">
      <c r="B41" s="6" t="str">
        <f aca="false">IF('3. Équipe'!C41="","",'3. Équipe'!C41)</f>
        <v/>
      </c>
      <c r="C41" s="52" t="str">
        <f aca="false">IF(B41="","",COUNTIF('10. Gantt S2L'!E$6:E$200,"*"&amp;B41&amp;"*")+COUNTIF('10. Gantt S2L'!F$6:F$200,"*"&amp;B41&amp;"*"))</f>
        <v/>
      </c>
      <c r="D41" s="52" t="str">
        <f aca="false">IF(B41="","",COUNTIFS('10. Gantt S2L'!E$6:E$200,"*"&amp;B41&amp;"*",'10. Gantt S2L'!Q$6:Q$200,"À temps"))</f>
        <v/>
      </c>
      <c r="E41" s="52" t="str">
        <f aca="false">IF(B41="","",COUNTIFS('10. Gantt S2L'!E$6:E$200,"*"&amp;B41&amp;"*",'10. Gantt S2L'!Q$6:Q$200,"À surveiller"))</f>
        <v/>
      </c>
      <c r="F41" s="52" t="str">
        <f aca="false">IF(B41="","",COUNTIFS('10. Gantt S2L'!E$6:E$200,"*"&amp;B41&amp;"*",'10. Gantt S2L'!Q$6:Q$200,"En retard"))</f>
        <v/>
      </c>
      <c r="G41" s="52" t="str">
        <f aca="false">IF(B41="","",COUNTIFS('10. Gantt S2L'!E$6:E$200,"*"&amp;B41&amp;"*",'10. Gantt S2L'!Q$6:Q$200,"Critique"))</f>
        <v/>
      </c>
      <c r="H41" s="52" t="str">
        <f aca="false">IF(B41="","",COUNTIFS('10. Gantt S2L'!E$6:E$200,"*"&amp;B41&amp;"*",'10. Gantt S2L'!Q$6:Q$200,"Terminé à temps"))</f>
        <v/>
      </c>
      <c r="I41" s="52" t="str">
        <f aca="false">IF(B41="","",COUNTIFS('10. Gantt S2L'!E$6:E$200,"*"&amp;B41&amp;"*",'10. Gantt S2L'!Q$6:Q$200,"Terminé hors délai"))</f>
        <v/>
      </c>
      <c r="J41" s="55" t="str">
        <f aca="false">IF(B41="","",IFERROR(SUMPRODUCT(('10. Gantt S2L'!E$6:E$200=B41)*('10. Gantt S2L'!R$6:R$200))/SUMPRODUCT(--('10. Gantt S2L'!E$6:E$200=B41)),0))</f>
        <v/>
      </c>
      <c r="K41" s="91" t="str">
        <f aca="false">IF(B41="","",IFERROR(SUMPRODUCT(('10. Gantt S2L'!E$6:E$200=B41)*('10. Gantt S2L'!R$6:R$200)*('10. Gantt S2L'!G$6:G$200))/SUMPRODUCT(--('10. Gantt S2L'!E$6:E$200=B41)*('10. Gantt S2L'!G$6:G$200))/100,0))</f>
        <v/>
      </c>
      <c r="L41" s="38" t="str">
        <f aca="false">IF(B41="","",IF(K41&gt;=0.85,"Excellent",IF(K41&gt;=0.65,"Satisfaisant",IF(K41&gt;=0.4,"À améliorer",IF(K41&gt;0,"Insuffisant","Non évalué")))))</f>
        <v/>
      </c>
    </row>
    <row r="42" customFormat="false" ht="24" hidden="false" customHeight="true" outlineLevel="0" collapsed="false">
      <c r="B42" s="10" t="str">
        <f aca="false">IF('3. Équipe'!C42="","",'3. Équipe'!C42)</f>
        <v/>
      </c>
      <c r="C42" s="52" t="str">
        <f aca="false">IF(B42="","",COUNTIF('10. Gantt S2L'!E$6:E$200,"*"&amp;B42&amp;"*")+COUNTIF('10. Gantt S2L'!F$6:F$200,"*"&amp;B42&amp;"*"))</f>
        <v/>
      </c>
      <c r="D42" s="52" t="str">
        <f aca="false">IF(B42="","",COUNTIFS('10. Gantt S2L'!E$6:E$200,"*"&amp;B42&amp;"*",'10. Gantt S2L'!Q$6:Q$200,"À temps"))</f>
        <v/>
      </c>
      <c r="E42" s="52" t="str">
        <f aca="false">IF(B42="","",COUNTIFS('10. Gantt S2L'!E$6:E$200,"*"&amp;B42&amp;"*",'10. Gantt S2L'!Q$6:Q$200,"À surveiller"))</f>
        <v/>
      </c>
      <c r="F42" s="52" t="str">
        <f aca="false">IF(B42="","",COUNTIFS('10. Gantt S2L'!E$6:E$200,"*"&amp;B42&amp;"*",'10. Gantt S2L'!Q$6:Q$200,"En retard"))</f>
        <v/>
      </c>
      <c r="G42" s="52" t="str">
        <f aca="false">IF(B42="","",COUNTIFS('10. Gantt S2L'!E$6:E$200,"*"&amp;B42&amp;"*",'10. Gantt S2L'!Q$6:Q$200,"Critique"))</f>
        <v/>
      </c>
      <c r="H42" s="52" t="str">
        <f aca="false">IF(B42="","",COUNTIFS('10. Gantt S2L'!E$6:E$200,"*"&amp;B42&amp;"*",'10. Gantt S2L'!Q$6:Q$200,"Terminé à temps"))</f>
        <v/>
      </c>
      <c r="I42" s="52" t="str">
        <f aca="false">IF(B42="","",COUNTIFS('10. Gantt S2L'!E$6:E$200,"*"&amp;B42&amp;"*",'10. Gantt S2L'!Q$6:Q$200,"Terminé hors délai"))</f>
        <v/>
      </c>
      <c r="J42" s="55" t="str">
        <f aca="false">IF(B42="","",IFERROR(SUMPRODUCT(('10. Gantt S2L'!E$6:E$200=B42)*('10. Gantt S2L'!R$6:R$200))/SUMPRODUCT(--('10. Gantt S2L'!E$6:E$200=B42)),0))</f>
        <v/>
      </c>
      <c r="K42" s="91" t="str">
        <f aca="false">IF(B42="","",IFERROR(SUMPRODUCT(('10. Gantt S2L'!E$6:E$200=B42)*('10. Gantt S2L'!R$6:R$200)*('10. Gantt S2L'!G$6:G$200))/SUMPRODUCT(--('10. Gantt S2L'!E$6:E$200=B42)*('10. Gantt S2L'!G$6:G$200))/100,0))</f>
        <v/>
      </c>
      <c r="L42" s="27" t="str">
        <f aca="false">IF(B42="","",IF(K42&gt;=0.85,"Excellent",IF(K42&gt;=0.65,"Satisfaisant",IF(K42&gt;=0.4,"À améliorer",IF(K42&gt;0,"Insuffisant","Non évalué")))))</f>
        <v/>
      </c>
    </row>
    <row r="43" customFormat="false" ht="24" hidden="false" customHeight="true" outlineLevel="0" collapsed="false">
      <c r="B43" s="6" t="str">
        <f aca="false">IF('3. Équipe'!C43="","",'3. Équipe'!C43)</f>
        <v/>
      </c>
      <c r="C43" s="52" t="str">
        <f aca="false">IF(B43="","",COUNTIF('10. Gantt S2L'!E$6:E$200,"*"&amp;B43&amp;"*")+COUNTIF('10. Gantt S2L'!F$6:F$200,"*"&amp;B43&amp;"*"))</f>
        <v/>
      </c>
      <c r="D43" s="52" t="str">
        <f aca="false">IF(B43="","",COUNTIFS('10. Gantt S2L'!E$6:E$200,"*"&amp;B43&amp;"*",'10. Gantt S2L'!Q$6:Q$200,"À temps"))</f>
        <v/>
      </c>
      <c r="E43" s="52" t="str">
        <f aca="false">IF(B43="","",COUNTIFS('10. Gantt S2L'!E$6:E$200,"*"&amp;B43&amp;"*",'10. Gantt S2L'!Q$6:Q$200,"À surveiller"))</f>
        <v/>
      </c>
      <c r="F43" s="52" t="str">
        <f aca="false">IF(B43="","",COUNTIFS('10. Gantt S2L'!E$6:E$200,"*"&amp;B43&amp;"*",'10. Gantt S2L'!Q$6:Q$200,"En retard"))</f>
        <v/>
      </c>
      <c r="G43" s="52" t="str">
        <f aca="false">IF(B43="","",COUNTIFS('10. Gantt S2L'!E$6:E$200,"*"&amp;B43&amp;"*",'10. Gantt S2L'!Q$6:Q$200,"Critique"))</f>
        <v/>
      </c>
      <c r="H43" s="52" t="str">
        <f aca="false">IF(B43="","",COUNTIFS('10. Gantt S2L'!E$6:E$200,"*"&amp;B43&amp;"*",'10. Gantt S2L'!Q$6:Q$200,"Terminé à temps"))</f>
        <v/>
      </c>
      <c r="I43" s="52" t="str">
        <f aca="false">IF(B43="","",COUNTIFS('10. Gantt S2L'!E$6:E$200,"*"&amp;B43&amp;"*",'10. Gantt S2L'!Q$6:Q$200,"Terminé hors délai"))</f>
        <v/>
      </c>
      <c r="J43" s="55" t="str">
        <f aca="false">IF(B43="","",IFERROR(SUMPRODUCT(('10. Gantt S2L'!E$6:E$200=B43)*('10. Gantt S2L'!R$6:R$200))/SUMPRODUCT(--('10. Gantt S2L'!E$6:E$200=B43)),0))</f>
        <v/>
      </c>
      <c r="K43" s="91" t="str">
        <f aca="false">IF(B43="","",IFERROR(SUMPRODUCT(('10. Gantt S2L'!E$6:E$200=B43)*('10. Gantt S2L'!R$6:R$200)*('10. Gantt S2L'!G$6:G$200))/SUMPRODUCT(--('10. Gantt S2L'!E$6:E$200=B43)*('10. Gantt S2L'!G$6:G$200))/100,0))</f>
        <v/>
      </c>
      <c r="L43" s="38" t="str">
        <f aca="false">IF(B43="","",IF(K43&gt;=0.85,"Excellent",IF(K43&gt;=0.65,"Satisfaisant",IF(K43&gt;=0.4,"À améliorer",IF(K43&gt;0,"Insuffisant","Non évalué")))))</f>
        <v/>
      </c>
    </row>
    <row r="44" customFormat="false" ht="24" hidden="false" customHeight="true" outlineLevel="0" collapsed="false">
      <c r="B44" s="10" t="str">
        <f aca="false">IF('3. Équipe'!C44="","",'3. Équipe'!C44)</f>
        <v/>
      </c>
      <c r="C44" s="52" t="str">
        <f aca="false">IF(B44="","",COUNTIF('10. Gantt S2L'!E$6:E$200,"*"&amp;B44&amp;"*")+COUNTIF('10. Gantt S2L'!F$6:F$200,"*"&amp;B44&amp;"*"))</f>
        <v/>
      </c>
      <c r="D44" s="52" t="str">
        <f aca="false">IF(B44="","",COUNTIFS('10. Gantt S2L'!E$6:E$200,"*"&amp;B44&amp;"*",'10. Gantt S2L'!Q$6:Q$200,"À temps"))</f>
        <v/>
      </c>
      <c r="E44" s="52" t="str">
        <f aca="false">IF(B44="","",COUNTIFS('10. Gantt S2L'!E$6:E$200,"*"&amp;B44&amp;"*",'10. Gantt S2L'!Q$6:Q$200,"À surveiller"))</f>
        <v/>
      </c>
      <c r="F44" s="52" t="str">
        <f aca="false">IF(B44="","",COUNTIFS('10. Gantt S2L'!E$6:E$200,"*"&amp;B44&amp;"*",'10. Gantt S2L'!Q$6:Q$200,"En retard"))</f>
        <v/>
      </c>
      <c r="G44" s="52" t="str">
        <f aca="false">IF(B44="","",COUNTIFS('10. Gantt S2L'!E$6:E$200,"*"&amp;B44&amp;"*",'10. Gantt S2L'!Q$6:Q$200,"Critique"))</f>
        <v/>
      </c>
      <c r="H44" s="52" t="str">
        <f aca="false">IF(B44="","",COUNTIFS('10. Gantt S2L'!E$6:E$200,"*"&amp;B44&amp;"*",'10. Gantt S2L'!Q$6:Q$200,"Terminé à temps"))</f>
        <v/>
      </c>
      <c r="I44" s="52" t="str">
        <f aca="false">IF(B44="","",COUNTIFS('10. Gantt S2L'!E$6:E$200,"*"&amp;B44&amp;"*",'10. Gantt S2L'!Q$6:Q$200,"Terminé hors délai"))</f>
        <v/>
      </c>
      <c r="J44" s="55" t="str">
        <f aca="false">IF(B44="","",IFERROR(SUMPRODUCT(('10. Gantt S2L'!E$6:E$200=B44)*('10. Gantt S2L'!R$6:R$200))/SUMPRODUCT(--('10. Gantt S2L'!E$6:E$200=B44)),0))</f>
        <v/>
      </c>
      <c r="K44" s="91" t="str">
        <f aca="false">IF(B44="","",IFERROR(SUMPRODUCT(('10. Gantt S2L'!E$6:E$200=B44)*('10. Gantt S2L'!R$6:R$200)*('10. Gantt S2L'!G$6:G$200))/SUMPRODUCT(--('10. Gantt S2L'!E$6:E$200=B44)*('10. Gantt S2L'!G$6:G$200))/100,0))</f>
        <v/>
      </c>
      <c r="L44" s="27" t="str">
        <f aca="false">IF(B44="","",IF(K44&gt;=0.85,"Excellent",IF(K44&gt;=0.65,"Satisfaisant",IF(K44&gt;=0.4,"À améliorer",IF(K44&gt;0,"Insuffisant","Non évalué")))))</f>
        <v/>
      </c>
    </row>
    <row r="45" customFormat="false" ht="24" hidden="false" customHeight="true" outlineLevel="0" collapsed="false">
      <c r="B45" s="6" t="str">
        <f aca="false">IF('3. Équipe'!C45="","",'3. Équipe'!C45)</f>
        <v/>
      </c>
      <c r="C45" s="52" t="str">
        <f aca="false">IF(B45="","",COUNTIF('10. Gantt S2L'!E$6:E$200,"*"&amp;B45&amp;"*")+COUNTIF('10. Gantt S2L'!F$6:F$200,"*"&amp;B45&amp;"*"))</f>
        <v/>
      </c>
      <c r="D45" s="52" t="str">
        <f aca="false">IF(B45="","",COUNTIFS('10. Gantt S2L'!E$6:E$200,"*"&amp;B45&amp;"*",'10. Gantt S2L'!Q$6:Q$200,"À temps"))</f>
        <v/>
      </c>
      <c r="E45" s="52" t="str">
        <f aca="false">IF(B45="","",COUNTIFS('10. Gantt S2L'!E$6:E$200,"*"&amp;B45&amp;"*",'10. Gantt S2L'!Q$6:Q$200,"À surveiller"))</f>
        <v/>
      </c>
      <c r="F45" s="52" t="str">
        <f aca="false">IF(B45="","",COUNTIFS('10. Gantt S2L'!E$6:E$200,"*"&amp;B45&amp;"*",'10. Gantt S2L'!Q$6:Q$200,"En retard"))</f>
        <v/>
      </c>
      <c r="G45" s="52" t="str">
        <f aca="false">IF(B45="","",COUNTIFS('10. Gantt S2L'!E$6:E$200,"*"&amp;B45&amp;"*",'10. Gantt S2L'!Q$6:Q$200,"Critique"))</f>
        <v/>
      </c>
      <c r="H45" s="52" t="str">
        <f aca="false">IF(B45="","",COUNTIFS('10. Gantt S2L'!E$6:E$200,"*"&amp;B45&amp;"*",'10. Gantt S2L'!Q$6:Q$200,"Terminé à temps"))</f>
        <v/>
      </c>
      <c r="I45" s="52" t="str">
        <f aca="false">IF(B45="","",COUNTIFS('10. Gantt S2L'!E$6:E$200,"*"&amp;B45&amp;"*",'10. Gantt S2L'!Q$6:Q$200,"Terminé hors délai"))</f>
        <v/>
      </c>
      <c r="J45" s="55" t="str">
        <f aca="false">IF(B45="","",IFERROR(SUMPRODUCT(('10. Gantt S2L'!E$6:E$200=B45)*('10. Gantt S2L'!R$6:R$200))/SUMPRODUCT(--('10. Gantt S2L'!E$6:E$200=B45)),0))</f>
        <v/>
      </c>
      <c r="K45" s="91" t="str">
        <f aca="false">IF(B45="","",IFERROR(SUMPRODUCT(('10. Gantt S2L'!E$6:E$200=B45)*('10. Gantt S2L'!R$6:R$200)*('10. Gantt S2L'!G$6:G$200))/SUMPRODUCT(--('10. Gantt S2L'!E$6:E$200=B45)*('10. Gantt S2L'!G$6:G$200))/100,0))</f>
        <v/>
      </c>
      <c r="L45" s="38" t="str">
        <f aca="false">IF(B45="","",IF(K45&gt;=0.85,"Excellent",IF(K45&gt;=0.65,"Satisfaisant",IF(K45&gt;=0.4,"À améliorer",IF(K45&gt;0,"Insuffisant","Non évalué")))))</f>
        <v/>
      </c>
    </row>
    <row r="46" customFormat="false" ht="24" hidden="false" customHeight="true" outlineLevel="0" collapsed="false">
      <c r="B46" s="10" t="str">
        <f aca="false">IF('3. Équipe'!C46="","",'3. Équipe'!C46)</f>
        <v/>
      </c>
      <c r="C46" s="52" t="str">
        <f aca="false">IF(B46="","",COUNTIF('10. Gantt S2L'!E$6:E$200,"*"&amp;B46&amp;"*")+COUNTIF('10. Gantt S2L'!F$6:F$200,"*"&amp;B46&amp;"*"))</f>
        <v/>
      </c>
      <c r="D46" s="52" t="str">
        <f aca="false">IF(B46="","",COUNTIFS('10. Gantt S2L'!E$6:E$200,"*"&amp;B46&amp;"*",'10. Gantt S2L'!Q$6:Q$200,"À temps"))</f>
        <v/>
      </c>
      <c r="E46" s="52" t="str">
        <f aca="false">IF(B46="","",COUNTIFS('10. Gantt S2L'!E$6:E$200,"*"&amp;B46&amp;"*",'10. Gantt S2L'!Q$6:Q$200,"À surveiller"))</f>
        <v/>
      </c>
      <c r="F46" s="52" t="str">
        <f aca="false">IF(B46="","",COUNTIFS('10. Gantt S2L'!E$6:E$200,"*"&amp;B46&amp;"*",'10. Gantt S2L'!Q$6:Q$200,"En retard"))</f>
        <v/>
      </c>
      <c r="G46" s="52" t="str">
        <f aca="false">IF(B46="","",COUNTIFS('10. Gantt S2L'!E$6:E$200,"*"&amp;B46&amp;"*",'10. Gantt S2L'!Q$6:Q$200,"Critique"))</f>
        <v/>
      </c>
      <c r="H46" s="52" t="str">
        <f aca="false">IF(B46="","",COUNTIFS('10. Gantt S2L'!E$6:E$200,"*"&amp;B46&amp;"*",'10. Gantt S2L'!Q$6:Q$200,"Terminé à temps"))</f>
        <v/>
      </c>
      <c r="I46" s="52" t="str">
        <f aca="false">IF(B46="","",COUNTIFS('10. Gantt S2L'!E$6:E$200,"*"&amp;B46&amp;"*",'10. Gantt S2L'!Q$6:Q$200,"Terminé hors délai"))</f>
        <v/>
      </c>
      <c r="J46" s="55" t="str">
        <f aca="false">IF(B46="","",IFERROR(SUMPRODUCT(('10. Gantt S2L'!E$6:E$200=B46)*('10. Gantt S2L'!R$6:R$200))/SUMPRODUCT(--('10. Gantt S2L'!E$6:E$200=B46)),0))</f>
        <v/>
      </c>
      <c r="K46" s="91" t="str">
        <f aca="false">IF(B46="","",IFERROR(SUMPRODUCT(('10. Gantt S2L'!E$6:E$200=B46)*('10. Gantt S2L'!R$6:R$200)*('10. Gantt S2L'!G$6:G$200))/SUMPRODUCT(--('10. Gantt S2L'!E$6:E$200=B46)*('10. Gantt S2L'!G$6:G$200))/100,0))</f>
        <v/>
      </c>
      <c r="L46" s="27" t="str">
        <f aca="false">IF(B46="","",IF(K46&gt;=0.85,"Excellent",IF(K46&gt;=0.65,"Satisfaisant",IF(K46&gt;=0.4,"À améliorer",IF(K46&gt;0,"Insuffisant","Non évalué")))))</f>
        <v/>
      </c>
    </row>
    <row r="47" customFormat="false" ht="24" hidden="false" customHeight="true" outlineLevel="0" collapsed="false">
      <c r="B47" s="6" t="str">
        <f aca="false">IF('3. Équipe'!C47="","",'3. Équipe'!C47)</f>
        <v/>
      </c>
      <c r="C47" s="52" t="str">
        <f aca="false">IF(B47="","",COUNTIF('10. Gantt S2L'!E$6:E$200,"*"&amp;B47&amp;"*")+COUNTIF('10. Gantt S2L'!F$6:F$200,"*"&amp;B47&amp;"*"))</f>
        <v/>
      </c>
      <c r="D47" s="52" t="str">
        <f aca="false">IF(B47="","",COUNTIFS('10. Gantt S2L'!E$6:E$200,"*"&amp;B47&amp;"*",'10. Gantt S2L'!Q$6:Q$200,"À temps"))</f>
        <v/>
      </c>
      <c r="E47" s="52" t="str">
        <f aca="false">IF(B47="","",COUNTIFS('10. Gantt S2L'!E$6:E$200,"*"&amp;B47&amp;"*",'10. Gantt S2L'!Q$6:Q$200,"À surveiller"))</f>
        <v/>
      </c>
      <c r="F47" s="52" t="str">
        <f aca="false">IF(B47="","",COUNTIFS('10. Gantt S2L'!E$6:E$200,"*"&amp;B47&amp;"*",'10. Gantt S2L'!Q$6:Q$200,"En retard"))</f>
        <v/>
      </c>
      <c r="G47" s="52" t="str">
        <f aca="false">IF(B47="","",COUNTIFS('10. Gantt S2L'!E$6:E$200,"*"&amp;B47&amp;"*",'10. Gantt S2L'!Q$6:Q$200,"Critique"))</f>
        <v/>
      </c>
      <c r="H47" s="52" t="str">
        <f aca="false">IF(B47="","",COUNTIFS('10. Gantt S2L'!E$6:E$200,"*"&amp;B47&amp;"*",'10. Gantt S2L'!Q$6:Q$200,"Terminé à temps"))</f>
        <v/>
      </c>
      <c r="I47" s="52" t="str">
        <f aca="false">IF(B47="","",COUNTIFS('10. Gantt S2L'!E$6:E$200,"*"&amp;B47&amp;"*",'10. Gantt S2L'!Q$6:Q$200,"Terminé hors délai"))</f>
        <v/>
      </c>
      <c r="J47" s="55" t="str">
        <f aca="false">IF(B47="","",IFERROR(SUMPRODUCT(('10. Gantt S2L'!E$6:E$200=B47)*('10. Gantt S2L'!R$6:R$200))/SUMPRODUCT(--('10. Gantt S2L'!E$6:E$200=B47)),0))</f>
        <v/>
      </c>
      <c r="K47" s="91" t="str">
        <f aca="false">IF(B47="","",IFERROR(SUMPRODUCT(('10. Gantt S2L'!E$6:E$200=B47)*('10. Gantt S2L'!R$6:R$200)*('10. Gantt S2L'!G$6:G$200))/SUMPRODUCT(--('10. Gantt S2L'!E$6:E$200=B47)*('10. Gantt S2L'!G$6:G$200))/100,0))</f>
        <v/>
      </c>
      <c r="L47" s="38" t="str">
        <f aca="false">IF(B47="","",IF(K47&gt;=0.85,"Excellent",IF(K47&gt;=0.65,"Satisfaisant",IF(K47&gt;=0.4,"À améliorer",IF(K47&gt;0,"Insuffisant","Non évalué")))))</f>
        <v/>
      </c>
    </row>
    <row r="48" customFormat="false" ht="24" hidden="false" customHeight="true" outlineLevel="0" collapsed="false">
      <c r="B48" s="10" t="str">
        <f aca="false">IF('3. Équipe'!C48="","",'3. Équipe'!C48)</f>
        <v/>
      </c>
      <c r="C48" s="52" t="str">
        <f aca="false">IF(B48="","",COUNTIF('10. Gantt S2L'!E$6:E$200,"*"&amp;B48&amp;"*")+COUNTIF('10. Gantt S2L'!F$6:F$200,"*"&amp;B48&amp;"*"))</f>
        <v/>
      </c>
      <c r="D48" s="52" t="str">
        <f aca="false">IF(B48="","",COUNTIFS('10. Gantt S2L'!E$6:E$200,"*"&amp;B48&amp;"*",'10. Gantt S2L'!Q$6:Q$200,"À temps"))</f>
        <v/>
      </c>
      <c r="E48" s="52" t="str">
        <f aca="false">IF(B48="","",COUNTIFS('10. Gantt S2L'!E$6:E$200,"*"&amp;B48&amp;"*",'10. Gantt S2L'!Q$6:Q$200,"À surveiller"))</f>
        <v/>
      </c>
      <c r="F48" s="52" t="str">
        <f aca="false">IF(B48="","",COUNTIFS('10. Gantt S2L'!E$6:E$200,"*"&amp;B48&amp;"*",'10. Gantt S2L'!Q$6:Q$200,"En retard"))</f>
        <v/>
      </c>
      <c r="G48" s="52" t="str">
        <f aca="false">IF(B48="","",COUNTIFS('10. Gantt S2L'!E$6:E$200,"*"&amp;B48&amp;"*",'10. Gantt S2L'!Q$6:Q$200,"Critique"))</f>
        <v/>
      </c>
      <c r="H48" s="52" t="str">
        <f aca="false">IF(B48="","",COUNTIFS('10. Gantt S2L'!E$6:E$200,"*"&amp;B48&amp;"*",'10. Gantt S2L'!Q$6:Q$200,"Terminé à temps"))</f>
        <v/>
      </c>
      <c r="I48" s="52" t="str">
        <f aca="false">IF(B48="","",COUNTIFS('10. Gantt S2L'!E$6:E$200,"*"&amp;B48&amp;"*",'10. Gantt S2L'!Q$6:Q$200,"Terminé hors délai"))</f>
        <v/>
      </c>
      <c r="J48" s="55" t="str">
        <f aca="false">IF(B48="","",IFERROR(SUMPRODUCT(('10. Gantt S2L'!E$6:E$200=B48)*('10. Gantt S2L'!R$6:R$200))/SUMPRODUCT(--('10. Gantt S2L'!E$6:E$200=B48)),0))</f>
        <v/>
      </c>
      <c r="K48" s="91" t="str">
        <f aca="false">IF(B48="","",IFERROR(SUMPRODUCT(('10. Gantt S2L'!E$6:E$200=B48)*('10. Gantt S2L'!R$6:R$200)*('10. Gantt S2L'!G$6:G$200))/SUMPRODUCT(--('10. Gantt S2L'!E$6:E$200=B48)*('10. Gantt S2L'!G$6:G$200))/100,0))</f>
        <v/>
      </c>
      <c r="L48" s="27" t="str">
        <f aca="false">IF(B48="","",IF(K48&gt;=0.85,"Excellent",IF(K48&gt;=0.65,"Satisfaisant",IF(K48&gt;=0.4,"À améliorer",IF(K48&gt;0,"Insuffisant","Non évalué")))))</f>
        <v/>
      </c>
    </row>
    <row r="49" customFormat="false" ht="24" hidden="false" customHeight="true" outlineLevel="0" collapsed="false">
      <c r="B49" s="6" t="str">
        <f aca="false">IF('3. Équipe'!C49="","",'3. Équipe'!C49)</f>
        <v/>
      </c>
      <c r="C49" s="52" t="str">
        <f aca="false">IF(B49="","",COUNTIF('10. Gantt S2L'!E$6:E$200,"*"&amp;B49&amp;"*")+COUNTIF('10. Gantt S2L'!F$6:F$200,"*"&amp;B49&amp;"*"))</f>
        <v/>
      </c>
      <c r="D49" s="52" t="str">
        <f aca="false">IF(B49="","",COUNTIFS('10. Gantt S2L'!E$6:E$200,"*"&amp;B49&amp;"*",'10. Gantt S2L'!Q$6:Q$200,"À temps"))</f>
        <v/>
      </c>
      <c r="E49" s="52" t="str">
        <f aca="false">IF(B49="","",COUNTIFS('10. Gantt S2L'!E$6:E$200,"*"&amp;B49&amp;"*",'10. Gantt S2L'!Q$6:Q$200,"À surveiller"))</f>
        <v/>
      </c>
      <c r="F49" s="52" t="str">
        <f aca="false">IF(B49="","",COUNTIFS('10. Gantt S2L'!E$6:E$200,"*"&amp;B49&amp;"*",'10. Gantt S2L'!Q$6:Q$200,"En retard"))</f>
        <v/>
      </c>
      <c r="G49" s="52" t="str">
        <f aca="false">IF(B49="","",COUNTIFS('10. Gantt S2L'!E$6:E$200,"*"&amp;B49&amp;"*",'10. Gantt S2L'!Q$6:Q$200,"Critique"))</f>
        <v/>
      </c>
      <c r="H49" s="52" t="str">
        <f aca="false">IF(B49="","",COUNTIFS('10. Gantt S2L'!E$6:E$200,"*"&amp;B49&amp;"*",'10. Gantt S2L'!Q$6:Q$200,"Terminé à temps"))</f>
        <v/>
      </c>
      <c r="I49" s="52" t="str">
        <f aca="false">IF(B49="","",COUNTIFS('10. Gantt S2L'!E$6:E$200,"*"&amp;B49&amp;"*",'10. Gantt S2L'!Q$6:Q$200,"Terminé hors délai"))</f>
        <v/>
      </c>
      <c r="J49" s="55" t="str">
        <f aca="false">IF(B49="","",IFERROR(SUMPRODUCT(('10. Gantt S2L'!E$6:E$200=B49)*('10. Gantt S2L'!R$6:R$200))/SUMPRODUCT(--('10. Gantt S2L'!E$6:E$200=B49)),0))</f>
        <v/>
      </c>
      <c r="K49" s="91" t="str">
        <f aca="false">IF(B49="","",IFERROR(SUMPRODUCT(('10. Gantt S2L'!E$6:E$200=B49)*('10. Gantt S2L'!R$6:R$200)*('10. Gantt S2L'!G$6:G$200))/SUMPRODUCT(--('10. Gantt S2L'!E$6:E$200=B49)*('10. Gantt S2L'!G$6:G$200))/100,0))</f>
        <v/>
      </c>
      <c r="L49" s="38" t="str">
        <f aca="false">IF(B49="","",IF(K49&gt;=0.85,"Excellent",IF(K49&gt;=0.65,"Satisfaisant",IF(K49&gt;=0.4,"À améliorer",IF(K49&gt;0,"Insuffisant","Non évalué")))))</f>
        <v/>
      </c>
    </row>
    <row r="50" customFormat="false" ht="24" hidden="false" customHeight="true" outlineLevel="0" collapsed="false">
      <c r="B50" s="10" t="str">
        <f aca="false">IF('3. Équipe'!C50="","",'3. Équipe'!C50)</f>
        <v/>
      </c>
      <c r="C50" s="52" t="str">
        <f aca="false">IF(B50="","",COUNTIF('10. Gantt S2L'!E$6:E$200,"*"&amp;B50&amp;"*")+COUNTIF('10. Gantt S2L'!F$6:F$200,"*"&amp;B50&amp;"*"))</f>
        <v/>
      </c>
      <c r="D50" s="52" t="str">
        <f aca="false">IF(B50="","",COUNTIFS('10. Gantt S2L'!E$6:E$200,"*"&amp;B50&amp;"*",'10. Gantt S2L'!Q$6:Q$200,"À temps"))</f>
        <v/>
      </c>
      <c r="E50" s="52" t="str">
        <f aca="false">IF(B50="","",COUNTIFS('10. Gantt S2L'!E$6:E$200,"*"&amp;B50&amp;"*",'10. Gantt S2L'!Q$6:Q$200,"À surveiller"))</f>
        <v/>
      </c>
      <c r="F50" s="52" t="str">
        <f aca="false">IF(B50="","",COUNTIFS('10. Gantt S2L'!E$6:E$200,"*"&amp;B50&amp;"*",'10. Gantt S2L'!Q$6:Q$200,"En retard"))</f>
        <v/>
      </c>
      <c r="G50" s="52" t="str">
        <f aca="false">IF(B50="","",COUNTIFS('10. Gantt S2L'!E$6:E$200,"*"&amp;B50&amp;"*",'10. Gantt S2L'!Q$6:Q$200,"Critique"))</f>
        <v/>
      </c>
      <c r="H50" s="52" t="str">
        <f aca="false">IF(B50="","",COUNTIFS('10. Gantt S2L'!E$6:E$200,"*"&amp;B50&amp;"*",'10. Gantt S2L'!Q$6:Q$200,"Terminé à temps"))</f>
        <v/>
      </c>
      <c r="I50" s="52" t="str">
        <f aca="false">IF(B50="","",COUNTIFS('10. Gantt S2L'!E$6:E$200,"*"&amp;B50&amp;"*",'10. Gantt S2L'!Q$6:Q$200,"Terminé hors délai"))</f>
        <v/>
      </c>
      <c r="J50" s="55" t="str">
        <f aca="false">IF(B50="","",IFERROR(SUMPRODUCT(('10. Gantt S2L'!E$6:E$200=B50)*('10. Gantt S2L'!R$6:R$200))/SUMPRODUCT(--('10. Gantt S2L'!E$6:E$200=B50)),0))</f>
        <v/>
      </c>
      <c r="K50" s="91" t="str">
        <f aca="false">IF(B50="","",IFERROR(SUMPRODUCT(('10. Gantt S2L'!E$6:E$200=B50)*('10. Gantt S2L'!R$6:R$200)*('10. Gantt S2L'!G$6:G$200))/SUMPRODUCT(--('10. Gantt S2L'!E$6:E$200=B50)*('10. Gantt S2L'!G$6:G$200))/100,0))</f>
        <v/>
      </c>
      <c r="L50" s="27" t="str">
        <f aca="false">IF(B50="","",IF(K50&gt;=0.85,"Excellent",IF(K50&gt;=0.65,"Satisfaisant",IF(K50&gt;=0.4,"À améliorer",IF(K50&gt;0,"Insuffisant","Non évalué")))))</f>
        <v/>
      </c>
    </row>
    <row r="51" customFormat="false" ht="24" hidden="false" customHeight="true" outlineLevel="0" collapsed="false">
      <c r="B51" s="6" t="str">
        <f aca="false">IF('3. Équipe'!C51="","",'3. Équipe'!C51)</f>
        <v/>
      </c>
      <c r="C51" s="52" t="str">
        <f aca="false">IF(B51="","",COUNTIF('10. Gantt S2L'!E$6:E$200,"*"&amp;B51&amp;"*")+COUNTIF('10. Gantt S2L'!F$6:F$200,"*"&amp;B51&amp;"*"))</f>
        <v/>
      </c>
      <c r="D51" s="52" t="str">
        <f aca="false">IF(B51="","",COUNTIFS('10. Gantt S2L'!E$6:E$200,"*"&amp;B51&amp;"*",'10. Gantt S2L'!Q$6:Q$200,"À temps"))</f>
        <v/>
      </c>
      <c r="E51" s="52" t="str">
        <f aca="false">IF(B51="","",COUNTIFS('10. Gantt S2L'!E$6:E$200,"*"&amp;B51&amp;"*",'10. Gantt S2L'!Q$6:Q$200,"À surveiller"))</f>
        <v/>
      </c>
      <c r="F51" s="52" t="str">
        <f aca="false">IF(B51="","",COUNTIFS('10. Gantt S2L'!E$6:E$200,"*"&amp;B51&amp;"*",'10. Gantt S2L'!Q$6:Q$200,"En retard"))</f>
        <v/>
      </c>
      <c r="G51" s="52" t="str">
        <f aca="false">IF(B51="","",COUNTIFS('10. Gantt S2L'!E$6:E$200,"*"&amp;B51&amp;"*",'10. Gantt S2L'!Q$6:Q$200,"Critique"))</f>
        <v/>
      </c>
      <c r="H51" s="52" t="str">
        <f aca="false">IF(B51="","",COUNTIFS('10. Gantt S2L'!E$6:E$200,"*"&amp;B51&amp;"*",'10. Gantt S2L'!Q$6:Q$200,"Terminé à temps"))</f>
        <v/>
      </c>
      <c r="I51" s="52" t="str">
        <f aca="false">IF(B51="","",COUNTIFS('10. Gantt S2L'!E$6:E$200,"*"&amp;B51&amp;"*",'10. Gantt S2L'!Q$6:Q$200,"Terminé hors délai"))</f>
        <v/>
      </c>
      <c r="J51" s="55" t="str">
        <f aca="false">IF(B51="","",IFERROR(SUMPRODUCT(('10. Gantt S2L'!E$6:E$200=B51)*('10. Gantt S2L'!R$6:R$200))/SUMPRODUCT(--('10. Gantt S2L'!E$6:E$200=B51)),0))</f>
        <v/>
      </c>
      <c r="K51" s="91" t="str">
        <f aca="false">IF(B51="","",IFERROR(SUMPRODUCT(('10. Gantt S2L'!E$6:E$200=B51)*('10. Gantt S2L'!R$6:R$200)*('10. Gantt S2L'!G$6:G$200))/SUMPRODUCT(--('10. Gantt S2L'!E$6:E$200=B51)*('10. Gantt S2L'!G$6:G$200))/100,0))</f>
        <v/>
      </c>
      <c r="L51" s="38" t="str">
        <f aca="false">IF(B51="","",IF(K51&gt;=0.85,"Excellent",IF(K51&gt;=0.65,"Satisfaisant",IF(K51&gt;=0.4,"À améliorer",IF(K51&gt;0,"Insuffisant","Non évalué")))))</f>
        <v/>
      </c>
    </row>
    <row r="52" customFormat="false" ht="24" hidden="false" customHeight="true" outlineLevel="0" collapsed="false">
      <c r="B52" s="10" t="str">
        <f aca="false">IF('3. Équipe'!C52="","",'3. Équipe'!C52)</f>
        <v/>
      </c>
      <c r="C52" s="52" t="str">
        <f aca="false">IF(B52="","",COUNTIF('10. Gantt S2L'!E$6:E$200,"*"&amp;B52&amp;"*")+COUNTIF('10. Gantt S2L'!F$6:F$200,"*"&amp;B52&amp;"*"))</f>
        <v/>
      </c>
      <c r="D52" s="52" t="str">
        <f aca="false">IF(B52="","",COUNTIFS('10. Gantt S2L'!E$6:E$200,"*"&amp;B52&amp;"*",'10. Gantt S2L'!Q$6:Q$200,"À temps"))</f>
        <v/>
      </c>
      <c r="E52" s="52" t="str">
        <f aca="false">IF(B52="","",COUNTIFS('10. Gantt S2L'!E$6:E$200,"*"&amp;B52&amp;"*",'10. Gantt S2L'!Q$6:Q$200,"À surveiller"))</f>
        <v/>
      </c>
      <c r="F52" s="52" t="str">
        <f aca="false">IF(B52="","",COUNTIFS('10. Gantt S2L'!E$6:E$200,"*"&amp;B52&amp;"*",'10. Gantt S2L'!Q$6:Q$200,"En retard"))</f>
        <v/>
      </c>
      <c r="G52" s="52" t="str">
        <f aca="false">IF(B52="","",COUNTIFS('10. Gantt S2L'!E$6:E$200,"*"&amp;B52&amp;"*",'10. Gantt S2L'!Q$6:Q$200,"Critique"))</f>
        <v/>
      </c>
      <c r="H52" s="52" t="str">
        <f aca="false">IF(B52="","",COUNTIFS('10. Gantt S2L'!E$6:E$200,"*"&amp;B52&amp;"*",'10. Gantt S2L'!Q$6:Q$200,"Terminé à temps"))</f>
        <v/>
      </c>
      <c r="I52" s="52" t="str">
        <f aca="false">IF(B52="","",COUNTIFS('10. Gantt S2L'!E$6:E$200,"*"&amp;B52&amp;"*",'10. Gantt S2L'!Q$6:Q$200,"Terminé hors délai"))</f>
        <v/>
      </c>
      <c r="J52" s="55" t="str">
        <f aca="false">IF(B52="","",IFERROR(SUMPRODUCT(('10. Gantt S2L'!E$6:E$200=B52)*('10. Gantt S2L'!R$6:R$200))/SUMPRODUCT(--('10. Gantt S2L'!E$6:E$200=B52)),0))</f>
        <v/>
      </c>
      <c r="K52" s="91" t="str">
        <f aca="false">IF(B52="","",IFERROR(SUMPRODUCT(('10. Gantt S2L'!E$6:E$200=B52)*('10. Gantt S2L'!R$6:R$200)*('10. Gantt S2L'!G$6:G$200))/SUMPRODUCT(--('10. Gantt S2L'!E$6:E$200=B52)*('10. Gantt S2L'!G$6:G$200))/100,0))</f>
        <v/>
      </c>
      <c r="L52" s="27" t="str">
        <f aca="false">IF(B52="","",IF(K52&gt;=0.85,"Excellent",IF(K52&gt;=0.65,"Satisfaisant",IF(K52&gt;=0.4,"À améliorer",IF(K52&gt;0,"Insuffisant","Non évalué")))))</f>
        <v/>
      </c>
    </row>
    <row r="53" customFormat="false" ht="24" hidden="false" customHeight="true" outlineLevel="0" collapsed="false">
      <c r="B53" s="6" t="str">
        <f aca="false">IF('3. Équipe'!C53="","",'3. Équipe'!C53)</f>
        <v/>
      </c>
      <c r="C53" s="52" t="str">
        <f aca="false">IF(B53="","",COUNTIF('10. Gantt S2L'!E$6:E$200,"*"&amp;B53&amp;"*")+COUNTIF('10. Gantt S2L'!F$6:F$200,"*"&amp;B53&amp;"*"))</f>
        <v/>
      </c>
      <c r="D53" s="52" t="str">
        <f aca="false">IF(B53="","",COUNTIFS('10. Gantt S2L'!E$6:E$200,"*"&amp;B53&amp;"*",'10. Gantt S2L'!Q$6:Q$200,"À temps"))</f>
        <v/>
      </c>
      <c r="E53" s="52" t="str">
        <f aca="false">IF(B53="","",COUNTIFS('10. Gantt S2L'!E$6:E$200,"*"&amp;B53&amp;"*",'10. Gantt S2L'!Q$6:Q$200,"À surveiller"))</f>
        <v/>
      </c>
      <c r="F53" s="52" t="str">
        <f aca="false">IF(B53="","",COUNTIFS('10. Gantt S2L'!E$6:E$200,"*"&amp;B53&amp;"*",'10. Gantt S2L'!Q$6:Q$200,"En retard"))</f>
        <v/>
      </c>
      <c r="G53" s="52" t="str">
        <f aca="false">IF(B53="","",COUNTIFS('10. Gantt S2L'!E$6:E$200,"*"&amp;B53&amp;"*",'10. Gantt S2L'!Q$6:Q$200,"Critique"))</f>
        <v/>
      </c>
      <c r="H53" s="52" t="str">
        <f aca="false">IF(B53="","",COUNTIFS('10. Gantt S2L'!E$6:E$200,"*"&amp;B53&amp;"*",'10. Gantt S2L'!Q$6:Q$200,"Terminé à temps"))</f>
        <v/>
      </c>
      <c r="I53" s="52" t="str">
        <f aca="false">IF(B53="","",COUNTIFS('10. Gantt S2L'!E$6:E$200,"*"&amp;B53&amp;"*",'10. Gantt S2L'!Q$6:Q$200,"Terminé hors délai"))</f>
        <v/>
      </c>
      <c r="J53" s="55" t="str">
        <f aca="false">IF(B53="","",IFERROR(SUMPRODUCT(('10. Gantt S2L'!E$6:E$200=B53)*('10. Gantt S2L'!R$6:R$200))/SUMPRODUCT(--('10. Gantt S2L'!E$6:E$200=B53)),0))</f>
        <v/>
      </c>
      <c r="K53" s="91" t="str">
        <f aca="false">IF(B53="","",IFERROR(SUMPRODUCT(('10. Gantt S2L'!E$6:E$200=B53)*('10. Gantt S2L'!R$6:R$200)*('10. Gantt S2L'!G$6:G$200))/SUMPRODUCT(--('10. Gantt S2L'!E$6:E$200=B53)*('10. Gantt S2L'!G$6:G$200))/100,0))</f>
        <v/>
      </c>
      <c r="L53" s="38" t="str">
        <f aca="false">IF(B53="","",IF(K53&gt;=0.85,"Excellent",IF(K53&gt;=0.65,"Satisfaisant",IF(K53&gt;=0.4,"À améliorer",IF(K53&gt;0,"Insuffisant","Non évalué")))))</f>
        <v/>
      </c>
    </row>
    <row r="54" customFormat="false" ht="24" hidden="false" customHeight="true" outlineLevel="0" collapsed="false">
      <c r="B54" s="10" t="str">
        <f aca="false">IF('3. Équipe'!C54="","",'3. Équipe'!C54)</f>
        <v/>
      </c>
      <c r="C54" s="52" t="str">
        <f aca="false">IF(B54="","",COUNTIF('10. Gantt S2L'!E$6:E$200,"*"&amp;B54&amp;"*")+COUNTIF('10. Gantt S2L'!F$6:F$200,"*"&amp;B54&amp;"*"))</f>
        <v/>
      </c>
      <c r="D54" s="52" t="str">
        <f aca="false">IF(B54="","",COUNTIFS('10. Gantt S2L'!E$6:E$200,"*"&amp;B54&amp;"*",'10. Gantt S2L'!Q$6:Q$200,"À temps"))</f>
        <v/>
      </c>
      <c r="E54" s="52" t="str">
        <f aca="false">IF(B54="","",COUNTIFS('10. Gantt S2L'!E$6:E$200,"*"&amp;B54&amp;"*",'10. Gantt S2L'!Q$6:Q$200,"À surveiller"))</f>
        <v/>
      </c>
      <c r="F54" s="52" t="str">
        <f aca="false">IF(B54="","",COUNTIFS('10. Gantt S2L'!E$6:E$200,"*"&amp;B54&amp;"*",'10. Gantt S2L'!Q$6:Q$200,"En retard"))</f>
        <v/>
      </c>
      <c r="G54" s="52" t="str">
        <f aca="false">IF(B54="","",COUNTIFS('10. Gantt S2L'!E$6:E$200,"*"&amp;B54&amp;"*",'10. Gantt S2L'!Q$6:Q$200,"Critique"))</f>
        <v/>
      </c>
      <c r="H54" s="52" t="str">
        <f aca="false">IF(B54="","",COUNTIFS('10. Gantt S2L'!E$6:E$200,"*"&amp;B54&amp;"*",'10. Gantt S2L'!Q$6:Q$200,"Terminé à temps"))</f>
        <v/>
      </c>
      <c r="I54" s="52" t="str">
        <f aca="false">IF(B54="","",COUNTIFS('10. Gantt S2L'!E$6:E$200,"*"&amp;B54&amp;"*",'10. Gantt S2L'!Q$6:Q$200,"Terminé hors délai"))</f>
        <v/>
      </c>
      <c r="J54" s="55" t="str">
        <f aca="false">IF(B54="","",IFERROR(SUMPRODUCT(('10. Gantt S2L'!E$6:E$200=B54)*('10. Gantt S2L'!R$6:R$200))/SUMPRODUCT(--('10. Gantt S2L'!E$6:E$200=B54)),0))</f>
        <v/>
      </c>
      <c r="K54" s="91" t="str">
        <f aca="false">IF(B54="","",IFERROR(SUMPRODUCT(('10. Gantt S2L'!E$6:E$200=B54)*('10. Gantt S2L'!R$6:R$200)*('10. Gantt S2L'!G$6:G$200))/SUMPRODUCT(--('10. Gantt S2L'!E$6:E$200=B54)*('10. Gantt S2L'!G$6:G$200))/100,0))</f>
        <v/>
      </c>
      <c r="L54" s="27" t="str">
        <f aca="false">IF(B54="","",IF(K54&gt;=0.85,"Excellent",IF(K54&gt;=0.65,"Satisfaisant",IF(K54&gt;=0.4,"À améliorer",IF(K54&gt;0,"Insuffisant","Non évalué")))))</f>
        <v/>
      </c>
    </row>
    <row r="55" customFormat="false" ht="24" hidden="false" customHeight="true" outlineLevel="0" collapsed="false">
      <c r="B55" s="6" t="str">
        <f aca="false">IF('3. Équipe'!C55="","",'3. Équipe'!C55)</f>
        <v/>
      </c>
      <c r="C55" s="52" t="str">
        <f aca="false">IF(B55="","",COUNTIF('10. Gantt S2L'!E$6:E$200,"*"&amp;B55&amp;"*")+COUNTIF('10. Gantt S2L'!F$6:F$200,"*"&amp;B55&amp;"*"))</f>
        <v/>
      </c>
      <c r="D55" s="52" t="str">
        <f aca="false">IF(B55="","",COUNTIFS('10. Gantt S2L'!E$6:E$200,"*"&amp;B55&amp;"*",'10. Gantt S2L'!Q$6:Q$200,"À temps"))</f>
        <v/>
      </c>
      <c r="E55" s="52" t="str">
        <f aca="false">IF(B55="","",COUNTIFS('10. Gantt S2L'!E$6:E$200,"*"&amp;B55&amp;"*",'10. Gantt S2L'!Q$6:Q$200,"À surveiller"))</f>
        <v/>
      </c>
      <c r="F55" s="52" t="str">
        <f aca="false">IF(B55="","",COUNTIFS('10. Gantt S2L'!E$6:E$200,"*"&amp;B55&amp;"*",'10. Gantt S2L'!Q$6:Q$200,"En retard"))</f>
        <v/>
      </c>
      <c r="G55" s="52" t="str">
        <f aca="false">IF(B55="","",COUNTIFS('10. Gantt S2L'!E$6:E$200,"*"&amp;B55&amp;"*",'10. Gantt S2L'!Q$6:Q$200,"Critique"))</f>
        <v/>
      </c>
      <c r="H55" s="52" t="str">
        <f aca="false">IF(B55="","",COUNTIFS('10. Gantt S2L'!E$6:E$200,"*"&amp;B55&amp;"*",'10. Gantt S2L'!Q$6:Q$200,"Terminé à temps"))</f>
        <v/>
      </c>
      <c r="I55" s="52" t="str">
        <f aca="false">IF(B55="","",COUNTIFS('10. Gantt S2L'!E$6:E$200,"*"&amp;B55&amp;"*",'10. Gantt S2L'!Q$6:Q$200,"Terminé hors délai"))</f>
        <v/>
      </c>
      <c r="J55" s="55" t="str">
        <f aca="false">IF(B55="","",IFERROR(SUMPRODUCT(('10. Gantt S2L'!E$6:E$200=B55)*('10. Gantt S2L'!R$6:R$200))/SUMPRODUCT(--('10. Gantt S2L'!E$6:E$200=B55)),0))</f>
        <v/>
      </c>
      <c r="K55" s="91" t="str">
        <f aca="false">IF(B55="","",IFERROR(SUMPRODUCT(('10. Gantt S2L'!E$6:E$200=B55)*('10. Gantt S2L'!R$6:R$200)*('10. Gantt S2L'!G$6:G$200))/SUMPRODUCT(--('10. Gantt S2L'!E$6:E$200=B55)*('10. Gantt S2L'!G$6:G$200))/100,0))</f>
        <v/>
      </c>
      <c r="L55" s="38" t="str">
        <f aca="false">IF(B55="","",IF(K55&gt;=0.85,"Excellent",IF(K55&gt;=0.65,"Satisfaisant",IF(K55&gt;=0.4,"À améliorer",IF(K55&gt;0,"Insuffisant","Non évalué")))))</f>
        <v/>
      </c>
    </row>
  </sheetData>
  <mergeCells count="2">
    <mergeCell ref="B2:L2"/>
    <mergeCell ref="B3:L3"/>
  </mergeCells>
  <conditionalFormatting sqref="L6:L55">
    <cfRule type="cellIs" priority="2" operator="equal" aboveAverage="0" equalAverage="0" bottom="0" percent="0" rank="0" text="" dxfId="4">
      <formula>"Excellent"</formula>
    </cfRule>
    <cfRule type="cellIs" priority="3" operator="equal" aboveAverage="0" equalAverage="0" bottom="0" percent="0" rank="0" text="" dxfId="0">
      <formula>"Satisfaisant"</formula>
    </cfRule>
    <cfRule type="cellIs" priority="4" operator="equal" aboveAverage="0" equalAverage="0" bottom="0" percent="0" rank="0" text="" dxfId="1">
      <formula>"À améliorer"</formula>
    </cfRule>
    <cfRule type="cellIs" priority="5" operator="equal" aboveAverage="0" equalAverage="0" bottom="0" percent="0" rank="0" text="" dxfId="2">
      <formula>"Insuffisant"</formula>
    </cfRule>
    <cfRule type="cellIs" priority="6" operator="equal" aboveAverage="0" equalAverage="0" bottom="0" percent="0" rank="0" text="" dxfId="6">
      <formula>"Non évalué"</formula>
    </cfRule>
  </conditionalFormatting>
  <conditionalFormatting sqref="K6:K55">
    <cfRule type="colorScale" priority="7">
      <colorScale>
        <cfvo type="num" val="0"/>
        <cfvo type="num" val="0.5"/>
        <cfvo type="num" val="1"/>
        <color rgb="FFF8CBAD"/>
        <color rgb="FFFFF2CC"/>
        <color rgb="FFC6EFCE"/>
      </colorScale>
    </cfRule>
  </conditionalFormatting>
  <conditionalFormatting sqref="G6:G55">
    <cfRule type="cellIs" priority="8" operator="greaterThan" aboveAverage="0" equalAverage="0" bottom="0" percent="0" rank="0" text="" dxfId="8">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2"/>
    <col collapsed="false" customWidth="true" hidden="false" outlineLevel="0" max="5" min="4" style="1" width="11"/>
    <col collapsed="false" customWidth="true" hidden="false" outlineLevel="0" max="6" min="6" style="1" width="12"/>
    <col collapsed="false" customWidth="true" hidden="false" outlineLevel="0" max="7" min="7" style="1" width="11"/>
    <col collapsed="false" customWidth="true" hidden="false" outlineLevel="0" max="10" min="8" style="1" width="12"/>
    <col collapsed="false" customWidth="true" hidden="false" outlineLevel="0" max="11" min="11" style="1" width="13"/>
    <col collapsed="false" customWidth="true" hidden="false" outlineLevel="0" max="12" min="12" style="1" width="14"/>
    <col collapsed="false" customWidth="true" hidden="false" outlineLevel="0" max="13" min="13" style="1" width="28"/>
  </cols>
  <sheetData>
    <row r="2" customFormat="false" ht="27.75" hidden="false" customHeight="true" outlineLevel="0" collapsed="false">
      <c r="B2" s="99" t="s">
        <v>650</v>
      </c>
      <c r="C2" s="99"/>
      <c r="D2" s="99"/>
      <c r="E2" s="99"/>
      <c r="F2" s="99"/>
      <c r="G2" s="99"/>
      <c r="H2" s="99"/>
      <c r="I2" s="99"/>
      <c r="J2" s="99"/>
      <c r="K2" s="99"/>
      <c r="L2" s="99"/>
      <c r="M2" s="99"/>
    </row>
    <row r="3" customFormat="false" ht="21.75" hidden="false" customHeight="true" outlineLevel="0" collapsed="false">
      <c r="B3" s="89" t="s">
        <v>651</v>
      </c>
      <c r="C3" s="89"/>
      <c r="D3" s="89"/>
      <c r="E3" s="89"/>
      <c r="F3" s="89"/>
      <c r="G3" s="89"/>
      <c r="H3" s="89"/>
      <c r="I3" s="89"/>
      <c r="J3" s="89"/>
      <c r="K3" s="89"/>
      <c r="L3" s="89"/>
      <c r="M3" s="89"/>
    </row>
    <row r="5" customFormat="false" ht="37.5" hidden="false" customHeight="true" outlineLevel="0" collapsed="false">
      <c r="B5" s="4" t="s">
        <v>440</v>
      </c>
      <c r="C5" s="4" t="s">
        <v>652</v>
      </c>
      <c r="D5" s="4" t="s">
        <v>653</v>
      </c>
      <c r="E5" s="4" t="s">
        <v>654</v>
      </c>
      <c r="F5" s="4" t="s">
        <v>655</v>
      </c>
      <c r="G5" s="4" t="s">
        <v>656</v>
      </c>
      <c r="H5" s="4" t="s">
        <v>657</v>
      </c>
      <c r="I5" s="4" t="s">
        <v>25</v>
      </c>
      <c r="J5" s="4" t="s">
        <v>24</v>
      </c>
      <c r="K5" s="4" t="s">
        <v>23</v>
      </c>
      <c r="L5" s="4" t="s">
        <v>658</v>
      </c>
      <c r="M5" s="4" t="s">
        <v>659</v>
      </c>
    </row>
    <row r="6" customFormat="false" ht="24" hidden="false" customHeight="true" outlineLevel="0" collapsed="false">
      <c r="B6" s="10" t="str">
        <f aca="false">IF('3. Équipe'!C6="","",'3. Équipe'!C6)</f>
        <v>KASSIMOU Mountarou</v>
      </c>
      <c r="C6" s="52" t="n">
        <f aca="false">IF(B6="","",IFERROR(VLOOKUP(B6,'8. Responsables EQUIFILLES'!B:C,2,FALSE()),0))</f>
        <v>3</v>
      </c>
      <c r="D6" s="52" t="n">
        <f aca="false">IF(B6="","",IFERROR(VLOOKUP(B6,'13. Responsables S2L'!B:C,2,FALSE()),0))</f>
        <v>13</v>
      </c>
      <c r="E6" s="52" t="n">
        <f aca="false">IF(B6="","",IFERROR(C6,0)+IFERROR(D6,0))</f>
        <v>16</v>
      </c>
      <c r="F6" s="100" t="n">
        <f aca="false">IF(B6="","",IFERROR(VLOOKUP(B6,'8. Responsables EQUIFILLES'!B:K,10,FALSE()),0))</f>
        <v>0.314285714285714</v>
      </c>
      <c r="G6" s="100" t="n">
        <f aca="false">IF(B6="","",IFERROR(VLOOKUP(B6,'13. Responsables S2L'!B:K,10,FALSE()),0))</f>
        <v>0.116666666666667</v>
      </c>
      <c r="H6" s="91" t="n">
        <f aca="false">IF(B6="","",IFERROR((F6*IFERROR(C6,0)+G6*IFERROR(D6,0))/(IFERROR(C6,0)+IFERROR(D6,0)),0))</f>
        <v>0.153720238095238</v>
      </c>
      <c r="I6" s="52" t="n">
        <f aca="false">IF(B6="","",IFERROR(VLOOKUP(B6,'8. Responsables EQUIFILLES'!B:G,6,FALSE()),0)+IFERROR(VLOOKUP(B6,'13. Responsables S2L'!B:G,6,FALSE()),0))</f>
        <v>4</v>
      </c>
      <c r="J6" s="52" t="n">
        <f aca="false">IF(B6="","",IFERROR(VLOOKUP(B6,'8. Responsables EQUIFILLES'!B:F,5,FALSE()),0)+IFERROR(VLOOKUP(B6,'13. Responsables S2L'!B:F,5,FALSE()),0))</f>
        <v>2</v>
      </c>
      <c r="K6" s="52" t="n">
        <f aca="false">IF(B6="","",IFERROR(VLOOKUP(B6,'8. Responsables EQUIFILLES'!B:H,7,FALSE()),0)+IFERROR(VLOOKUP(B6,'8. Responsables EQUIFILLES'!B:I,8,FALSE()),0)+IFERROR(VLOOKUP(B6,'13. Responsables S2L'!B:H,7,FALSE()),0)+IFERROR(VLOOKUP(B6,'13. Responsables S2L'!B:I,8,FALSE()),0))</f>
        <v>0</v>
      </c>
      <c r="L6" s="27" t="str">
        <f aca="false">IF(B6="","",IF(H6&gt;=0.85,"Excellent",IF(H6&gt;=0.65,"Satisfaisant",IF(H6&gt;=0.4,"À améliorer",IF(H6&gt;0,"Insuffisant","Non évalué")))))</f>
        <v>Insuffisant</v>
      </c>
      <c r="M6" s="11" t="str">
        <f aca="false">IF(B6="","",IF(I6&gt;0,"⚠ Activités critiques à traiter",IF(J6&gt;2,"Plan d'action requis",IF(L6="Excellent","Maintenir le rythme",IF(L6="Satisfaisant","Continuer",IF(L6="À améliorer","Coaching nécessaire",IF(L6="Insuffisant","Plan d'amélioration urgent","À évaluer")))))))</f>
        <v>⚠ Activités critiques à traiter</v>
      </c>
    </row>
    <row r="7" customFormat="false" ht="24" hidden="false" customHeight="true" outlineLevel="0" collapsed="false">
      <c r="B7" s="6" t="str">
        <f aca="false">IF('3. Équipe'!C7="","",'3. Équipe'!C7)</f>
        <v>OLOMONCHIN Francis</v>
      </c>
      <c r="C7" s="52" t="n">
        <f aca="false">IF(B7="","",IFERROR(VLOOKUP(B7,'8. Responsables EQUIFILLES'!B:C,2,FALSE()),0))</f>
        <v>0</v>
      </c>
      <c r="D7" s="52" t="n">
        <f aca="false">IF(B7="","",IFERROR(VLOOKUP(B7,'13. Responsables S2L'!B:C,2,FALSE()),0))</f>
        <v>20</v>
      </c>
      <c r="E7" s="52" t="n">
        <f aca="false">IF(B7="","",IFERROR(C7,0)+IFERROR(D7,0))</f>
        <v>20</v>
      </c>
      <c r="F7" s="100" t="n">
        <f aca="false">IF(B7="","",IFERROR(VLOOKUP(B7,'8. Responsables EQUIFILLES'!B:K,10,FALSE()),0))</f>
        <v>0</v>
      </c>
      <c r="G7" s="100" t="n">
        <f aca="false">IF(B7="","",IFERROR(VLOOKUP(B7,'13. Responsables S2L'!B:K,10,FALSE()),0))</f>
        <v>0.401162790697674</v>
      </c>
      <c r="H7" s="91" t="n">
        <f aca="false">IF(B7="","",IFERROR((F7*IFERROR(C7,0)+G7*IFERROR(D7,0))/(IFERROR(C7,0)+IFERROR(D7,0)),0))</f>
        <v>0.401162790697675</v>
      </c>
      <c r="I7" s="52" t="n">
        <f aca="false">IF(B7="","",IFERROR(VLOOKUP(B7,'8. Responsables EQUIFILLES'!B:G,6,FALSE()),0)+IFERROR(VLOOKUP(B7,'13. Responsables S2L'!B:G,6,FALSE()),0))</f>
        <v>0</v>
      </c>
      <c r="J7" s="52" t="n">
        <f aca="false">IF(B7="","",IFERROR(VLOOKUP(B7,'8. Responsables EQUIFILLES'!B:F,5,FALSE()),0)+IFERROR(VLOOKUP(B7,'13. Responsables S2L'!B:F,5,FALSE()),0))</f>
        <v>7</v>
      </c>
      <c r="K7" s="52" t="n">
        <f aca="false">IF(B7="","",IFERROR(VLOOKUP(B7,'8. Responsables EQUIFILLES'!B:H,7,FALSE()),0)+IFERROR(VLOOKUP(B7,'8. Responsables EQUIFILLES'!B:I,8,FALSE()),0)+IFERROR(VLOOKUP(B7,'13. Responsables S2L'!B:H,7,FALSE()),0)+IFERROR(VLOOKUP(B7,'13. Responsables S2L'!B:I,8,FALSE()),0))</f>
        <v>0</v>
      </c>
      <c r="L7" s="38" t="str">
        <f aca="false">IF(B7="","",IF(H7&gt;=0.85,"Excellent",IF(H7&gt;=0.65,"Satisfaisant",IF(H7&gt;=0.4,"À améliorer",IF(H7&gt;0,"Insuffisant","Non évalué")))))</f>
        <v>À améliorer</v>
      </c>
      <c r="M7" s="7" t="str">
        <f aca="false">IF(B7="","",IF(I7&gt;0,"⚠ Activités critiques à traiter",IF(J7&gt;2,"Plan d'action requis",IF(L7="Excellent","Maintenir le rythme",IF(L7="Satisfaisant","Continuer",IF(L7="À améliorer","Coaching nécessaire",IF(L7="Insuffisant","Plan d'amélioration urgent","À évaluer")))))))</f>
        <v>Plan d'action requis</v>
      </c>
    </row>
    <row r="8" customFormat="false" ht="24" hidden="false" customHeight="true" outlineLevel="0" collapsed="false">
      <c r="B8" s="10" t="str">
        <f aca="false">IF('3. Équipe'!C8="","",'3. Équipe'!C8)</f>
        <v>INOUSSA Ousmanou</v>
      </c>
      <c r="C8" s="52" t="n">
        <f aca="false">IF(B8="","",IFERROR(VLOOKUP(B8,'8. Responsables EQUIFILLES'!B:C,2,FALSE()),0))</f>
        <v>0</v>
      </c>
      <c r="D8" s="52" t="n">
        <f aca="false">IF(B8="","",IFERROR(VLOOKUP(B8,'13. Responsables S2L'!B:C,2,FALSE()),0))</f>
        <v>8</v>
      </c>
      <c r="E8" s="52" t="n">
        <f aca="false">IF(B8="","",IFERROR(C8,0)+IFERROR(D8,0))</f>
        <v>8</v>
      </c>
      <c r="F8" s="100" t="n">
        <f aca="false">IF(B8="","",IFERROR(VLOOKUP(B8,'8. Responsables EQUIFILLES'!B:K,10,FALSE()),0))</f>
        <v>0</v>
      </c>
      <c r="G8" s="100" t="n">
        <f aca="false">IF(B8="","",IFERROR(VLOOKUP(B8,'13. Responsables S2L'!B:K,10,FALSE()),0))</f>
        <v>0.185714285714286</v>
      </c>
      <c r="H8" s="91" t="n">
        <f aca="false">IF(B8="","",IFERROR((F8*IFERROR(C8,0)+G8*IFERROR(D8,0))/(IFERROR(C8,0)+IFERROR(D8,0)),0))</f>
        <v>0.185714285714286</v>
      </c>
      <c r="I8" s="52" t="n">
        <f aca="false">IF(B8="","",IFERROR(VLOOKUP(B8,'8. Responsables EQUIFILLES'!B:G,6,FALSE()),0)+IFERROR(VLOOKUP(B8,'13. Responsables S2L'!B:G,6,FALSE()),0))</f>
        <v>2</v>
      </c>
      <c r="J8" s="52" t="n">
        <f aca="false">IF(B8="","",IFERROR(VLOOKUP(B8,'8. Responsables EQUIFILLES'!B:F,5,FALSE()),0)+IFERROR(VLOOKUP(B8,'13. Responsables S2L'!B:F,5,FALSE()),0))</f>
        <v>4</v>
      </c>
      <c r="K8" s="52" t="n">
        <f aca="false">IF(B8="","",IFERROR(VLOOKUP(B8,'8. Responsables EQUIFILLES'!B:H,7,FALSE()),0)+IFERROR(VLOOKUP(B8,'8. Responsables EQUIFILLES'!B:I,8,FALSE()),0)+IFERROR(VLOOKUP(B8,'13. Responsables S2L'!B:H,7,FALSE()),0)+IFERROR(VLOOKUP(B8,'13. Responsables S2L'!B:I,8,FALSE()),0))</f>
        <v>0</v>
      </c>
      <c r="L8" s="27" t="str">
        <f aca="false">IF(B8="","",IF(H8&gt;=0.85,"Excellent",IF(H8&gt;=0.65,"Satisfaisant",IF(H8&gt;=0.4,"À améliorer",IF(H8&gt;0,"Insuffisant","Non évalué")))))</f>
        <v>Insuffisant</v>
      </c>
      <c r="M8" s="11" t="str">
        <f aca="false">IF(B8="","",IF(I8&gt;0,"⚠ Activités critiques à traiter",IF(J8&gt;2,"Plan d'action requis",IF(L8="Excellent","Maintenir le rythme",IF(L8="Satisfaisant","Continuer",IF(L8="À améliorer","Coaching nécessaire",IF(L8="Insuffisant","Plan d'amélioration urgent","À évaluer")))))))</f>
        <v>⚠ Activités critiques à traiter</v>
      </c>
    </row>
    <row r="9" customFormat="false" ht="24" hidden="false" customHeight="true" outlineLevel="0" collapsed="false">
      <c r="B9" s="6" t="str">
        <f aca="false">IF('3. Équipe'!C9="","",'3. Équipe'!C9)</f>
        <v>BOUKARI AROUNA Rafiou</v>
      </c>
      <c r="C9" s="52" t="n">
        <f aca="false">IF(B9="","",IFERROR(VLOOKUP(B9,'8. Responsables EQUIFILLES'!B:C,2,FALSE()),0))</f>
        <v>15</v>
      </c>
      <c r="D9" s="52" t="n">
        <f aca="false">IF(B9="","",IFERROR(VLOOKUP(B9,'13. Responsables S2L'!B:C,2,FALSE()),0))</f>
        <v>1</v>
      </c>
      <c r="E9" s="52" t="n">
        <f aca="false">IF(B9="","",IFERROR(C9,0)+IFERROR(D9,0))</f>
        <v>16</v>
      </c>
      <c r="F9" s="100" t="n">
        <f aca="false">IF(B9="","",IFERROR(VLOOKUP(B9,'8. Responsables EQUIFILLES'!B:K,10,FALSE()),0))</f>
        <v>0.377272727272727</v>
      </c>
      <c r="G9" s="100" t="n">
        <f aca="false">IF(B9="","",IFERROR(VLOOKUP(B9,'13. Responsables S2L'!B:K,10,FALSE()),0))</f>
        <v>0</v>
      </c>
      <c r="H9" s="91" t="n">
        <f aca="false">IF(B9="","",IFERROR((F9*IFERROR(C9,0)+G9*IFERROR(D9,0))/(IFERROR(C9,0)+IFERROR(D9,0)),0))</f>
        <v>0.353693181818182</v>
      </c>
      <c r="I9" s="52" t="n">
        <f aca="false">IF(B9="","",IFERROR(VLOOKUP(B9,'8. Responsables EQUIFILLES'!B:G,6,FALSE()),0)+IFERROR(VLOOKUP(B9,'13. Responsables S2L'!B:G,6,FALSE()),0))</f>
        <v>1</v>
      </c>
      <c r="J9" s="52" t="n">
        <f aca="false">IF(B9="","",IFERROR(VLOOKUP(B9,'8. Responsables EQUIFILLES'!B:F,5,FALSE()),0)+IFERROR(VLOOKUP(B9,'13. Responsables S2L'!B:F,5,FALSE()),0))</f>
        <v>6</v>
      </c>
      <c r="K9" s="52" t="n">
        <f aca="false">IF(B9="","",IFERROR(VLOOKUP(B9,'8. Responsables EQUIFILLES'!B:H,7,FALSE()),0)+IFERROR(VLOOKUP(B9,'8. Responsables EQUIFILLES'!B:I,8,FALSE()),0)+IFERROR(VLOOKUP(B9,'13. Responsables S2L'!B:H,7,FALSE()),0)+IFERROR(VLOOKUP(B9,'13. Responsables S2L'!B:I,8,FALSE()),0))</f>
        <v>0</v>
      </c>
      <c r="L9" s="38" t="str">
        <f aca="false">IF(B9="","",IF(H9&gt;=0.85,"Excellent",IF(H9&gt;=0.65,"Satisfaisant",IF(H9&gt;=0.4,"À améliorer",IF(H9&gt;0,"Insuffisant","Non évalué")))))</f>
        <v>Insuffisant</v>
      </c>
      <c r="M9" s="7" t="str">
        <f aca="false">IF(B9="","",IF(I9&gt;0,"⚠ Activités critiques à traiter",IF(J9&gt;2,"Plan d'action requis",IF(L9="Excellent","Maintenir le rythme",IF(L9="Satisfaisant","Continuer",IF(L9="À améliorer","Coaching nécessaire",IF(L9="Insuffisant","Plan d'amélioration urgent","À évaluer")))))))</f>
        <v>⚠ Activités critiques à traiter</v>
      </c>
    </row>
    <row r="10" customFormat="false" ht="24" hidden="false" customHeight="true" outlineLevel="0" collapsed="false">
      <c r="B10" s="10" t="str">
        <f aca="false">IF('3. Équipe'!C10="","",'3. Équipe'!C10)</f>
        <v>BA KOTO Bona Sinani Rebecca</v>
      </c>
      <c r="C10" s="52" t="n">
        <f aca="false">IF(B10="","",IFERROR(VLOOKUP(B10,'8. Responsables EQUIFILLES'!B:C,2,FALSE()),0))</f>
        <v>14</v>
      </c>
      <c r="D10" s="52" t="n">
        <f aca="false">IF(B10="","",IFERROR(VLOOKUP(B10,'13. Responsables S2L'!B:C,2,FALSE()),0))</f>
        <v>8</v>
      </c>
      <c r="E10" s="52" t="n">
        <f aca="false">IF(B10="","",IFERROR(C10,0)+IFERROR(D10,0))</f>
        <v>22</v>
      </c>
      <c r="F10" s="100" t="n">
        <f aca="false">IF(B10="","",IFERROR(VLOOKUP(B10,'8. Responsables EQUIFILLES'!B:K,10,FALSE()),0))</f>
        <v>0.34375</v>
      </c>
      <c r="G10" s="100" t="n">
        <f aca="false">IF(B10="","",IFERROR(VLOOKUP(B10,'13. Responsables S2L'!B:K,10,FALSE()),0))</f>
        <v>0</v>
      </c>
      <c r="H10" s="91" t="n">
        <f aca="false">IF(B10="","",IFERROR((F10*IFERROR(C10,0)+G10*IFERROR(D10,0))/(IFERROR(C10,0)+IFERROR(D10,0)),0))</f>
        <v>0.21875</v>
      </c>
      <c r="I10" s="52" t="n">
        <f aca="false">IF(B10="","",IFERROR(VLOOKUP(B10,'8. Responsables EQUIFILLES'!B:G,6,FALSE()),0)+IFERROR(VLOOKUP(B10,'13. Responsables S2L'!B:G,6,FALSE()),0))</f>
        <v>0</v>
      </c>
      <c r="J10" s="52" t="n">
        <f aca="false">IF(B10="","",IFERROR(VLOOKUP(B10,'8. Responsables EQUIFILLES'!B:F,5,FALSE()),0)+IFERROR(VLOOKUP(B10,'13. Responsables S2L'!B:F,5,FALSE()),0))</f>
        <v>2</v>
      </c>
      <c r="K10" s="52" t="n">
        <f aca="false">IF(B10="","",IFERROR(VLOOKUP(B10,'8. Responsables EQUIFILLES'!B:H,7,FALSE()),0)+IFERROR(VLOOKUP(B10,'8. Responsables EQUIFILLES'!B:I,8,FALSE()),0)+IFERROR(VLOOKUP(B10,'13. Responsables S2L'!B:H,7,FALSE()),0)+IFERROR(VLOOKUP(B10,'13. Responsables S2L'!B:I,8,FALSE()),0))</f>
        <v>0</v>
      </c>
      <c r="L10" s="27" t="str">
        <f aca="false">IF(B10="","",IF(H10&gt;=0.85,"Excellent",IF(H10&gt;=0.65,"Satisfaisant",IF(H10&gt;=0.4,"À améliorer",IF(H10&gt;0,"Insuffisant","Non évalué")))))</f>
        <v>Insuffisant</v>
      </c>
      <c r="M10" s="11" t="str">
        <f aca="false">IF(B10="","",IF(I10&gt;0,"⚠ Activités critiques à traiter",IF(J10&gt;2,"Plan d'action requis",IF(L10="Excellent","Maintenir le rythme",IF(L10="Satisfaisant","Continuer",IF(L10="À améliorer","Coaching nécessaire",IF(L10="Insuffisant","Plan d'amélioration urgent","À évaluer")))))))</f>
        <v>Plan d'amélioration urgent</v>
      </c>
    </row>
    <row r="11" customFormat="false" ht="24" hidden="false" customHeight="true" outlineLevel="0" collapsed="false">
      <c r="B11" s="6" t="str">
        <f aca="false">IF('3. Équipe'!C11="","",'3. Équipe'!C11)</f>
        <v>ASSOUMA Nadjibatou</v>
      </c>
      <c r="C11" s="52" t="n">
        <f aca="false">IF(B11="","",IFERROR(VLOOKUP(B11,'8. Responsables EQUIFILLES'!B:C,2,FALSE()),0))</f>
        <v>1</v>
      </c>
      <c r="D11" s="52" t="n">
        <f aca="false">IF(B11="","",IFERROR(VLOOKUP(B11,'13. Responsables S2L'!B:C,2,FALSE()),0))</f>
        <v>0</v>
      </c>
      <c r="E11" s="52" t="n">
        <f aca="false">IF(B11="","",IFERROR(C11,0)+IFERROR(D11,0))</f>
        <v>1</v>
      </c>
      <c r="F11" s="100" t="n">
        <f aca="false">IF(B11="","",IFERROR(VLOOKUP(B11,'8. Responsables EQUIFILLES'!B:K,10,FALSE()),0))</f>
        <v>0</v>
      </c>
      <c r="G11" s="100" t="n">
        <f aca="false">IF(B11="","",IFERROR(VLOOKUP(B11,'13. Responsables S2L'!B:K,10,FALSE()),0))</f>
        <v>0</v>
      </c>
      <c r="H11" s="91" t="n">
        <f aca="false">IF(B11="","",IFERROR((F11*IFERROR(C11,0)+G11*IFERROR(D11,0))/(IFERROR(C11,0)+IFERROR(D11,0)),0))</f>
        <v>0</v>
      </c>
      <c r="I11" s="52" t="n">
        <f aca="false">IF(B11="","",IFERROR(VLOOKUP(B11,'8. Responsables EQUIFILLES'!B:G,6,FALSE()),0)+IFERROR(VLOOKUP(B11,'13. Responsables S2L'!B:G,6,FALSE()),0))</f>
        <v>0</v>
      </c>
      <c r="J11" s="52" t="n">
        <f aca="false">IF(B11="","",IFERROR(VLOOKUP(B11,'8. Responsables EQUIFILLES'!B:F,5,FALSE()),0)+IFERROR(VLOOKUP(B11,'13. Responsables S2L'!B:F,5,FALSE()),0))</f>
        <v>0</v>
      </c>
      <c r="K11" s="52" t="n">
        <f aca="false">IF(B11="","",IFERROR(VLOOKUP(B11,'8. Responsables EQUIFILLES'!B:H,7,FALSE()),0)+IFERROR(VLOOKUP(B11,'8. Responsables EQUIFILLES'!B:I,8,FALSE()),0)+IFERROR(VLOOKUP(B11,'13. Responsables S2L'!B:H,7,FALSE()),0)+IFERROR(VLOOKUP(B11,'13. Responsables S2L'!B:I,8,FALSE()),0))</f>
        <v>0</v>
      </c>
      <c r="L11" s="38" t="str">
        <f aca="false">IF(B11="","",IF(H11&gt;=0.85,"Excellent",IF(H11&gt;=0.65,"Satisfaisant",IF(H11&gt;=0.4,"À améliorer",IF(H11&gt;0,"Insuffisant","Non évalué")))))</f>
        <v>Non évalué</v>
      </c>
      <c r="M11" s="7" t="str">
        <f aca="false">IF(B11="","",IF(I11&gt;0,"⚠ Activités critiques à traiter",IF(J11&gt;2,"Plan d'action requis",IF(L11="Excellent","Maintenir le rythme",IF(L11="Satisfaisant","Continuer",IF(L11="À améliorer","Coaching nécessaire",IF(L11="Insuffisant","Plan d'amélioration urgent","À évaluer")))))))</f>
        <v>À évaluer</v>
      </c>
    </row>
    <row r="12" customFormat="false" ht="24" hidden="false" customHeight="true" outlineLevel="0" collapsed="false">
      <c r="B12" s="10" t="str">
        <f aca="false">IF('3. Équipe'!C12="","",'3. Équipe'!C12)</f>
        <v>BOUANDI Pierre</v>
      </c>
      <c r="C12" s="52" t="n">
        <f aca="false">IF(B12="","",IFERROR(VLOOKUP(B12,'8. Responsables EQUIFILLES'!B:C,2,FALSE()),0))</f>
        <v>0</v>
      </c>
      <c r="D12" s="52" t="n">
        <f aca="false">IF(B12="","",IFERROR(VLOOKUP(B12,'13. Responsables S2L'!B:C,2,FALSE()),0))</f>
        <v>0</v>
      </c>
      <c r="E12" s="52" t="n">
        <f aca="false">IF(B12="","",IFERROR(C12,0)+IFERROR(D12,0))</f>
        <v>0</v>
      </c>
      <c r="F12" s="100" t="n">
        <f aca="false">IF(B12="","",IFERROR(VLOOKUP(B12,'8. Responsables EQUIFILLES'!B:K,10,FALSE()),0))</f>
        <v>0</v>
      </c>
      <c r="G12" s="100" t="n">
        <f aca="false">IF(B12="","",IFERROR(VLOOKUP(B12,'13. Responsables S2L'!B:K,10,FALSE()),0))</f>
        <v>0</v>
      </c>
      <c r="H12" s="91" t="n">
        <f aca="false">IF(B12="","",IFERROR((F12*IFERROR(C12,0)+G12*IFERROR(D12,0))/(IFERROR(C12,0)+IFERROR(D12,0)),0))</f>
        <v>0</v>
      </c>
      <c r="I12" s="52" t="n">
        <f aca="false">IF(B12="","",IFERROR(VLOOKUP(B12,'8. Responsables EQUIFILLES'!B:G,6,FALSE()),0)+IFERROR(VLOOKUP(B12,'13. Responsables S2L'!B:G,6,FALSE()),0))</f>
        <v>0</v>
      </c>
      <c r="J12" s="52" t="n">
        <f aca="false">IF(B12="","",IFERROR(VLOOKUP(B12,'8. Responsables EQUIFILLES'!B:F,5,FALSE()),0)+IFERROR(VLOOKUP(B12,'13. Responsables S2L'!B:F,5,FALSE()),0))</f>
        <v>0</v>
      </c>
      <c r="K12" s="52" t="n">
        <f aca="false">IF(B12="","",IFERROR(VLOOKUP(B12,'8. Responsables EQUIFILLES'!B:H,7,FALSE()),0)+IFERROR(VLOOKUP(B12,'8. Responsables EQUIFILLES'!B:I,8,FALSE()),0)+IFERROR(VLOOKUP(B12,'13. Responsables S2L'!B:H,7,FALSE()),0)+IFERROR(VLOOKUP(B12,'13. Responsables S2L'!B:I,8,FALSE()),0))</f>
        <v>0</v>
      </c>
      <c r="L12" s="27" t="str">
        <f aca="false">IF(B12="","",IF(H12&gt;=0.85,"Excellent",IF(H12&gt;=0.65,"Satisfaisant",IF(H12&gt;=0.4,"À améliorer",IF(H12&gt;0,"Insuffisant","Non évalué")))))</f>
        <v>Non évalué</v>
      </c>
      <c r="M12" s="11" t="str">
        <f aca="false">IF(B12="","",IF(I12&gt;0,"⚠ Activités critiques à traiter",IF(J12&gt;2,"Plan d'action requis",IF(L12="Excellent","Maintenir le rythme",IF(L12="Satisfaisant","Continuer",IF(L12="À améliorer","Coaching nécessaire",IF(L12="Insuffisant","Plan d'amélioration urgent","À évaluer")))))))</f>
        <v>À évaluer</v>
      </c>
    </row>
    <row r="13" customFormat="false" ht="24" hidden="false" customHeight="true" outlineLevel="0" collapsed="false">
      <c r="B13" s="6" t="str">
        <f aca="false">IF('3. Équipe'!C13="","",'3. Équipe'!C13)</f>
        <v>MAMA Adou Razak</v>
      </c>
      <c r="C13" s="52" t="n">
        <f aca="false">IF(B13="","",IFERROR(VLOOKUP(B13,'8. Responsables EQUIFILLES'!B:C,2,FALSE()),0))</f>
        <v>0</v>
      </c>
      <c r="D13" s="52" t="n">
        <f aca="false">IF(B13="","",IFERROR(VLOOKUP(B13,'13. Responsables S2L'!B:C,2,FALSE()),0))</f>
        <v>0</v>
      </c>
      <c r="E13" s="52" t="n">
        <f aca="false">IF(B13="","",IFERROR(C13,0)+IFERROR(D13,0))</f>
        <v>0</v>
      </c>
      <c r="F13" s="100" t="n">
        <f aca="false">IF(B13="","",IFERROR(VLOOKUP(B13,'8. Responsables EQUIFILLES'!B:K,10,FALSE()),0))</f>
        <v>0</v>
      </c>
      <c r="G13" s="100" t="n">
        <f aca="false">IF(B13="","",IFERROR(VLOOKUP(B13,'13. Responsables S2L'!B:K,10,FALSE()),0))</f>
        <v>0</v>
      </c>
      <c r="H13" s="91" t="n">
        <f aca="false">IF(B13="","",IFERROR((F13*IFERROR(C13,0)+G13*IFERROR(D13,0))/(IFERROR(C13,0)+IFERROR(D13,0)),0))</f>
        <v>0</v>
      </c>
      <c r="I13" s="52" t="n">
        <f aca="false">IF(B13="","",IFERROR(VLOOKUP(B13,'8. Responsables EQUIFILLES'!B:G,6,FALSE()),0)+IFERROR(VLOOKUP(B13,'13. Responsables S2L'!B:G,6,FALSE()),0))</f>
        <v>0</v>
      </c>
      <c r="J13" s="52" t="n">
        <f aca="false">IF(B13="","",IFERROR(VLOOKUP(B13,'8. Responsables EQUIFILLES'!B:F,5,FALSE()),0)+IFERROR(VLOOKUP(B13,'13. Responsables S2L'!B:F,5,FALSE()),0))</f>
        <v>0</v>
      </c>
      <c r="K13" s="52" t="n">
        <f aca="false">IF(B13="","",IFERROR(VLOOKUP(B13,'8. Responsables EQUIFILLES'!B:H,7,FALSE()),0)+IFERROR(VLOOKUP(B13,'8. Responsables EQUIFILLES'!B:I,8,FALSE()),0)+IFERROR(VLOOKUP(B13,'13. Responsables S2L'!B:H,7,FALSE()),0)+IFERROR(VLOOKUP(B13,'13. Responsables S2L'!B:I,8,FALSE()),0))</f>
        <v>0</v>
      </c>
      <c r="L13" s="38" t="str">
        <f aca="false">IF(B13="","",IF(H13&gt;=0.85,"Excellent",IF(H13&gt;=0.65,"Satisfaisant",IF(H13&gt;=0.4,"À améliorer",IF(H13&gt;0,"Insuffisant","Non évalué")))))</f>
        <v>Non évalué</v>
      </c>
      <c r="M13" s="7" t="str">
        <f aca="false">IF(B13="","",IF(I13&gt;0,"⚠ Activités critiques à traiter",IF(J13&gt;2,"Plan d'action requis",IF(L13="Excellent","Maintenir le rythme",IF(L13="Satisfaisant","Continuer",IF(L13="À améliorer","Coaching nécessaire",IF(L13="Insuffisant","Plan d'amélioration urgent","À évaluer")))))))</f>
        <v>À évaluer</v>
      </c>
    </row>
    <row r="14" customFormat="false" ht="24" hidden="false" customHeight="true" outlineLevel="0" collapsed="false">
      <c r="B14" s="10" t="str">
        <f aca="false">IF('3. Équipe'!C14="","",'3. Équipe'!C14)</f>
        <v>ASSOUMA Amida</v>
      </c>
      <c r="C14" s="52" t="n">
        <f aca="false">IF(B14="","",IFERROR(VLOOKUP(B14,'8. Responsables EQUIFILLES'!B:C,2,FALSE()),0))</f>
        <v>0</v>
      </c>
      <c r="D14" s="52" t="n">
        <f aca="false">IF(B14="","",IFERROR(VLOOKUP(B14,'13. Responsables S2L'!B:C,2,FALSE()),0))</f>
        <v>0</v>
      </c>
      <c r="E14" s="52" t="n">
        <f aca="false">IF(B14="","",IFERROR(C14,0)+IFERROR(D14,0))</f>
        <v>0</v>
      </c>
      <c r="F14" s="100" t="n">
        <f aca="false">IF(B14="","",IFERROR(VLOOKUP(B14,'8. Responsables EQUIFILLES'!B:K,10,FALSE()),0))</f>
        <v>0</v>
      </c>
      <c r="G14" s="100" t="n">
        <f aca="false">IF(B14="","",IFERROR(VLOOKUP(B14,'13. Responsables S2L'!B:K,10,FALSE()),0))</f>
        <v>0</v>
      </c>
      <c r="H14" s="91" t="n">
        <f aca="false">IF(B14="","",IFERROR((F14*IFERROR(C14,0)+G14*IFERROR(D14,0))/(IFERROR(C14,0)+IFERROR(D14,0)),0))</f>
        <v>0</v>
      </c>
      <c r="I14" s="52" t="n">
        <f aca="false">IF(B14="","",IFERROR(VLOOKUP(B14,'8. Responsables EQUIFILLES'!B:G,6,FALSE()),0)+IFERROR(VLOOKUP(B14,'13. Responsables S2L'!B:G,6,FALSE()),0))</f>
        <v>0</v>
      </c>
      <c r="J14" s="52" t="n">
        <f aca="false">IF(B14="","",IFERROR(VLOOKUP(B14,'8. Responsables EQUIFILLES'!B:F,5,FALSE()),0)+IFERROR(VLOOKUP(B14,'13. Responsables S2L'!B:F,5,FALSE()),0))</f>
        <v>0</v>
      </c>
      <c r="K14" s="52" t="n">
        <f aca="false">IF(B14="","",IFERROR(VLOOKUP(B14,'8. Responsables EQUIFILLES'!B:H,7,FALSE()),0)+IFERROR(VLOOKUP(B14,'8. Responsables EQUIFILLES'!B:I,8,FALSE()),0)+IFERROR(VLOOKUP(B14,'13. Responsables S2L'!B:H,7,FALSE()),0)+IFERROR(VLOOKUP(B14,'13. Responsables S2L'!B:I,8,FALSE()),0))</f>
        <v>0</v>
      </c>
      <c r="L14" s="27" t="str">
        <f aca="false">IF(B14="","",IF(H14&gt;=0.85,"Excellent",IF(H14&gt;=0.65,"Satisfaisant",IF(H14&gt;=0.4,"À améliorer",IF(H14&gt;0,"Insuffisant","Non évalué")))))</f>
        <v>Non évalué</v>
      </c>
      <c r="M14" s="11" t="str">
        <f aca="false">IF(B14="","",IF(I14&gt;0,"⚠ Activités critiques à traiter",IF(J14&gt;2,"Plan d'action requis",IF(L14="Excellent","Maintenir le rythme",IF(L14="Satisfaisant","Continuer",IF(L14="À améliorer","Coaching nécessaire",IF(L14="Insuffisant","Plan d'amélioration urgent","À évaluer")))))))</f>
        <v>À évaluer</v>
      </c>
    </row>
    <row r="15" customFormat="false" ht="24" hidden="false" customHeight="true" outlineLevel="0" collapsed="false">
      <c r="B15" s="6" t="str">
        <f aca="false">IF('3. Équipe'!C15="","",'3. Équipe'!C15)</f>
        <v>AGONNOUDE Murielle</v>
      </c>
      <c r="C15" s="52" t="n">
        <f aca="false">IF(B15="","",IFERROR(VLOOKUP(B15,'8. Responsables EQUIFILLES'!B:C,2,FALSE()),0))</f>
        <v>0</v>
      </c>
      <c r="D15" s="52" t="n">
        <f aca="false">IF(B15="","",IFERROR(VLOOKUP(B15,'13. Responsables S2L'!B:C,2,FALSE()),0))</f>
        <v>0</v>
      </c>
      <c r="E15" s="52" t="n">
        <f aca="false">IF(B15="","",IFERROR(C15,0)+IFERROR(D15,0))</f>
        <v>0</v>
      </c>
      <c r="F15" s="100" t="n">
        <f aca="false">IF(B15="","",IFERROR(VLOOKUP(B15,'8. Responsables EQUIFILLES'!B:K,10,FALSE()),0))</f>
        <v>0</v>
      </c>
      <c r="G15" s="100" t="n">
        <f aca="false">IF(B15="","",IFERROR(VLOOKUP(B15,'13. Responsables S2L'!B:K,10,FALSE()),0))</f>
        <v>0</v>
      </c>
      <c r="H15" s="91" t="n">
        <f aca="false">IF(B15="","",IFERROR((F15*IFERROR(C15,0)+G15*IFERROR(D15,0))/(IFERROR(C15,0)+IFERROR(D15,0)),0))</f>
        <v>0</v>
      </c>
      <c r="I15" s="52" t="n">
        <f aca="false">IF(B15="","",IFERROR(VLOOKUP(B15,'8. Responsables EQUIFILLES'!B:G,6,FALSE()),0)+IFERROR(VLOOKUP(B15,'13. Responsables S2L'!B:G,6,FALSE()),0))</f>
        <v>0</v>
      </c>
      <c r="J15" s="52" t="n">
        <f aca="false">IF(B15="","",IFERROR(VLOOKUP(B15,'8. Responsables EQUIFILLES'!B:F,5,FALSE()),0)+IFERROR(VLOOKUP(B15,'13. Responsables S2L'!B:F,5,FALSE()),0))</f>
        <v>0</v>
      </c>
      <c r="K15" s="52" t="n">
        <f aca="false">IF(B15="","",IFERROR(VLOOKUP(B15,'8. Responsables EQUIFILLES'!B:H,7,FALSE()),0)+IFERROR(VLOOKUP(B15,'8. Responsables EQUIFILLES'!B:I,8,FALSE()),0)+IFERROR(VLOOKUP(B15,'13. Responsables S2L'!B:H,7,FALSE()),0)+IFERROR(VLOOKUP(B15,'13. Responsables S2L'!B:I,8,FALSE()),0))</f>
        <v>0</v>
      </c>
      <c r="L15" s="38" t="str">
        <f aca="false">IF(B15="","",IF(H15&gt;=0.85,"Excellent",IF(H15&gt;=0.65,"Satisfaisant",IF(H15&gt;=0.4,"À améliorer",IF(H15&gt;0,"Insuffisant","Non évalué")))))</f>
        <v>Non évalué</v>
      </c>
      <c r="M15" s="7" t="str">
        <f aca="false">IF(B15="","",IF(I15&gt;0,"⚠ Activités critiques à traiter",IF(J15&gt;2,"Plan d'action requis",IF(L15="Excellent","Maintenir le rythme",IF(L15="Satisfaisant","Continuer",IF(L15="À améliorer","Coaching nécessaire",IF(L15="Insuffisant","Plan d'amélioration urgent","À évaluer")))))))</f>
        <v>À évaluer</v>
      </c>
    </row>
    <row r="16" customFormat="false" ht="24" hidden="false" customHeight="true" outlineLevel="0" collapsed="false">
      <c r="B16" s="10" t="str">
        <f aca="false">IF('3. Équipe'!C16="","",'3. Équipe'!C16)</f>
        <v>AMADOU Nafissatou</v>
      </c>
      <c r="C16" s="52" t="n">
        <f aca="false">IF(B16="","",IFERROR(VLOOKUP(B16,'8. Responsables EQUIFILLES'!B:C,2,FALSE()),0))</f>
        <v>2</v>
      </c>
      <c r="D16" s="52" t="n">
        <f aca="false">IF(B16="","",IFERROR(VLOOKUP(B16,'13. Responsables S2L'!B:C,2,FALSE()),0))</f>
        <v>0</v>
      </c>
      <c r="E16" s="52" t="n">
        <f aca="false">IF(B16="","",IFERROR(C16,0)+IFERROR(D16,0))</f>
        <v>2</v>
      </c>
      <c r="F16" s="100" t="n">
        <f aca="false">IF(B16="","",IFERROR(VLOOKUP(B16,'8. Responsables EQUIFILLES'!B:K,10,FALSE()),0))</f>
        <v>0</v>
      </c>
      <c r="G16" s="100" t="n">
        <f aca="false">IF(B16="","",IFERROR(VLOOKUP(B16,'13. Responsables S2L'!B:K,10,FALSE()),0))</f>
        <v>0</v>
      </c>
      <c r="H16" s="91" t="n">
        <f aca="false">IF(B16="","",IFERROR((F16*IFERROR(C16,0)+G16*IFERROR(D16,0))/(IFERROR(C16,0)+IFERROR(D16,0)),0))</f>
        <v>0</v>
      </c>
      <c r="I16" s="52" t="n">
        <f aca="false">IF(B16="","",IFERROR(VLOOKUP(B16,'8. Responsables EQUIFILLES'!B:G,6,FALSE()),0)+IFERROR(VLOOKUP(B16,'13. Responsables S2L'!B:G,6,FALSE()),0))</f>
        <v>0</v>
      </c>
      <c r="J16" s="52" t="n">
        <f aca="false">IF(B16="","",IFERROR(VLOOKUP(B16,'8. Responsables EQUIFILLES'!B:F,5,FALSE()),0)+IFERROR(VLOOKUP(B16,'13. Responsables S2L'!B:F,5,FALSE()),0))</f>
        <v>0</v>
      </c>
      <c r="K16" s="52" t="n">
        <f aca="false">IF(B16="","",IFERROR(VLOOKUP(B16,'8. Responsables EQUIFILLES'!B:H,7,FALSE()),0)+IFERROR(VLOOKUP(B16,'8. Responsables EQUIFILLES'!B:I,8,FALSE()),0)+IFERROR(VLOOKUP(B16,'13. Responsables S2L'!B:H,7,FALSE()),0)+IFERROR(VLOOKUP(B16,'13. Responsables S2L'!B:I,8,FALSE()),0))</f>
        <v>0</v>
      </c>
      <c r="L16" s="27" t="str">
        <f aca="false">IF(B16="","",IF(H16&gt;=0.85,"Excellent",IF(H16&gt;=0.65,"Satisfaisant",IF(H16&gt;=0.4,"À améliorer",IF(H16&gt;0,"Insuffisant","Non évalué")))))</f>
        <v>Non évalué</v>
      </c>
      <c r="M16" s="11" t="str">
        <f aca="false">IF(B16="","",IF(I16&gt;0,"⚠ Activités critiques à traiter",IF(J16&gt;2,"Plan d'action requis",IF(L16="Excellent","Maintenir le rythme",IF(L16="Satisfaisant","Continuer",IF(L16="À améliorer","Coaching nécessaire",IF(L16="Insuffisant","Plan d'amélioration urgent","À évaluer")))))))</f>
        <v>À évaluer</v>
      </c>
    </row>
    <row r="17" customFormat="false" ht="24" hidden="false" customHeight="true" outlineLevel="0" collapsed="false">
      <c r="B17" s="6" t="str">
        <f aca="false">IF('3. Équipe'!C17="","",'3. Équipe'!C17)</f>
        <v>SARE KOMME Joséphine</v>
      </c>
      <c r="C17" s="52" t="n">
        <f aca="false">IF(B17="","",IFERROR(VLOOKUP(B17,'8. Responsables EQUIFILLES'!B:C,2,FALSE()),0))</f>
        <v>0</v>
      </c>
      <c r="D17" s="52" t="n">
        <f aca="false">IF(B17="","",IFERROR(VLOOKUP(B17,'13. Responsables S2L'!B:C,2,FALSE()),0))</f>
        <v>0</v>
      </c>
      <c r="E17" s="52" t="n">
        <f aca="false">IF(B17="","",IFERROR(C17,0)+IFERROR(D17,0))</f>
        <v>0</v>
      </c>
      <c r="F17" s="100" t="n">
        <f aca="false">IF(B17="","",IFERROR(VLOOKUP(B17,'8. Responsables EQUIFILLES'!B:K,10,FALSE()),0))</f>
        <v>0</v>
      </c>
      <c r="G17" s="100" t="n">
        <f aca="false">IF(B17="","",IFERROR(VLOOKUP(B17,'13. Responsables S2L'!B:K,10,FALSE()),0))</f>
        <v>0</v>
      </c>
      <c r="H17" s="91" t="n">
        <f aca="false">IF(B17="","",IFERROR((F17*IFERROR(C17,0)+G17*IFERROR(D17,0))/(IFERROR(C17,0)+IFERROR(D17,0)),0))</f>
        <v>0</v>
      </c>
      <c r="I17" s="52" t="n">
        <f aca="false">IF(B17="","",IFERROR(VLOOKUP(B17,'8. Responsables EQUIFILLES'!B:G,6,FALSE()),0)+IFERROR(VLOOKUP(B17,'13. Responsables S2L'!B:G,6,FALSE()),0))</f>
        <v>0</v>
      </c>
      <c r="J17" s="52" t="n">
        <f aca="false">IF(B17="","",IFERROR(VLOOKUP(B17,'8. Responsables EQUIFILLES'!B:F,5,FALSE()),0)+IFERROR(VLOOKUP(B17,'13. Responsables S2L'!B:F,5,FALSE()),0))</f>
        <v>0</v>
      </c>
      <c r="K17" s="52" t="n">
        <f aca="false">IF(B17="","",IFERROR(VLOOKUP(B17,'8. Responsables EQUIFILLES'!B:H,7,FALSE()),0)+IFERROR(VLOOKUP(B17,'8. Responsables EQUIFILLES'!B:I,8,FALSE()),0)+IFERROR(VLOOKUP(B17,'13. Responsables S2L'!B:H,7,FALSE()),0)+IFERROR(VLOOKUP(B17,'13. Responsables S2L'!B:I,8,FALSE()),0))</f>
        <v>0</v>
      </c>
      <c r="L17" s="38" t="str">
        <f aca="false">IF(B17="","",IF(H17&gt;=0.85,"Excellent",IF(H17&gt;=0.65,"Satisfaisant",IF(H17&gt;=0.4,"À améliorer",IF(H17&gt;0,"Insuffisant","Non évalué")))))</f>
        <v>Non évalué</v>
      </c>
      <c r="M17" s="7" t="str">
        <f aca="false">IF(B17="","",IF(I17&gt;0,"⚠ Activités critiques à traiter",IF(J17&gt;2,"Plan d'action requis",IF(L17="Excellent","Maintenir le rythme",IF(L17="Satisfaisant","Continuer",IF(L17="À améliorer","Coaching nécessaire",IF(L17="Insuffisant","Plan d'amélioration urgent","À évaluer")))))))</f>
        <v>À évaluer</v>
      </c>
    </row>
    <row r="18" customFormat="false" ht="24" hidden="false" customHeight="true" outlineLevel="0" collapsed="false">
      <c r="B18" s="10" t="str">
        <f aca="false">IF('3. Équipe'!C18="","",'3. Équipe'!C18)</f>
        <v>GOUDI Simoni</v>
      </c>
      <c r="C18" s="52" t="n">
        <f aca="false">IF(B18="","",IFERROR(VLOOKUP(B18,'8. Responsables EQUIFILLES'!B:C,2,FALSE()),0))</f>
        <v>0</v>
      </c>
      <c r="D18" s="52" t="n">
        <f aca="false">IF(B18="","",IFERROR(VLOOKUP(B18,'13. Responsables S2L'!B:C,2,FALSE()),0))</f>
        <v>0</v>
      </c>
      <c r="E18" s="52" t="n">
        <f aca="false">IF(B18="","",IFERROR(C18,0)+IFERROR(D18,0))</f>
        <v>0</v>
      </c>
      <c r="F18" s="100" t="n">
        <f aca="false">IF(B18="","",IFERROR(VLOOKUP(B18,'8. Responsables EQUIFILLES'!B:K,10,FALSE()),0))</f>
        <v>0</v>
      </c>
      <c r="G18" s="100" t="n">
        <f aca="false">IF(B18="","",IFERROR(VLOOKUP(B18,'13. Responsables S2L'!B:K,10,FALSE()),0))</f>
        <v>0</v>
      </c>
      <c r="H18" s="91" t="n">
        <f aca="false">IF(B18="","",IFERROR((F18*IFERROR(C18,0)+G18*IFERROR(D18,0))/(IFERROR(C18,0)+IFERROR(D18,0)),0))</f>
        <v>0</v>
      </c>
      <c r="I18" s="52" t="n">
        <f aca="false">IF(B18="","",IFERROR(VLOOKUP(B18,'8. Responsables EQUIFILLES'!B:G,6,FALSE()),0)+IFERROR(VLOOKUP(B18,'13. Responsables S2L'!B:G,6,FALSE()),0))</f>
        <v>0</v>
      </c>
      <c r="J18" s="52" t="n">
        <f aca="false">IF(B18="","",IFERROR(VLOOKUP(B18,'8. Responsables EQUIFILLES'!B:F,5,FALSE()),0)+IFERROR(VLOOKUP(B18,'13. Responsables S2L'!B:F,5,FALSE()),0))</f>
        <v>0</v>
      </c>
      <c r="K18" s="52" t="n">
        <f aca="false">IF(B18="","",IFERROR(VLOOKUP(B18,'8. Responsables EQUIFILLES'!B:H,7,FALSE()),0)+IFERROR(VLOOKUP(B18,'8. Responsables EQUIFILLES'!B:I,8,FALSE()),0)+IFERROR(VLOOKUP(B18,'13. Responsables S2L'!B:H,7,FALSE()),0)+IFERROR(VLOOKUP(B18,'13. Responsables S2L'!B:I,8,FALSE()),0))</f>
        <v>0</v>
      </c>
      <c r="L18" s="27" t="str">
        <f aca="false">IF(B18="","",IF(H18&gt;=0.85,"Excellent",IF(H18&gt;=0.65,"Satisfaisant",IF(H18&gt;=0.4,"À améliorer",IF(H18&gt;0,"Insuffisant","Non évalué")))))</f>
        <v>Non évalué</v>
      </c>
      <c r="M18" s="11" t="str">
        <f aca="false">IF(B18="","",IF(I18&gt;0,"⚠ Activités critiques à traiter",IF(J18&gt;2,"Plan d'action requis",IF(L18="Excellent","Maintenir le rythme",IF(L18="Satisfaisant","Continuer",IF(L18="À améliorer","Coaching nécessaire",IF(L18="Insuffisant","Plan d'amélioration urgent","À évaluer")))))))</f>
        <v>À évaluer</v>
      </c>
    </row>
    <row r="19" customFormat="false" ht="24" hidden="false" customHeight="true" outlineLevel="0" collapsed="false">
      <c r="B19" s="6" t="str">
        <f aca="false">IF('3. Équipe'!C19="","",'3. Équipe'!C19)</f>
        <v/>
      </c>
      <c r="C19" s="52" t="str">
        <f aca="false">IF(B19="","",IFERROR(VLOOKUP(B19,'8. Responsables EQUIFILLES'!B:C,2,FALSE()),0))</f>
        <v/>
      </c>
      <c r="D19" s="52" t="str">
        <f aca="false">IF(B19="","",IFERROR(VLOOKUP(B19,'13. Responsables S2L'!B:C,2,FALSE()),0))</f>
        <v/>
      </c>
      <c r="E19" s="52" t="str">
        <f aca="false">IF(B19="","",IFERROR(C19,0)+IFERROR(D19,0))</f>
        <v/>
      </c>
      <c r="F19" s="100" t="str">
        <f aca="false">IF(B19="","",IFERROR(VLOOKUP(B19,'8. Responsables EQUIFILLES'!B:K,10,FALSE()),0))</f>
        <v/>
      </c>
      <c r="G19" s="100" t="str">
        <f aca="false">IF(B19="","",IFERROR(VLOOKUP(B19,'13. Responsables S2L'!B:K,10,FALSE()),0))</f>
        <v/>
      </c>
      <c r="H19" s="91" t="str">
        <f aca="false">IF(B19="","",IFERROR((F19*IFERROR(C19,0)+G19*IFERROR(D19,0))/(IFERROR(C19,0)+IFERROR(D19,0)),0))</f>
        <v/>
      </c>
      <c r="I19" s="52" t="str">
        <f aca="false">IF(B19="","",IFERROR(VLOOKUP(B19,'8. Responsables EQUIFILLES'!B:G,6,FALSE()),0)+IFERROR(VLOOKUP(B19,'13. Responsables S2L'!B:G,6,FALSE()),0))</f>
        <v/>
      </c>
      <c r="J19" s="52" t="str">
        <f aca="false">IF(B19="","",IFERROR(VLOOKUP(B19,'8. Responsables EQUIFILLES'!B:F,5,FALSE()),0)+IFERROR(VLOOKUP(B19,'13. Responsables S2L'!B:F,5,FALSE()),0))</f>
        <v/>
      </c>
      <c r="K19" s="52" t="str">
        <f aca="false">IF(B19="","",IFERROR(VLOOKUP(B19,'8. Responsables EQUIFILLES'!B:H,7,FALSE()),0)+IFERROR(VLOOKUP(B19,'8. Responsables EQUIFILLES'!B:I,8,FALSE()),0)+IFERROR(VLOOKUP(B19,'13. Responsables S2L'!B:H,7,FALSE()),0)+IFERROR(VLOOKUP(B19,'13. Responsables S2L'!B:I,8,FALSE()),0))</f>
        <v/>
      </c>
      <c r="L19" s="38" t="str">
        <f aca="false">IF(B19="","",IF(H19&gt;=0.85,"Excellent",IF(H19&gt;=0.65,"Satisfaisant",IF(H19&gt;=0.4,"À améliorer",IF(H19&gt;0,"Insuffisant","Non évalué")))))</f>
        <v/>
      </c>
      <c r="M19" s="7" t="str">
        <f aca="false">IF(B19="","",IF(I19&gt;0,"⚠ Activités critiques à traiter",IF(J19&gt;2,"Plan d'action requis",IF(L19="Excellent","Maintenir le rythme",IF(L19="Satisfaisant","Continuer",IF(L19="À améliorer","Coaching nécessaire",IF(L19="Insuffisant","Plan d'amélioration urgent","À évaluer")))))))</f>
        <v/>
      </c>
    </row>
    <row r="20" customFormat="false" ht="24" hidden="false" customHeight="true" outlineLevel="0" collapsed="false">
      <c r="B20" s="10" t="str">
        <f aca="false">IF('3. Équipe'!C20="","",'3. Équipe'!C20)</f>
        <v/>
      </c>
      <c r="C20" s="52" t="str">
        <f aca="false">IF(B20="","",IFERROR(VLOOKUP(B20,'8. Responsables EQUIFILLES'!B:C,2,FALSE()),0))</f>
        <v/>
      </c>
      <c r="D20" s="52" t="str">
        <f aca="false">IF(B20="","",IFERROR(VLOOKUP(B20,'13. Responsables S2L'!B:C,2,FALSE()),0))</f>
        <v/>
      </c>
      <c r="E20" s="52" t="str">
        <f aca="false">IF(B20="","",IFERROR(C20,0)+IFERROR(D20,0))</f>
        <v/>
      </c>
      <c r="F20" s="100" t="str">
        <f aca="false">IF(B20="","",IFERROR(VLOOKUP(B20,'8. Responsables EQUIFILLES'!B:K,10,FALSE()),0))</f>
        <v/>
      </c>
      <c r="G20" s="100" t="str">
        <f aca="false">IF(B20="","",IFERROR(VLOOKUP(B20,'13. Responsables S2L'!B:K,10,FALSE()),0))</f>
        <v/>
      </c>
      <c r="H20" s="91" t="str">
        <f aca="false">IF(B20="","",IFERROR((F20*IFERROR(C20,0)+G20*IFERROR(D20,0))/(IFERROR(C20,0)+IFERROR(D20,0)),0))</f>
        <v/>
      </c>
      <c r="I20" s="52" t="str">
        <f aca="false">IF(B20="","",IFERROR(VLOOKUP(B20,'8. Responsables EQUIFILLES'!B:G,6,FALSE()),0)+IFERROR(VLOOKUP(B20,'13. Responsables S2L'!B:G,6,FALSE()),0))</f>
        <v/>
      </c>
      <c r="J20" s="52" t="str">
        <f aca="false">IF(B20="","",IFERROR(VLOOKUP(B20,'8. Responsables EQUIFILLES'!B:F,5,FALSE()),0)+IFERROR(VLOOKUP(B20,'13. Responsables S2L'!B:F,5,FALSE()),0))</f>
        <v/>
      </c>
      <c r="K20" s="52" t="str">
        <f aca="false">IF(B20="","",IFERROR(VLOOKUP(B20,'8. Responsables EQUIFILLES'!B:H,7,FALSE()),0)+IFERROR(VLOOKUP(B20,'8. Responsables EQUIFILLES'!B:I,8,FALSE()),0)+IFERROR(VLOOKUP(B20,'13. Responsables S2L'!B:H,7,FALSE()),0)+IFERROR(VLOOKUP(B20,'13. Responsables S2L'!B:I,8,FALSE()),0))</f>
        <v/>
      </c>
      <c r="L20" s="27" t="str">
        <f aca="false">IF(B20="","",IF(H20&gt;=0.85,"Excellent",IF(H20&gt;=0.65,"Satisfaisant",IF(H20&gt;=0.4,"À améliorer",IF(H20&gt;0,"Insuffisant","Non évalué")))))</f>
        <v/>
      </c>
      <c r="M20" s="11" t="str">
        <f aca="false">IF(B20="","",IF(I20&gt;0,"⚠ Activités critiques à traiter",IF(J20&gt;2,"Plan d'action requis",IF(L20="Excellent","Maintenir le rythme",IF(L20="Satisfaisant","Continuer",IF(L20="À améliorer","Coaching nécessaire",IF(L20="Insuffisant","Plan d'amélioration urgent","À évaluer")))))))</f>
        <v/>
      </c>
    </row>
    <row r="21" customFormat="false" ht="24" hidden="false" customHeight="true" outlineLevel="0" collapsed="false">
      <c r="B21" s="6" t="str">
        <f aca="false">IF('3. Équipe'!C21="","",'3. Équipe'!C21)</f>
        <v/>
      </c>
      <c r="C21" s="52" t="str">
        <f aca="false">IF(B21="","",IFERROR(VLOOKUP(B21,'8. Responsables EQUIFILLES'!B:C,2,FALSE()),0))</f>
        <v/>
      </c>
      <c r="D21" s="52" t="str">
        <f aca="false">IF(B21="","",IFERROR(VLOOKUP(B21,'13. Responsables S2L'!B:C,2,FALSE()),0))</f>
        <v/>
      </c>
      <c r="E21" s="52" t="str">
        <f aca="false">IF(B21="","",IFERROR(C21,0)+IFERROR(D21,0))</f>
        <v/>
      </c>
      <c r="F21" s="100" t="str">
        <f aca="false">IF(B21="","",IFERROR(VLOOKUP(B21,'8. Responsables EQUIFILLES'!B:K,10,FALSE()),0))</f>
        <v/>
      </c>
      <c r="G21" s="100" t="str">
        <f aca="false">IF(B21="","",IFERROR(VLOOKUP(B21,'13. Responsables S2L'!B:K,10,FALSE()),0))</f>
        <v/>
      </c>
      <c r="H21" s="91" t="str">
        <f aca="false">IF(B21="","",IFERROR((F21*IFERROR(C21,0)+G21*IFERROR(D21,0))/(IFERROR(C21,0)+IFERROR(D21,0)),0))</f>
        <v/>
      </c>
      <c r="I21" s="52" t="str">
        <f aca="false">IF(B21="","",IFERROR(VLOOKUP(B21,'8. Responsables EQUIFILLES'!B:G,6,FALSE()),0)+IFERROR(VLOOKUP(B21,'13. Responsables S2L'!B:G,6,FALSE()),0))</f>
        <v/>
      </c>
      <c r="J21" s="52" t="str">
        <f aca="false">IF(B21="","",IFERROR(VLOOKUP(B21,'8. Responsables EQUIFILLES'!B:F,5,FALSE()),0)+IFERROR(VLOOKUP(B21,'13. Responsables S2L'!B:F,5,FALSE()),0))</f>
        <v/>
      </c>
      <c r="K21" s="52" t="str">
        <f aca="false">IF(B21="","",IFERROR(VLOOKUP(B21,'8. Responsables EQUIFILLES'!B:H,7,FALSE()),0)+IFERROR(VLOOKUP(B21,'8. Responsables EQUIFILLES'!B:I,8,FALSE()),0)+IFERROR(VLOOKUP(B21,'13. Responsables S2L'!B:H,7,FALSE()),0)+IFERROR(VLOOKUP(B21,'13. Responsables S2L'!B:I,8,FALSE()),0))</f>
        <v/>
      </c>
      <c r="L21" s="38" t="str">
        <f aca="false">IF(B21="","",IF(H21&gt;=0.85,"Excellent",IF(H21&gt;=0.65,"Satisfaisant",IF(H21&gt;=0.4,"À améliorer",IF(H21&gt;0,"Insuffisant","Non évalué")))))</f>
        <v/>
      </c>
      <c r="M21" s="7" t="str">
        <f aca="false">IF(B21="","",IF(I21&gt;0,"⚠ Activités critiques à traiter",IF(J21&gt;2,"Plan d'action requis",IF(L21="Excellent","Maintenir le rythme",IF(L21="Satisfaisant","Continuer",IF(L21="À améliorer","Coaching nécessaire",IF(L21="Insuffisant","Plan d'amélioration urgent","À évaluer")))))))</f>
        <v/>
      </c>
    </row>
    <row r="22" customFormat="false" ht="24" hidden="false" customHeight="true" outlineLevel="0" collapsed="false">
      <c r="B22" s="10" t="str">
        <f aca="false">IF('3. Équipe'!C22="","",'3. Équipe'!C22)</f>
        <v/>
      </c>
      <c r="C22" s="52" t="str">
        <f aca="false">IF(B22="","",IFERROR(VLOOKUP(B22,'8. Responsables EQUIFILLES'!B:C,2,FALSE()),0))</f>
        <v/>
      </c>
      <c r="D22" s="52" t="str">
        <f aca="false">IF(B22="","",IFERROR(VLOOKUP(B22,'13. Responsables S2L'!B:C,2,FALSE()),0))</f>
        <v/>
      </c>
      <c r="E22" s="52" t="str">
        <f aca="false">IF(B22="","",IFERROR(C22,0)+IFERROR(D22,0))</f>
        <v/>
      </c>
      <c r="F22" s="100" t="str">
        <f aca="false">IF(B22="","",IFERROR(VLOOKUP(B22,'8. Responsables EQUIFILLES'!B:K,10,FALSE()),0))</f>
        <v/>
      </c>
      <c r="G22" s="100" t="str">
        <f aca="false">IF(B22="","",IFERROR(VLOOKUP(B22,'13. Responsables S2L'!B:K,10,FALSE()),0))</f>
        <v/>
      </c>
      <c r="H22" s="91" t="str">
        <f aca="false">IF(B22="","",IFERROR((F22*IFERROR(C22,0)+G22*IFERROR(D22,0))/(IFERROR(C22,0)+IFERROR(D22,0)),0))</f>
        <v/>
      </c>
      <c r="I22" s="52" t="str">
        <f aca="false">IF(B22="","",IFERROR(VLOOKUP(B22,'8. Responsables EQUIFILLES'!B:G,6,FALSE()),0)+IFERROR(VLOOKUP(B22,'13. Responsables S2L'!B:G,6,FALSE()),0))</f>
        <v/>
      </c>
      <c r="J22" s="52" t="str">
        <f aca="false">IF(B22="","",IFERROR(VLOOKUP(B22,'8. Responsables EQUIFILLES'!B:F,5,FALSE()),0)+IFERROR(VLOOKUP(B22,'13. Responsables S2L'!B:F,5,FALSE()),0))</f>
        <v/>
      </c>
      <c r="K22" s="52" t="str">
        <f aca="false">IF(B22="","",IFERROR(VLOOKUP(B22,'8. Responsables EQUIFILLES'!B:H,7,FALSE()),0)+IFERROR(VLOOKUP(B22,'8. Responsables EQUIFILLES'!B:I,8,FALSE()),0)+IFERROR(VLOOKUP(B22,'13. Responsables S2L'!B:H,7,FALSE()),0)+IFERROR(VLOOKUP(B22,'13. Responsables S2L'!B:I,8,FALSE()),0))</f>
        <v/>
      </c>
      <c r="L22" s="27" t="str">
        <f aca="false">IF(B22="","",IF(H22&gt;=0.85,"Excellent",IF(H22&gt;=0.65,"Satisfaisant",IF(H22&gt;=0.4,"À améliorer",IF(H22&gt;0,"Insuffisant","Non évalué")))))</f>
        <v/>
      </c>
      <c r="M22" s="11" t="str">
        <f aca="false">IF(B22="","",IF(I22&gt;0,"⚠ Activités critiques à traiter",IF(J22&gt;2,"Plan d'action requis",IF(L22="Excellent","Maintenir le rythme",IF(L22="Satisfaisant","Continuer",IF(L22="À améliorer","Coaching nécessaire",IF(L22="Insuffisant","Plan d'amélioration urgent","À évaluer")))))))</f>
        <v/>
      </c>
    </row>
    <row r="23" customFormat="false" ht="24" hidden="false" customHeight="true" outlineLevel="0" collapsed="false">
      <c r="B23" s="6" t="str">
        <f aca="false">IF('3. Équipe'!C23="","",'3. Équipe'!C23)</f>
        <v/>
      </c>
      <c r="C23" s="52" t="str">
        <f aca="false">IF(B23="","",IFERROR(VLOOKUP(B23,'8. Responsables EQUIFILLES'!B:C,2,FALSE()),0))</f>
        <v/>
      </c>
      <c r="D23" s="52" t="str">
        <f aca="false">IF(B23="","",IFERROR(VLOOKUP(B23,'13. Responsables S2L'!B:C,2,FALSE()),0))</f>
        <v/>
      </c>
      <c r="E23" s="52" t="str">
        <f aca="false">IF(B23="","",IFERROR(C23,0)+IFERROR(D23,0))</f>
        <v/>
      </c>
      <c r="F23" s="100" t="str">
        <f aca="false">IF(B23="","",IFERROR(VLOOKUP(B23,'8. Responsables EQUIFILLES'!B:K,10,FALSE()),0))</f>
        <v/>
      </c>
      <c r="G23" s="100" t="str">
        <f aca="false">IF(B23="","",IFERROR(VLOOKUP(B23,'13. Responsables S2L'!B:K,10,FALSE()),0))</f>
        <v/>
      </c>
      <c r="H23" s="91" t="str">
        <f aca="false">IF(B23="","",IFERROR((F23*IFERROR(C23,0)+G23*IFERROR(D23,0))/(IFERROR(C23,0)+IFERROR(D23,0)),0))</f>
        <v/>
      </c>
      <c r="I23" s="52" t="str">
        <f aca="false">IF(B23="","",IFERROR(VLOOKUP(B23,'8. Responsables EQUIFILLES'!B:G,6,FALSE()),0)+IFERROR(VLOOKUP(B23,'13. Responsables S2L'!B:G,6,FALSE()),0))</f>
        <v/>
      </c>
      <c r="J23" s="52" t="str">
        <f aca="false">IF(B23="","",IFERROR(VLOOKUP(B23,'8. Responsables EQUIFILLES'!B:F,5,FALSE()),0)+IFERROR(VLOOKUP(B23,'13. Responsables S2L'!B:F,5,FALSE()),0))</f>
        <v/>
      </c>
      <c r="K23" s="52" t="str">
        <f aca="false">IF(B23="","",IFERROR(VLOOKUP(B23,'8. Responsables EQUIFILLES'!B:H,7,FALSE()),0)+IFERROR(VLOOKUP(B23,'8. Responsables EQUIFILLES'!B:I,8,FALSE()),0)+IFERROR(VLOOKUP(B23,'13. Responsables S2L'!B:H,7,FALSE()),0)+IFERROR(VLOOKUP(B23,'13. Responsables S2L'!B:I,8,FALSE()),0))</f>
        <v/>
      </c>
      <c r="L23" s="38" t="str">
        <f aca="false">IF(B23="","",IF(H23&gt;=0.85,"Excellent",IF(H23&gt;=0.65,"Satisfaisant",IF(H23&gt;=0.4,"À améliorer",IF(H23&gt;0,"Insuffisant","Non évalué")))))</f>
        <v/>
      </c>
      <c r="M23" s="7" t="str">
        <f aca="false">IF(B23="","",IF(I23&gt;0,"⚠ Activités critiques à traiter",IF(J23&gt;2,"Plan d'action requis",IF(L23="Excellent","Maintenir le rythme",IF(L23="Satisfaisant","Continuer",IF(L23="À améliorer","Coaching nécessaire",IF(L23="Insuffisant","Plan d'amélioration urgent","À évaluer")))))))</f>
        <v/>
      </c>
    </row>
    <row r="24" customFormat="false" ht="24" hidden="false" customHeight="true" outlineLevel="0" collapsed="false">
      <c r="B24" s="10" t="str">
        <f aca="false">IF('3. Équipe'!C24="","",'3. Équipe'!C24)</f>
        <v/>
      </c>
      <c r="C24" s="52" t="str">
        <f aca="false">IF(B24="","",IFERROR(VLOOKUP(B24,'8. Responsables EQUIFILLES'!B:C,2,FALSE()),0))</f>
        <v/>
      </c>
      <c r="D24" s="52" t="str">
        <f aca="false">IF(B24="","",IFERROR(VLOOKUP(B24,'13. Responsables S2L'!B:C,2,FALSE()),0))</f>
        <v/>
      </c>
      <c r="E24" s="52" t="str">
        <f aca="false">IF(B24="","",IFERROR(C24,0)+IFERROR(D24,0))</f>
        <v/>
      </c>
      <c r="F24" s="100" t="str">
        <f aca="false">IF(B24="","",IFERROR(VLOOKUP(B24,'8. Responsables EQUIFILLES'!B:K,10,FALSE()),0))</f>
        <v/>
      </c>
      <c r="G24" s="100" t="str">
        <f aca="false">IF(B24="","",IFERROR(VLOOKUP(B24,'13. Responsables S2L'!B:K,10,FALSE()),0))</f>
        <v/>
      </c>
      <c r="H24" s="91" t="str">
        <f aca="false">IF(B24="","",IFERROR((F24*IFERROR(C24,0)+G24*IFERROR(D24,0))/(IFERROR(C24,0)+IFERROR(D24,0)),0))</f>
        <v/>
      </c>
      <c r="I24" s="52" t="str">
        <f aca="false">IF(B24="","",IFERROR(VLOOKUP(B24,'8. Responsables EQUIFILLES'!B:G,6,FALSE()),0)+IFERROR(VLOOKUP(B24,'13. Responsables S2L'!B:G,6,FALSE()),0))</f>
        <v/>
      </c>
      <c r="J24" s="52" t="str">
        <f aca="false">IF(B24="","",IFERROR(VLOOKUP(B24,'8. Responsables EQUIFILLES'!B:F,5,FALSE()),0)+IFERROR(VLOOKUP(B24,'13. Responsables S2L'!B:F,5,FALSE()),0))</f>
        <v/>
      </c>
      <c r="K24" s="52" t="str">
        <f aca="false">IF(B24="","",IFERROR(VLOOKUP(B24,'8. Responsables EQUIFILLES'!B:H,7,FALSE()),0)+IFERROR(VLOOKUP(B24,'8. Responsables EQUIFILLES'!B:I,8,FALSE()),0)+IFERROR(VLOOKUP(B24,'13. Responsables S2L'!B:H,7,FALSE()),0)+IFERROR(VLOOKUP(B24,'13. Responsables S2L'!B:I,8,FALSE()),0))</f>
        <v/>
      </c>
      <c r="L24" s="27" t="str">
        <f aca="false">IF(B24="","",IF(H24&gt;=0.85,"Excellent",IF(H24&gt;=0.65,"Satisfaisant",IF(H24&gt;=0.4,"À améliorer",IF(H24&gt;0,"Insuffisant","Non évalué")))))</f>
        <v/>
      </c>
      <c r="M24" s="11" t="str">
        <f aca="false">IF(B24="","",IF(I24&gt;0,"⚠ Activités critiques à traiter",IF(J24&gt;2,"Plan d'action requis",IF(L24="Excellent","Maintenir le rythme",IF(L24="Satisfaisant","Continuer",IF(L24="À améliorer","Coaching nécessaire",IF(L24="Insuffisant","Plan d'amélioration urgent","À évaluer")))))))</f>
        <v/>
      </c>
    </row>
    <row r="25" customFormat="false" ht="24" hidden="false" customHeight="true" outlineLevel="0" collapsed="false">
      <c r="B25" s="6" t="str">
        <f aca="false">IF('3. Équipe'!C25="","",'3. Équipe'!C25)</f>
        <v/>
      </c>
      <c r="C25" s="52" t="str">
        <f aca="false">IF(B25="","",IFERROR(VLOOKUP(B25,'8. Responsables EQUIFILLES'!B:C,2,FALSE()),0))</f>
        <v/>
      </c>
      <c r="D25" s="52" t="str">
        <f aca="false">IF(B25="","",IFERROR(VLOOKUP(B25,'13. Responsables S2L'!B:C,2,FALSE()),0))</f>
        <v/>
      </c>
      <c r="E25" s="52" t="str">
        <f aca="false">IF(B25="","",IFERROR(C25,0)+IFERROR(D25,0))</f>
        <v/>
      </c>
      <c r="F25" s="100" t="str">
        <f aca="false">IF(B25="","",IFERROR(VLOOKUP(B25,'8. Responsables EQUIFILLES'!B:K,10,FALSE()),0))</f>
        <v/>
      </c>
      <c r="G25" s="100" t="str">
        <f aca="false">IF(B25="","",IFERROR(VLOOKUP(B25,'13. Responsables S2L'!B:K,10,FALSE()),0))</f>
        <v/>
      </c>
      <c r="H25" s="91" t="str">
        <f aca="false">IF(B25="","",IFERROR((F25*IFERROR(C25,0)+G25*IFERROR(D25,0))/(IFERROR(C25,0)+IFERROR(D25,0)),0))</f>
        <v/>
      </c>
      <c r="I25" s="52" t="str">
        <f aca="false">IF(B25="","",IFERROR(VLOOKUP(B25,'8. Responsables EQUIFILLES'!B:G,6,FALSE()),0)+IFERROR(VLOOKUP(B25,'13. Responsables S2L'!B:G,6,FALSE()),0))</f>
        <v/>
      </c>
      <c r="J25" s="52" t="str">
        <f aca="false">IF(B25="","",IFERROR(VLOOKUP(B25,'8. Responsables EQUIFILLES'!B:F,5,FALSE()),0)+IFERROR(VLOOKUP(B25,'13. Responsables S2L'!B:F,5,FALSE()),0))</f>
        <v/>
      </c>
      <c r="K25" s="52" t="str">
        <f aca="false">IF(B25="","",IFERROR(VLOOKUP(B25,'8. Responsables EQUIFILLES'!B:H,7,FALSE()),0)+IFERROR(VLOOKUP(B25,'8. Responsables EQUIFILLES'!B:I,8,FALSE()),0)+IFERROR(VLOOKUP(B25,'13. Responsables S2L'!B:H,7,FALSE()),0)+IFERROR(VLOOKUP(B25,'13. Responsables S2L'!B:I,8,FALSE()),0))</f>
        <v/>
      </c>
      <c r="L25" s="38" t="str">
        <f aca="false">IF(B25="","",IF(H25&gt;=0.85,"Excellent",IF(H25&gt;=0.65,"Satisfaisant",IF(H25&gt;=0.4,"À améliorer",IF(H25&gt;0,"Insuffisant","Non évalué")))))</f>
        <v/>
      </c>
      <c r="M25" s="7" t="str">
        <f aca="false">IF(B25="","",IF(I25&gt;0,"⚠ Activités critiques à traiter",IF(J25&gt;2,"Plan d'action requis",IF(L25="Excellent","Maintenir le rythme",IF(L25="Satisfaisant","Continuer",IF(L25="À améliorer","Coaching nécessaire",IF(L25="Insuffisant","Plan d'amélioration urgent","À évaluer")))))))</f>
        <v/>
      </c>
    </row>
    <row r="26" customFormat="false" ht="24" hidden="false" customHeight="true" outlineLevel="0" collapsed="false">
      <c r="B26" s="10" t="str">
        <f aca="false">IF('3. Équipe'!C26="","",'3. Équipe'!C26)</f>
        <v/>
      </c>
      <c r="C26" s="52" t="str">
        <f aca="false">IF(B26="","",IFERROR(VLOOKUP(B26,'8. Responsables EQUIFILLES'!B:C,2,FALSE()),0))</f>
        <v/>
      </c>
      <c r="D26" s="52" t="str">
        <f aca="false">IF(B26="","",IFERROR(VLOOKUP(B26,'13. Responsables S2L'!B:C,2,FALSE()),0))</f>
        <v/>
      </c>
      <c r="E26" s="52" t="str">
        <f aca="false">IF(B26="","",IFERROR(C26,0)+IFERROR(D26,0))</f>
        <v/>
      </c>
      <c r="F26" s="100" t="str">
        <f aca="false">IF(B26="","",IFERROR(VLOOKUP(B26,'8. Responsables EQUIFILLES'!B:K,10,FALSE()),0))</f>
        <v/>
      </c>
      <c r="G26" s="100" t="str">
        <f aca="false">IF(B26="","",IFERROR(VLOOKUP(B26,'13. Responsables S2L'!B:K,10,FALSE()),0))</f>
        <v/>
      </c>
      <c r="H26" s="91" t="str">
        <f aca="false">IF(B26="","",IFERROR((F26*IFERROR(C26,0)+G26*IFERROR(D26,0))/(IFERROR(C26,0)+IFERROR(D26,0)),0))</f>
        <v/>
      </c>
      <c r="I26" s="52" t="str">
        <f aca="false">IF(B26="","",IFERROR(VLOOKUP(B26,'8. Responsables EQUIFILLES'!B:G,6,FALSE()),0)+IFERROR(VLOOKUP(B26,'13. Responsables S2L'!B:G,6,FALSE()),0))</f>
        <v/>
      </c>
      <c r="J26" s="52" t="str">
        <f aca="false">IF(B26="","",IFERROR(VLOOKUP(B26,'8. Responsables EQUIFILLES'!B:F,5,FALSE()),0)+IFERROR(VLOOKUP(B26,'13. Responsables S2L'!B:F,5,FALSE()),0))</f>
        <v/>
      </c>
      <c r="K26" s="52" t="str">
        <f aca="false">IF(B26="","",IFERROR(VLOOKUP(B26,'8. Responsables EQUIFILLES'!B:H,7,FALSE()),0)+IFERROR(VLOOKUP(B26,'8. Responsables EQUIFILLES'!B:I,8,FALSE()),0)+IFERROR(VLOOKUP(B26,'13. Responsables S2L'!B:H,7,FALSE()),0)+IFERROR(VLOOKUP(B26,'13. Responsables S2L'!B:I,8,FALSE()),0))</f>
        <v/>
      </c>
      <c r="L26" s="27" t="str">
        <f aca="false">IF(B26="","",IF(H26&gt;=0.85,"Excellent",IF(H26&gt;=0.65,"Satisfaisant",IF(H26&gt;=0.4,"À améliorer",IF(H26&gt;0,"Insuffisant","Non évalué")))))</f>
        <v/>
      </c>
      <c r="M26" s="11" t="str">
        <f aca="false">IF(B26="","",IF(I26&gt;0,"⚠ Activités critiques à traiter",IF(J26&gt;2,"Plan d'action requis",IF(L26="Excellent","Maintenir le rythme",IF(L26="Satisfaisant","Continuer",IF(L26="À améliorer","Coaching nécessaire",IF(L26="Insuffisant","Plan d'amélioration urgent","À évaluer")))))))</f>
        <v/>
      </c>
    </row>
    <row r="27" customFormat="false" ht="24" hidden="false" customHeight="true" outlineLevel="0" collapsed="false">
      <c r="B27" s="6" t="str">
        <f aca="false">IF('3. Équipe'!C27="","",'3. Équipe'!C27)</f>
        <v/>
      </c>
      <c r="C27" s="52" t="str">
        <f aca="false">IF(B27="","",IFERROR(VLOOKUP(B27,'8. Responsables EQUIFILLES'!B:C,2,FALSE()),0))</f>
        <v/>
      </c>
      <c r="D27" s="52" t="str">
        <f aca="false">IF(B27="","",IFERROR(VLOOKUP(B27,'13. Responsables S2L'!B:C,2,FALSE()),0))</f>
        <v/>
      </c>
      <c r="E27" s="52" t="str">
        <f aca="false">IF(B27="","",IFERROR(C27,0)+IFERROR(D27,0))</f>
        <v/>
      </c>
      <c r="F27" s="100" t="str">
        <f aca="false">IF(B27="","",IFERROR(VLOOKUP(B27,'8. Responsables EQUIFILLES'!B:K,10,FALSE()),0))</f>
        <v/>
      </c>
      <c r="G27" s="100" t="str">
        <f aca="false">IF(B27="","",IFERROR(VLOOKUP(B27,'13. Responsables S2L'!B:K,10,FALSE()),0))</f>
        <v/>
      </c>
      <c r="H27" s="91" t="str">
        <f aca="false">IF(B27="","",IFERROR((F27*IFERROR(C27,0)+G27*IFERROR(D27,0))/(IFERROR(C27,0)+IFERROR(D27,0)),0))</f>
        <v/>
      </c>
      <c r="I27" s="52" t="str">
        <f aca="false">IF(B27="","",IFERROR(VLOOKUP(B27,'8. Responsables EQUIFILLES'!B:G,6,FALSE()),0)+IFERROR(VLOOKUP(B27,'13. Responsables S2L'!B:G,6,FALSE()),0))</f>
        <v/>
      </c>
      <c r="J27" s="52" t="str">
        <f aca="false">IF(B27="","",IFERROR(VLOOKUP(B27,'8. Responsables EQUIFILLES'!B:F,5,FALSE()),0)+IFERROR(VLOOKUP(B27,'13. Responsables S2L'!B:F,5,FALSE()),0))</f>
        <v/>
      </c>
      <c r="K27" s="52" t="str">
        <f aca="false">IF(B27="","",IFERROR(VLOOKUP(B27,'8. Responsables EQUIFILLES'!B:H,7,FALSE()),0)+IFERROR(VLOOKUP(B27,'8. Responsables EQUIFILLES'!B:I,8,FALSE()),0)+IFERROR(VLOOKUP(B27,'13. Responsables S2L'!B:H,7,FALSE()),0)+IFERROR(VLOOKUP(B27,'13. Responsables S2L'!B:I,8,FALSE()),0))</f>
        <v/>
      </c>
      <c r="L27" s="38" t="str">
        <f aca="false">IF(B27="","",IF(H27&gt;=0.85,"Excellent",IF(H27&gt;=0.65,"Satisfaisant",IF(H27&gt;=0.4,"À améliorer",IF(H27&gt;0,"Insuffisant","Non évalué")))))</f>
        <v/>
      </c>
      <c r="M27" s="7" t="str">
        <f aca="false">IF(B27="","",IF(I27&gt;0,"⚠ Activités critiques à traiter",IF(J27&gt;2,"Plan d'action requis",IF(L27="Excellent","Maintenir le rythme",IF(L27="Satisfaisant","Continuer",IF(L27="À améliorer","Coaching nécessaire",IF(L27="Insuffisant","Plan d'amélioration urgent","À évaluer")))))))</f>
        <v/>
      </c>
    </row>
    <row r="28" customFormat="false" ht="24" hidden="false" customHeight="true" outlineLevel="0" collapsed="false">
      <c r="B28" s="10" t="str">
        <f aca="false">IF('3. Équipe'!C28="","",'3. Équipe'!C28)</f>
        <v/>
      </c>
      <c r="C28" s="52" t="str">
        <f aca="false">IF(B28="","",IFERROR(VLOOKUP(B28,'8. Responsables EQUIFILLES'!B:C,2,FALSE()),0))</f>
        <v/>
      </c>
      <c r="D28" s="52" t="str">
        <f aca="false">IF(B28="","",IFERROR(VLOOKUP(B28,'13. Responsables S2L'!B:C,2,FALSE()),0))</f>
        <v/>
      </c>
      <c r="E28" s="52" t="str">
        <f aca="false">IF(B28="","",IFERROR(C28,0)+IFERROR(D28,0))</f>
        <v/>
      </c>
      <c r="F28" s="100" t="str">
        <f aca="false">IF(B28="","",IFERROR(VLOOKUP(B28,'8. Responsables EQUIFILLES'!B:K,10,FALSE()),0))</f>
        <v/>
      </c>
      <c r="G28" s="100" t="str">
        <f aca="false">IF(B28="","",IFERROR(VLOOKUP(B28,'13. Responsables S2L'!B:K,10,FALSE()),0))</f>
        <v/>
      </c>
      <c r="H28" s="91" t="str">
        <f aca="false">IF(B28="","",IFERROR((F28*IFERROR(C28,0)+G28*IFERROR(D28,0))/(IFERROR(C28,0)+IFERROR(D28,0)),0))</f>
        <v/>
      </c>
      <c r="I28" s="52" t="str">
        <f aca="false">IF(B28="","",IFERROR(VLOOKUP(B28,'8. Responsables EQUIFILLES'!B:G,6,FALSE()),0)+IFERROR(VLOOKUP(B28,'13. Responsables S2L'!B:G,6,FALSE()),0))</f>
        <v/>
      </c>
      <c r="J28" s="52" t="str">
        <f aca="false">IF(B28="","",IFERROR(VLOOKUP(B28,'8. Responsables EQUIFILLES'!B:F,5,FALSE()),0)+IFERROR(VLOOKUP(B28,'13. Responsables S2L'!B:F,5,FALSE()),0))</f>
        <v/>
      </c>
      <c r="K28" s="52" t="str">
        <f aca="false">IF(B28="","",IFERROR(VLOOKUP(B28,'8. Responsables EQUIFILLES'!B:H,7,FALSE()),0)+IFERROR(VLOOKUP(B28,'8. Responsables EQUIFILLES'!B:I,8,FALSE()),0)+IFERROR(VLOOKUP(B28,'13. Responsables S2L'!B:H,7,FALSE()),0)+IFERROR(VLOOKUP(B28,'13. Responsables S2L'!B:I,8,FALSE()),0))</f>
        <v/>
      </c>
      <c r="L28" s="27" t="str">
        <f aca="false">IF(B28="","",IF(H28&gt;=0.85,"Excellent",IF(H28&gt;=0.65,"Satisfaisant",IF(H28&gt;=0.4,"À améliorer",IF(H28&gt;0,"Insuffisant","Non évalué")))))</f>
        <v/>
      </c>
      <c r="M28" s="11" t="str">
        <f aca="false">IF(B28="","",IF(I28&gt;0,"⚠ Activités critiques à traiter",IF(J28&gt;2,"Plan d'action requis",IF(L28="Excellent","Maintenir le rythme",IF(L28="Satisfaisant","Continuer",IF(L28="À améliorer","Coaching nécessaire",IF(L28="Insuffisant","Plan d'amélioration urgent","À évaluer")))))))</f>
        <v/>
      </c>
    </row>
    <row r="29" customFormat="false" ht="24" hidden="false" customHeight="true" outlineLevel="0" collapsed="false">
      <c r="B29" s="6" t="str">
        <f aca="false">IF('3. Équipe'!C29="","",'3. Équipe'!C29)</f>
        <v/>
      </c>
      <c r="C29" s="52" t="str">
        <f aca="false">IF(B29="","",IFERROR(VLOOKUP(B29,'8. Responsables EQUIFILLES'!B:C,2,FALSE()),0))</f>
        <v/>
      </c>
      <c r="D29" s="52" t="str">
        <f aca="false">IF(B29="","",IFERROR(VLOOKUP(B29,'13. Responsables S2L'!B:C,2,FALSE()),0))</f>
        <v/>
      </c>
      <c r="E29" s="52" t="str">
        <f aca="false">IF(B29="","",IFERROR(C29,0)+IFERROR(D29,0))</f>
        <v/>
      </c>
      <c r="F29" s="100" t="str">
        <f aca="false">IF(B29="","",IFERROR(VLOOKUP(B29,'8. Responsables EQUIFILLES'!B:K,10,FALSE()),0))</f>
        <v/>
      </c>
      <c r="G29" s="100" t="str">
        <f aca="false">IF(B29="","",IFERROR(VLOOKUP(B29,'13. Responsables S2L'!B:K,10,FALSE()),0))</f>
        <v/>
      </c>
      <c r="H29" s="91" t="str">
        <f aca="false">IF(B29="","",IFERROR((F29*IFERROR(C29,0)+G29*IFERROR(D29,0))/(IFERROR(C29,0)+IFERROR(D29,0)),0))</f>
        <v/>
      </c>
      <c r="I29" s="52" t="str">
        <f aca="false">IF(B29="","",IFERROR(VLOOKUP(B29,'8. Responsables EQUIFILLES'!B:G,6,FALSE()),0)+IFERROR(VLOOKUP(B29,'13. Responsables S2L'!B:G,6,FALSE()),0))</f>
        <v/>
      </c>
      <c r="J29" s="52" t="str">
        <f aca="false">IF(B29="","",IFERROR(VLOOKUP(B29,'8. Responsables EQUIFILLES'!B:F,5,FALSE()),0)+IFERROR(VLOOKUP(B29,'13. Responsables S2L'!B:F,5,FALSE()),0))</f>
        <v/>
      </c>
      <c r="K29" s="52" t="str">
        <f aca="false">IF(B29="","",IFERROR(VLOOKUP(B29,'8. Responsables EQUIFILLES'!B:H,7,FALSE()),0)+IFERROR(VLOOKUP(B29,'8. Responsables EQUIFILLES'!B:I,8,FALSE()),0)+IFERROR(VLOOKUP(B29,'13. Responsables S2L'!B:H,7,FALSE()),0)+IFERROR(VLOOKUP(B29,'13. Responsables S2L'!B:I,8,FALSE()),0))</f>
        <v/>
      </c>
      <c r="L29" s="38" t="str">
        <f aca="false">IF(B29="","",IF(H29&gt;=0.85,"Excellent",IF(H29&gt;=0.65,"Satisfaisant",IF(H29&gt;=0.4,"À améliorer",IF(H29&gt;0,"Insuffisant","Non évalué")))))</f>
        <v/>
      </c>
      <c r="M29" s="7" t="str">
        <f aca="false">IF(B29="","",IF(I29&gt;0,"⚠ Activités critiques à traiter",IF(J29&gt;2,"Plan d'action requis",IF(L29="Excellent","Maintenir le rythme",IF(L29="Satisfaisant","Continuer",IF(L29="À améliorer","Coaching nécessaire",IF(L29="Insuffisant","Plan d'amélioration urgent","À évaluer")))))))</f>
        <v/>
      </c>
    </row>
    <row r="30" customFormat="false" ht="24" hidden="false" customHeight="true" outlineLevel="0" collapsed="false">
      <c r="B30" s="10" t="str">
        <f aca="false">IF('3. Équipe'!C30="","",'3. Équipe'!C30)</f>
        <v/>
      </c>
      <c r="C30" s="52" t="str">
        <f aca="false">IF(B30="","",IFERROR(VLOOKUP(B30,'8. Responsables EQUIFILLES'!B:C,2,FALSE()),0))</f>
        <v/>
      </c>
      <c r="D30" s="52" t="str">
        <f aca="false">IF(B30="","",IFERROR(VLOOKUP(B30,'13. Responsables S2L'!B:C,2,FALSE()),0))</f>
        <v/>
      </c>
      <c r="E30" s="52" t="str">
        <f aca="false">IF(B30="","",IFERROR(C30,0)+IFERROR(D30,0))</f>
        <v/>
      </c>
      <c r="F30" s="100" t="str">
        <f aca="false">IF(B30="","",IFERROR(VLOOKUP(B30,'8. Responsables EQUIFILLES'!B:K,10,FALSE()),0))</f>
        <v/>
      </c>
      <c r="G30" s="100" t="str">
        <f aca="false">IF(B30="","",IFERROR(VLOOKUP(B30,'13. Responsables S2L'!B:K,10,FALSE()),0))</f>
        <v/>
      </c>
      <c r="H30" s="91" t="str">
        <f aca="false">IF(B30="","",IFERROR((F30*IFERROR(C30,0)+G30*IFERROR(D30,0))/(IFERROR(C30,0)+IFERROR(D30,0)),0))</f>
        <v/>
      </c>
      <c r="I30" s="52" t="str">
        <f aca="false">IF(B30="","",IFERROR(VLOOKUP(B30,'8. Responsables EQUIFILLES'!B:G,6,FALSE()),0)+IFERROR(VLOOKUP(B30,'13. Responsables S2L'!B:G,6,FALSE()),0))</f>
        <v/>
      </c>
      <c r="J30" s="52" t="str">
        <f aca="false">IF(B30="","",IFERROR(VLOOKUP(B30,'8. Responsables EQUIFILLES'!B:F,5,FALSE()),0)+IFERROR(VLOOKUP(B30,'13. Responsables S2L'!B:F,5,FALSE()),0))</f>
        <v/>
      </c>
      <c r="K30" s="52" t="str">
        <f aca="false">IF(B30="","",IFERROR(VLOOKUP(B30,'8. Responsables EQUIFILLES'!B:H,7,FALSE()),0)+IFERROR(VLOOKUP(B30,'8. Responsables EQUIFILLES'!B:I,8,FALSE()),0)+IFERROR(VLOOKUP(B30,'13. Responsables S2L'!B:H,7,FALSE()),0)+IFERROR(VLOOKUP(B30,'13. Responsables S2L'!B:I,8,FALSE()),0))</f>
        <v/>
      </c>
      <c r="L30" s="27" t="str">
        <f aca="false">IF(B30="","",IF(H30&gt;=0.85,"Excellent",IF(H30&gt;=0.65,"Satisfaisant",IF(H30&gt;=0.4,"À améliorer",IF(H30&gt;0,"Insuffisant","Non évalué")))))</f>
        <v/>
      </c>
      <c r="M30" s="11" t="str">
        <f aca="false">IF(B30="","",IF(I30&gt;0,"⚠ Activités critiques à traiter",IF(J30&gt;2,"Plan d'action requis",IF(L30="Excellent","Maintenir le rythme",IF(L30="Satisfaisant","Continuer",IF(L30="À améliorer","Coaching nécessaire",IF(L30="Insuffisant","Plan d'amélioration urgent","À évaluer")))))))</f>
        <v/>
      </c>
    </row>
    <row r="31" customFormat="false" ht="24" hidden="false" customHeight="true" outlineLevel="0" collapsed="false">
      <c r="B31" s="6" t="str">
        <f aca="false">IF('3. Équipe'!C31="","",'3. Équipe'!C31)</f>
        <v/>
      </c>
      <c r="C31" s="52" t="str">
        <f aca="false">IF(B31="","",IFERROR(VLOOKUP(B31,'8. Responsables EQUIFILLES'!B:C,2,FALSE()),0))</f>
        <v/>
      </c>
      <c r="D31" s="52" t="str">
        <f aca="false">IF(B31="","",IFERROR(VLOOKUP(B31,'13. Responsables S2L'!B:C,2,FALSE()),0))</f>
        <v/>
      </c>
      <c r="E31" s="52" t="str">
        <f aca="false">IF(B31="","",IFERROR(C31,0)+IFERROR(D31,0))</f>
        <v/>
      </c>
      <c r="F31" s="100" t="str">
        <f aca="false">IF(B31="","",IFERROR(VLOOKUP(B31,'8. Responsables EQUIFILLES'!B:K,10,FALSE()),0))</f>
        <v/>
      </c>
      <c r="G31" s="100" t="str">
        <f aca="false">IF(B31="","",IFERROR(VLOOKUP(B31,'13. Responsables S2L'!B:K,10,FALSE()),0))</f>
        <v/>
      </c>
      <c r="H31" s="91" t="str">
        <f aca="false">IF(B31="","",IFERROR((F31*IFERROR(C31,0)+G31*IFERROR(D31,0))/(IFERROR(C31,0)+IFERROR(D31,0)),0))</f>
        <v/>
      </c>
      <c r="I31" s="52" t="str">
        <f aca="false">IF(B31="","",IFERROR(VLOOKUP(B31,'8. Responsables EQUIFILLES'!B:G,6,FALSE()),0)+IFERROR(VLOOKUP(B31,'13. Responsables S2L'!B:G,6,FALSE()),0))</f>
        <v/>
      </c>
      <c r="J31" s="52" t="str">
        <f aca="false">IF(B31="","",IFERROR(VLOOKUP(B31,'8. Responsables EQUIFILLES'!B:F,5,FALSE()),0)+IFERROR(VLOOKUP(B31,'13. Responsables S2L'!B:F,5,FALSE()),0))</f>
        <v/>
      </c>
      <c r="K31" s="52" t="str">
        <f aca="false">IF(B31="","",IFERROR(VLOOKUP(B31,'8. Responsables EQUIFILLES'!B:H,7,FALSE()),0)+IFERROR(VLOOKUP(B31,'8. Responsables EQUIFILLES'!B:I,8,FALSE()),0)+IFERROR(VLOOKUP(B31,'13. Responsables S2L'!B:H,7,FALSE()),0)+IFERROR(VLOOKUP(B31,'13. Responsables S2L'!B:I,8,FALSE()),0))</f>
        <v/>
      </c>
      <c r="L31" s="38" t="str">
        <f aca="false">IF(B31="","",IF(H31&gt;=0.85,"Excellent",IF(H31&gt;=0.65,"Satisfaisant",IF(H31&gt;=0.4,"À améliorer",IF(H31&gt;0,"Insuffisant","Non évalué")))))</f>
        <v/>
      </c>
      <c r="M31" s="7" t="str">
        <f aca="false">IF(B31="","",IF(I31&gt;0,"⚠ Activités critiques à traiter",IF(J31&gt;2,"Plan d'action requis",IF(L31="Excellent","Maintenir le rythme",IF(L31="Satisfaisant","Continuer",IF(L31="À améliorer","Coaching nécessaire",IF(L31="Insuffisant","Plan d'amélioration urgent","À évaluer")))))))</f>
        <v/>
      </c>
    </row>
    <row r="32" customFormat="false" ht="24" hidden="false" customHeight="true" outlineLevel="0" collapsed="false">
      <c r="B32" s="10" t="str">
        <f aca="false">IF('3. Équipe'!C32="","",'3. Équipe'!C32)</f>
        <v/>
      </c>
      <c r="C32" s="52" t="str">
        <f aca="false">IF(B32="","",IFERROR(VLOOKUP(B32,'8. Responsables EQUIFILLES'!B:C,2,FALSE()),0))</f>
        <v/>
      </c>
      <c r="D32" s="52" t="str">
        <f aca="false">IF(B32="","",IFERROR(VLOOKUP(B32,'13. Responsables S2L'!B:C,2,FALSE()),0))</f>
        <v/>
      </c>
      <c r="E32" s="52" t="str">
        <f aca="false">IF(B32="","",IFERROR(C32,0)+IFERROR(D32,0))</f>
        <v/>
      </c>
      <c r="F32" s="100" t="str">
        <f aca="false">IF(B32="","",IFERROR(VLOOKUP(B32,'8. Responsables EQUIFILLES'!B:K,10,FALSE()),0))</f>
        <v/>
      </c>
      <c r="G32" s="100" t="str">
        <f aca="false">IF(B32="","",IFERROR(VLOOKUP(B32,'13. Responsables S2L'!B:K,10,FALSE()),0))</f>
        <v/>
      </c>
      <c r="H32" s="91" t="str">
        <f aca="false">IF(B32="","",IFERROR((F32*IFERROR(C32,0)+G32*IFERROR(D32,0))/(IFERROR(C32,0)+IFERROR(D32,0)),0))</f>
        <v/>
      </c>
      <c r="I32" s="52" t="str">
        <f aca="false">IF(B32="","",IFERROR(VLOOKUP(B32,'8. Responsables EQUIFILLES'!B:G,6,FALSE()),0)+IFERROR(VLOOKUP(B32,'13. Responsables S2L'!B:G,6,FALSE()),0))</f>
        <v/>
      </c>
      <c r="J32" s="52" t="str">
        <f aca="false">IF(B32="","",IFERROR(VLOOKUP(B32,'8. Responsables EQUIFILLES'!B:F,5,FALSE()),0)+IFERROR(VLOOKUP(B32,'13. Responsables S2L'!B:F,5,FALSE()),0))</f>
        <v/>
      </c>
      <c r="K32" s="52" t="str">
        <f aca="false">IF(B32="","",IFERROR(VLOOKUP(B32,'8. Responsables EQUIFILLES'!B:H,7,FALSE()),0)+IFERROR(VLOOKUP(B32,'8. Responsables EQUIFILLES'!B:I,8,FALSE()),0)+IFERROR(VLOOKUP(B32,'13. Responsables S2L'!B:H,7,FALSE()),0)+IFERROR(VLOOKUP(B32,'13. Responsables S2L'!B:I,8,FALSE()),0))</f>
        <v/>
      </c>
      <c r="L32" s="27" t="str">
        <f aca="false">IF(B32="","",IF(H32&gt;=0.85,"Excellent",IF(H32&gt;=0.65,"Satisfaisant",IF(H32&gt;=0.4,"À améliorer",IF(H32&gt;0,"Insuffisant","Non évalué")))))</f>
        <v/>
      </c>
      <c r="M32" s="11" t="str">
        <f aca="false">IF(B32="","",IF(I32&gt;0,"⚠ Activités critiques à traiter",IF(J32&gt;2,"Plan d'action requis",IF(L32="Excellent","Maintenir le rythme",IF(L32="Satisfaisant","Continuer",IF(L32="À améliorer","Coaching nécessaire",IF(L32="Insuffisant","Plan d'amélioration urgent","À évaluer")))))))</f>
        <v/>
      </c>
    </row>
    <row r="33" customFormat="false" ht="24" hidden="false" customHeight="true" outlineLevel="0" collapsed="false">
      <c r="B33" s="6" t="str">
        <f aca="false">IF('3. Équipe'!C33="","",'3. Équipe'!C33)</f>
        <v/>
      </c>
      <c r="C33" s="52" t="str">
        <f aca="false">IF(B33="","",IFERROR(VLOOKUP(B33,'8. Responsables EQUIFILLES'!B:C,2,FALSE()),0))</f>
        <v/>
      </c>
      <c r="D33" s="52" t="str">
        <f aca="false">IF(B33="","",IFERROR(VLOOKUP(B33,'13. Responsables S2L'!B:C,2,FALSE()),0))</f>
        <v/>
      </c>
      <c r="E33" s="52" t="str">
        <f aca="false">IF(B33="","",IFERROR(C33,0)+IFERROR(D33,0))</f>
        <v/>
      </c>
      <c r="F33" s="100" t="str">
        <f aca="false">IF(B33="","",IFERROR(VLOOKUP(B33,'8. Responsables EQUIFILLES'!B:K,10,FALSE()),0))</f>
        <v/>
      </c>
      <c r="G33" s="100" t="str">
        <f aca="false">IF(B33="","",IFERROR(VLOOKUP(B33,'13. Responsables S2L'!B:K,10,FALSE()),0))</f>
        <v/>
      </c>
      <c r="H33" s="91" t="str">
        <f aca="false">IF(B33="","",IFERROR((F33*IFERROR(C33,0)+G33*IFERROR(D33,0))/(IFERROR(C33,0)+IFERROR(D33,0)),0))</f>
        <v/>
      </c>
      <c r="I33" s="52" t="str">
        <f aca="false">IF(B33="","",IFERROR(VLOOKUP(B33,'8. Responsables EQUIFILLES'!B:G,6,FALSE()),0)+IFERROR(VLOOKUP(B33,'13. Responsables S2L'!B:G,6,FALSE()),0))</f>
        <v/>
      </c>
      <c r="J33" s="52" t="str">
        <f aca="false">IF(B33="","",IFERROR(VLOOKUP(B33,'8. Responsables EQUIFILLES'!B:F,5,FALSE()),0)+IFERROR(VLOOKUP(B33,'13. Responsables S2L'!B:F,5,FALSE()),0))</f>
        <v/>
      </c>
      <c r="K33" s="52" t="str">
        <f aca="false">IF(B33="","",IFERROR(VLOOKUP(B33,'8. Responsables EQUIFILLES'!B:H,7,FALSE()),0)+IFERROR(VLOOKUP(B33,'8. Responsables EQUIFILLES'!B:I,8,FALSE()),0)+IFERROR(VLOOKUP(B33,'13. Responsables S2L'!B:H,7,FALSE()),0)+IFERROR(VLOOKUP(B33,'13. Responsables S2L'!B:I,8,FALSE()),0))</f>
        <v/>
      </c>
      <c r="L33" s="38" t="str">
        <f aca="false">IF(B33="","",IF(H33&gt;=0.85,"Excellent",IF(H33&gt;=0.65,"Satisfaisant",IF(H33&gt;=0.4,"À améliorer",IF(H33&gt;0,"Insuffisant","Non évalué")))))</f>
        <v/>
      </c>
      <c r="M33" s="7" t="str">
        <f aca="false">IF(B33="","",IF(I33&gt;0,"⚠ Activités critiques à traiter",IF(J33&gt;2,"Plan d'action requis",IF(L33="Excellent","Maintenir le rythme",IF(L33="Satisfaisant","Continuer",IF(L33="À améliorer","Coaching nécessaire",IF(L33="Insuffisant","Plan d'amélioration urgent","À évaluer")))))))</f>
        <v/>
      </c>
    </row>
    <row r="34" customFormat="false" ht="24" hidden="false" customHeight="true" outlineLevel="0" collapsed="false">
      <c r="B34" s="10" t="str">
        <f aca="false">IF('3. Équipe'!C34="","",'3. Équipe'!C34)</f>
        <v/>
      </c>
      <c r="C34" s="52" t="str">
        <f aca="false">IF(B34="","",IFERROR(VLOOKUP(B34,'8. Responsables EQUIFILLES'!B:C,2,FALSE()),0))</f>
        <v/>
      </c>
      <c r="D34" s="52" t="str">
        <f aca="false">IF(B34="","",IFERROR(VLOOKUP(B34,'13. Responsables S2L'!B:C,2,FALSE()),0))</f>
        <v/>
      </c>
      <c r="E34" s="52" t="str">
        <f aca="false">IF(B34="","",IFERROR(C34,0)+IFERROR(D34,0))</f>
        <v/>
      </c>
      <c r="F34" s="100" t="str">
        <f aca="false">IF(B34="","",IFERROR(VLOOKUP(B34,'8. Responsables EQUIFILLES'!B:K,10,FALSE()),0))</f>
        <v/>
      </c>
      <c r="G34" s="100" t="str">
        <f aca="false">IF(B34="","",IFERROR(VLOOKUP(B34,'13. Responsables S2L'!B:K,10,FALSE()),0))</f>
        <v/>
      </c>
      <c r="H34" s="91" t="str">
        <f aca="false">IF(B34="","",IFERROR((F34*IFERROR(C34,0)+G34*IFERROR(D34,0))/(IFERROR(C34,0)+IFERROR(D34,0)),0))</f>
        <v/>
      </c>
      <c r="I34" s="52" t="str">
        <f aca="false">IF(B34="","",IFERROR(VLOOKUP(B34,'8. Responsables EQUIFILLES'!B:G,6,FALSE()),0)+IFERROR(VLOOKUP(B34,'13. Responsables S2L'!B:G,6,FALSE()),0))</f>
        <v/>
      </c>
      <c r="J34" s="52" t="str">
        <f aca="false">IF(B34="","",IFERROR(VLOOKUP(B34,'8. Responsables EQUIFILLES'!B:F,5,FALSE()),0)+IFERROR(VLOOKUP(B34,'13. Responsables S2L'!B:F,5,FALSE()),0))</f>
        <v/>
      </c>
      <c r="K34" s="52" t="str">
        <f aca="false">IF(B34="","",IFERROR(VLOOKUP(B34,'8. Responsables EQUIFILLES'!B:H,7,FALSE()),0)+IFERROR(VLOOKUP(B34,'8. Responsables EQUIFILLES'!B:I,8,FALSE()),0)+IFERROR(VLOOKUP(B34,'13. Responsables S2L'!B:H,7,FALSE()),0)+IFERROR(VLOOKUP(B34,'13. Responsables S2L'!B:I,8,FALSE()),0))</f>
        <v/>
      </c>
      <c r="L34" s="27" t="str">
        <f aca="false">IF(B34="","",IF(H34&gt;=0.85,"Excellent",IF(H34&gt;=0.65,"Satisfaisant",IF(H34&gt;=0.4,"À améliorer",IF(H34&gt;0,"Insuffisant","Non évalué")))))</f>
        <v/>
      </c>
      <c r="M34" s="11" t="str">
        <f aca="false">IF(B34="","",IF(I34&gt;0,"⚠ Activités critiques à traiter",IF(J34&gt;2,"Plan d'action requis",IF(L34="Excellent","Maintenir le rythme",IF(L34="Satisfaisant","Continuer",IF(L34="À améliorer","Coaching nécessaire",IF(L34="Insuffisant","Plan d'amélioration urgent","À évaluer")))))))</f>
        <v/>
      </c>
    </row>
    <row r="35" customFormat="false" ht="24" hidden="false" customHeight="true" outlineLevel="0" collapsed="false">
      <c r="B35" s="6" t="str">
        <f aca="false">IF('3. Équipe'!C35="","",'3. Équipe'!C35)</f>
        <v/>
      </c>
      <c r="C35" s="52" t="str">
        <f aca="false">IF(B35="","",IFERROR(VLOOKUP(B35,'8. Responsables EQUIFILLES'!B:C,2,FALSE()),0))</f>
        <v/>
      </c>
      <c r="D35" s="52" t="str">
        <f aca="false">IF(B35="","",IFERROR(VLOOKUP(B35,'13. Responsables S2L'!B:C,2,FALSE()),0))</f>
        <v/>
      </c>
      <c r="E35" s="52" t="str">
        <f aca="false">IF(B35="","",IFERROR(C35,0)+IFERROR(D35,0))</f>
        <v/>
      </c>
      <c r="F35" s="100" t="str">
        <f aca="false">IF(B35="","",IFERROR(VLOOKUP(B35,'8. Responsables EQUIFILLES'!B:K,10,FALSE()),0))</f>
        <v/>
      </c>
      <c r="G35" s="100" t="str">
        <f aca="false">IF(B35="","",IFERROR(VLOOKUP(B35,'13. Responsables S2L'!B:K,10,FALSE()),0))</f>
        <v/>
      </c>
      <c r="H35" s="91" t="str">
        <f aca="false">IF(B35="","",IFERROR((F35*IFERROR(C35,0)+G35*IFERROR(D35,0))/(IFERROR(C35,0)+IFERROR(D35,0)),0))</f>
        <v/>
      </c>
      <c r="I35" s="52" t="str">
        <f aca="false">IF(B35="","",IFERROR(VLOOKUP(B35,'8. Responsables EQUIFILLES'!B:G,6,FALSE()),0)+IFERROR(VLOOKUP(B35,'13. Responsables S2L'!B:G,6,FALSE()),0))</f>
        <v/>
      </c>
      <c r="J35" s="52" t="str">
        <f aca="false">IF(B35="","",IFERROR(VLOOKUP(B35,'8. Responsables EQUIFILLES'!B:F,5,FALSE()),0)+IFERROR(VLOOKUP(B35,'13. Responsables S2L'!B:F,5,FALSE()),0))</f>
        <v/>
      </c>
      <c r="K35" s="52" t="str">
        <f aca="false">IF(B35="","",IFERROR(VLOOKUP(B35,'8. Responsables EQUIFILLES'!B:H,7,FALSE()),0)+IFERROR(VLOOKUP(B35,'8. Responsables EQUIFILLES'!B:I,8,FALSE()),0)+IFERROR(VLOOKUP(B35,'13. Responsables S2L'!B:H,7,FALSE()),0)+IFERROR(VLOOKUP(B35,'13. Responsables S2L'!B:I,8,FALSE()),0))</f>
        <v/>
      </c>
      <c r="L35" s="38" t="str">
        <f aca="false">IF(B35="","",IF(H35&gt;=0.85,"Excellent",IF(H35&gt;=0.65,"Satisfaisant",IF(H35&gt;=0.4,"À améliorer",IF(H35&gt;0,"Insuffisant","Non évalué")))))</f>
        <v/>
      </c>
      <c r="M35" s="7" t="str">
        <f aca="false">IF(B35="","",IF(I35&gt;0,"⚠ Activités critiques à traiter",IF(J35&gt;2,"Plan d'action requis",IF(L35="Excellent","Maintenir le rythme",IF(L35="Satisfaisant","Continuer",IF(L35="À améliorer","Coaching nécessaire",IF(L35="Insuffisant","Plan d'amélioration urgent","À évaluer")))))))</f>
        <v/>
      </c>
    </row>
    <row r="36" customFormat="false" ht="24" hidden="false" customHeight="true" outlineLevel="0" collapsed="false">
      <c r="B36" s="10" t="str">
        <f aca="false">IF('3. Équipe'!C36="","",'3. Équipe'!C36)</f>
        <v/>
      </c>
      <c r="C36" s="52" t="str">
        <f aca="false">IF(B36="","",IFERROR(VLOOKUP(B36,'8. Responsables EQUIFILLES'!B:C,2,FALSE()),0))</f>
        <v/>
      </c>
      <c r="D36" s="52" t="str">
        <f aca="false">IF(B36="","",IFERROR(VLOOKUP(B36,'13. Responsables S2L'!B:C,2,FALSE()),0))</f>
        <v/>
      </c>
      <c r="E36" s="52" t="str">
        <f aca="false">IF(B36="","",IFERROR(C36,0)+IFERROR(D36,0))</f>
        <v/>
      </c>
      <c r="F36" s="100" t="str">
        <f aca="false">IF(B36="","",IFERROR(VLOOKUP(B36,'8. Responsables EQUIFILLES'!B:K,10,FALSE()),0))</f>
        <v/>
      </c>
      <c r="G36" s="100" t="str">
        <f aca="false">IF(B36="","",IFERROR(VLOOKUP(B36,'13. Responsables S2L'!B:K,10,FALSE()),0))</f>
        <v/>
      </c>
      <c r="H36" s="91" t="str">
        <f aca="false">IF(B36="","",IFERROR((F36*IFERROR(C36,0)+G36*IFERROR(D36,0))/(IFERROR(C36,0)+IFERROR(D36,0)),0))</f>
        <v/>
      </c>
      <c r="I36" s="52" t="str">
        <f aca="false">IF(B36="","",IFERROR(VLOOKUP(B36,'8. Responsables EQUIFILLES'!B:G,6,FALSE()),0)+IFERROR(VLOOKUP(B36,'13. Responsables S2L'!B:G,6,FALSE()),0))</f>
        <v/>
      </c>
      <c r="J36" s="52" t="str">
        <f aca="false">IF(B36="","",IFERROR(VLOOKUP(B36,'8. Responsables EQUIFILLES'!B:F,5,FALSE()),0)+IFERROR(VLOOKUP(B36,'13. Responsables S2L'!B:F,5,FALSE()),0))</f>
        <v/>
      </c>
      <c r="K36" s="52" t="str">
        <f aca="false">IF(B36="","",IFERROR(VLOOKUP(B36,'8. Responsables EQUIFILLES'!B:H,7,FALSE()),0)+IFERROR(VLOOKUP(B36,'8. Responsables EQUIFILLES'!B:I,8,FALSE()),0)+IFERROR(VLOOKUP(B36,'13. Responsables S2L'!B:H,7,FALSE()),0)+IFERROR(VLOOKUP(B36,'13. Responsables S2L'!B:I,8,FALSE()),0))</f>
        <v/>
      </c>
      <c r="L36" s="27" t="str">
        <f aca="false">IF(B36="","",IF(H36&gt;=0.85,"Excellent",IF(H36&gt;=0.65,"Satisfaisant",IF(H36&gt;=0.4,"À améliorer",IF(H36&gt;0,"Insuffisant","Non évalué")))))</f>
        <v/>
      </c>
      <c r="M36" s="11" t="str">
        <f aca="false">IF(B36="","",IF(I36&gt;0,"⚠ Activités critiques à traiter",IF(J36&gt;2,"Plan d'action requis",IF(L36="Excellent","Maintenir le rythme",IF(L36="Satisfaisant","Continuer",IF(L36="À améliorer","Coaching nécessaire",IF(L36="Insuffisant","Plan d'amélioration urgent","À évaluer")))))))</f>
        <v/>
      </c>
    </row>
    <row r="37" customFormat="false" ht="24" hidden="false" customHeight="true" outlineLevel="0" collapsed="false">
      <c r="B37" s="6" t="str">
        <f aca="false">IF('3. Équipe'!C37="","",'3. Équipe'!C37)</f>
        <v/>
      </c>
      <c r="C37" s="52" t="str">
        <f aca="false">IF(B37="","",IFERROR(VLOOKUP(B37,'8. Responsables EQUIFILLES'!B:C,2,FALSE()),0))</f>
        <v/>
      </c>
      <c r="D37" s="52" t="str">
        <f aca="false">IF(B37="","",IFERROR(VLOOKUP(B37,'13. Responsables S2L'!B:C,2,FALSE()),0))</f>
        <v/>
      </c>
      <c r="E37" s="52" t="str">
        <f aca="false">IF(B37="","",IFERROR(C37,0)+IFERROR(D37,0))</f>
        <v/>
      </c>
      <c r="F37" s="100" t="str">
        <f aca="false">IF(B37="","",IFERROR(VLOOKUP(B37,'8. Responsables EQUIFILLES'!B:K,10,FALSE()),0))</f>
        <v/>
      </c>
      <c r="G37" s="100" t="str">
        <f aca="false">IF(B37="","",IFERROR(VLOOKUP(B37,'13. Responsables S2L'!B:K,10,FALSE()),0))</f>
        <v/>
      </c>
      <c r="H37" s="91" t="str">
        <f aca="false">IF(B37="","",IFERROR((F37*IFERROR(C37,0)+G37*IFERROR(D37,0))/(IFERROR(C37,0)+IFERROR(D37,0)),0))</f>
        <v/>
      </c>
      <c r="I37" s="52" t="str">
        <f aca="false">IF(B37="","",IFERROR(VLOOKUP(B37,'8. Responsables EQUIFILLES'!B:G,6,FALSE()),0)+IFERROR(VLOOKUP(B37,'13. Responsables S2L'!B:G,6,FALSE()),0))</f>
        <v/>
      </c>
      <c r="J37" s="52" t="str">
        <f aca="false">IF(B37="","",IFERROR(VLOOKUP(B37,'8. Responsables EQUIFILLES'!B:F,5,FALSE()),0)+IFERROR(VLOOKUP(B37,'13. Responsables S2L'!B:F,5,FALSE()),0))</f>
        <v/>
      </c>
      <c r="K37" s="52" t="str">
        <f aca="false">IF(B37="","",IFERROR(VLOOKUP(B37,'8. Responsables EQUIFILLES'!B:H,7,FALSE()),0)+IFERROR(VLOOKUP(B37,'8. Responsables EQUIFILLES'!B:I,8,FALSE()),0)+IFERROR(VLOOKUP(B37,'13. Responsables S2L'!B:H,7,FALSE()),0)+IFERROR(VLOOKUP(B37,'13. Responsables S2L'!B:I,8,FALSE()),0))</f>
        <v/>
      </c>
      <c r="L37" s="38" t="str">
        <f aca="false">IF(B37="","",IF(H37&gt;=0.85,"Excellent",IF(H37&gt;=0.65,"Satisfaisant",IF(H37&gt;=0.4,"À améliorer",IF(H37&gt;0,"Insuffisant","Non évalué")))))</f>
        <v/>
      </c>
      <c r="M37" s="7" t="str">
        <f aca="false">IF(B37="","",IF(I37&gt;0,"⚠ Activités critiques à traiter",IF(J37&gt;2,"Plan d'action requis",IF(L37="Excellent","Maintenir le rythme",IF(L37="Satisfaisant","Continuer",IF(L37="À améliorer","Coaching nécessaire",IF(L37="Insuffisant","Plan d'amélioration urgent","À évaluer")))))))</f>
        <v/>
      </c>
    </row>
    <row r="38" customFormat="false" ht="24" hidden="false" customHeight="true" outlineLevel="0" collapsed="false">
      <c r="B38" s="10" t="str">
        <f aca="false">IF('3. Équipe'!C38="","",'3. Équipe'!C38)</f>
        <v/>
      </c>
      <c r="C38" s="52" t="str">
        <f aca="false">IF(B38="","",IFERROR(VLOOKUP(B38,'8. Responsables EQUIFILLES'!B:C,2,FALSE()),0))</f>
        <v/>
      </c>
      <c r="D38" s="52" t="str">
        <f aca="false">IF(B38="","",IFERROR(VLOOKUP(B38,'13. Responsables S2L'!B:C,2,FALSE()),0))</f>
        <v/>
      </c>
      <c r="E38" s="52" t="str">
        <f aca="false">IF(B38="","",IFERROR(C38,0)+IFERROR(D38,0))</f>
        <v/>
      </c>
      <c r="F38" s="100" t="str">
        <f aca="false">IF(B38="","",IFERROR(VLOOKUP(B38,'8. Responsables EQUIFILLES'!B:K,10,FALSE()),0))</f>
        <v/>
      </c>
      <c r="G38" s="100" t="str">
        <f aca="false">IF(B38="","",IFERROR(VLOOKUP(B38,'13. Responsables S2L'!B:K,10,FALSE()),0))</f>
        <v/>
      </c>
      <c r="H38" s="91" t="str">
        <f aca="false">IF(B38="","",IFERROR((F38*IFERROR(C38,0)+G38*IFERROR(D38,0))/(IFERROR(C38,0)+IFERROR(D38,0)),0))</f>
        <v/>
      </c>
      <c r="I38" s="52" t="str">
        <f aca="false">IF(B38="","",IFERROR(VLOOKUP(B38,'8. Responsables EQUIFILLES'!B:G,6,FALSE()),0)+IFERROR(VLOOKUP(B38,'13. Responsables S2L'!B:G,6,FALSE()),0))</f>
        <v/>
      </c>
      <c r="J38" s="52" t="str">
        <f aca="false">IF(B38="","",IFERROR(VLOOKUP(B38,'8. Responsables EQUIFILLES'!B:F,5,FALSE()),0)+IFERROR(VLOOKUP(B38,'13. Responsables S2L'!B:F,5,FALSE()),0))</f>
        <v/>
      </c>
      <c r="K38" s="52" t="str">
        <f aca="false">IF(B38="","",IFERROR(VLOOKUP(B38,'8. Responsables EQUIFILLES'!B:H,7,FALSE()),0)+IFERROR(VLOOKUP(B38,'8. Responsables EQUIFILLES'!B:I,8,FALSE()),0)+IFERROR(VLOOKUP(B38,'13. Responsables S2L'!B:H,7,FALSE()),0)+IFERROR(VLOOKUP(B38,'13. Responsables S2L'!B:I,8,FALSE()),0))</f>
        <v/>
      </c>
      <c r="L38" s="27" t="str">
        <f aca="false">IF(B38="","",IF(H38&gt;=0.85,"Excellent",IF(H38&gt;=0.65,"Satisfaisant",IF(H38&gt;=0.4,"À améliorer",IF(H38&gt;0,"Insuffisant","Non évalué")))))</f>
        <v/>
      </c>
      <c r="M38" s="11" t="str">
        <f aca="false">IF(B38="","",IF(I38&gt;0,"⚠ Activités critiques à traiter",IF(J38&gt;2,"Plan d'action requis",IF(L38="Excellent","Maintenir le rythme",IF(L38="Satisfaisant","Continuer",IF(L38="À améliorer","Coaching nécessaire",IF(L38="Insuffisant","Plan d'amélioration urgent","À évaluer")))))))</f>
        <v/>
      </c>
    </row>
    <row r="39" customFormat="false" ht="24" hidden="false" customHeight="true" outlineLevel="0" collapsed="false">
      <c r="B39" s="6" t="str">
        <f aca="false">IF('3. Équipe'!C39="","",'3. Équipe'!C39)</f>
        <v/>
      </c>
      <c r="C39" s="52" t="str">
        <f aca="false">IF(B39="","",IFERROR(VLOOKUP(B39,'8. Responsables EQUIFILLES'!B:C,2,FALSE()),0))</f>
        <v/>
      </c>
      <c r="D39" s="52" t="str">
        <f aca="false">IF(B39="","",IFERROR(VLOOKUP(B39,'13. Responsables S2L'!B:C,2,FALSE()),0))</f>
        <v/>
      </c>
      <c r="E39" s="52" t="str">
        <f aca="false">IF(B39="","",IFERROR(C39,0)+IFERROR(D39,0))</f>
        <v/>
      </c>
      <c r="F39" s="100" t="str">
        <f aca="false">IF(B39="","",IFERROR(VLOOKUP(B39,'8. Responsables EQUIFILLES'!B:K,10,FALSE()),0))</f>
        <v/>
      </c>
      <c r="G39" s="100" t="str">
        <f aca="false">IF(B39="","",IFERROR(VLOOKUP(B39,'13. Responsables S2L'!B:K,10,FALSE()),0))</f>
        <v/>
      </c>
      <c r="H39" s="91" t="str">
        <f aca="false">IF(B39="","",IFERROR((F39*IFERROR(C39,0)+G39*IFERROR(D39,0))/(IFERROR(C39,0)+IFERROR(D39,0)),0))</f>
        <v/>
      </c>
      <c r="I39" s="52" t="str">
        <f aca="false">IF(B39="","",IFERROR(VLOOKUP(B39,'8. Responsables EQUIFILLES'!B:G,6,FALSE()),0)+IFERROR(VLOOKUP(B39,'13. Responsables S2L'!B:G,6,FALSE()),0))</f>
        <v/>
      </c>
      <c r="J39" s="52" t="str">
        <f aca="false">IF(B39="","",IFERROR(VLOOKUP(B39,'8. Responsables EQUIFILLES'!B:F,5,FALSE()),0)+IFERROR(VLOOKUP(B39,'13. Responsables S2L'!B:F,5,FALSE()),0))</f>
        <v/>
      </c>
      <c r="K39" s="52" t="str">
        <f aca="false">IF(B39="","",IFERROR(VLOOKUP(B39,'8. Responsables EQUIFILLES'!B:H,7,FALSE()),0)+IFERROR(VLOOKUP(B39,'8. Responsables EQUIFILLES'!B:I,8,FALSE()),0)+IFERROR(VLOOKUP(B39,'13. Responsables S2L'!B:H,7,FALSE()),0)+IFERROR(VLOOKUP(B39,'13. Responsables S2L'!B:I,8,FALSE()),0))</f>
        <v/>
      </c>
      <c r="L39" s="38" t="str">
        <f aca="false">IF(B39="","",IF(H39&gt;=0.85,"Excellent",IF(H39&gt;=0.65,"Satisfaisant",IF(H39&gt;=0.4,"À améliorer",IF(H39&gt;0,"Insuffisant","Non évalué")))))</f>
        <v/>
      </c>
      <c r="M39" s="7" t="str">
        <f aca="false">IF(B39="","",IF(I39&gt;0,"⚠ Activités critiques à traiter",IF(J39&gt;2,"Plan d'action requis",IF(L39="Excellent","Maintenir le rythme",IF(L39="Satisfaisant","Continuer",IF(L39="À améliorer","Coaching nécessaire",IF(L39="Insuffisant","Plan d'amélioration urgent","À évaluer")))))))</f>
        <v/>
      </c>
    </row>
    <row r="40" customFormat="false" ht="24" hidden="false" customHeight="true" outlineLevel="0" collapsed="false">
      <c r="B40" s="10" t="str">
        <f aca="false">IF('3. Équipe'!C40="","",'3. Équipe'!C40)</f>
        <v/>
      </c>
      <c r="C40" s="52" t="str">
        <f aca="false">IF(B40="","",IFERROR(VLOOKUP(B40,'8. Responsables EQUIFILLES'!B:C,2,FALSE()),0))</f>
        <v/>
      </c>
      <c r="D40" s="52" t="str">
        <f aca="false">IF(B40="","",IFERROR(VLOOKUP(B40,'13. Responsables S2L'!B:C,2,FALSE()),0))</f>
        <v/>
      </c>
      <c r="E40" s="52" t="str">
        <f aca="false">IF(B40="","",IFERROR(C40,0)+IFERROR(D40,0))</f>
        <v/>
      </c>
      <c r="F40" s="100" t="str">
        <f aca="false">IF(B40="","",IFERROR(VLOOKUP(B40,'8. Responsables EQUIFILLES'!B:K,10,FALSE()),0))</f>
        <v/>
      </c>
      <c r="G40" s="100" t="str">
        <f aca="false">IF(B40="","",IFERROR(VLOOKUP(B40,'13. Responsables S2L'!B:K,10,FALSE()),0))</f>
        <v/>
      </c>
      <c r="H40" s="91" t="str">
        <f aca="false">IF(B40="","",IFERROR((F40*IFERROR(C40,0)+G40*IFERROR(D40,0))/(IFERROR(C40,0)+IFERROR(D40,0)),0))</f>
        <v/>
      </c>
      <c r="I40" s="52" t="str">
        <f aca="false">IF(B40="","",IFERROR(VLOOKUP(B40,'8. Responsables EQUIFILLES'!B:G,6,FALSE()),0)+IFERROR(VLOOKUP(B40,'13. Responsables S2L'!B:G,6,FALSE()),0))</f>
        <v/>
      </c>
      <c r="J40" s="52" t="str">
        <f aca="false">IF(B40="","",IFERROR(VLOOKUP(B40,'8. Responsables EQUIFILLES'!B:F,5,FALSE()),0)+IFERROR(VLOOKUP(B40,'13. Responsables S2L'!B:F,5,FALSE()),0))</f>
        <v/>
      </c>
      <c r="K40" s="52" t="str">
        <f aca="false">IF(B40="","",IFERROR(VLOOKUP(B40,'8. Responsables EQUIFILLES'!B:H,7,FALSE()),0)+IFERROR(VLOOKUP(B40,'8. Responsables EQUIFILLES'!B:I,8,FALSE()),0)+IFERROR(VLOOKUP(B40,'13. Responsables S2L'!B:H,7,FALSE()),0)+IFERROR(VLOOKUP(B40,'13. Responsables S2L'!B:I,8,FALSE()),0))</f>
        <v/>
      </c>
      <c r="L40" s="27" t="str">
        <f aca="false">IF(B40="","",IF(H40&gt;=0.85,"Excellent",IF(H40&gt;=0.65,"Satisfaisant",IF(H40&gt;=0.4,"À améliorer",IF(H40&gt;0,"Insuffisant","Non évalué")))))</f>
        <v/>
      </c>
      <c r="M40" s="11" t="str">
        <f aca="false">IF(B40="","",IF(I40&gt;0,"⚠ Activités critiques à traiter",IF(J40&gt;2,"Plan d'action requis",IF(L40="Excellent","Maintenir le rythme",IF(L40="Satisfaisant","Continuer",IF(L40="À améliorer","Coaching nécessaire",IF(L40="Insuffisant","Plan d'amélioration urgent","À évaluer")))))))</f>
        <v/>
      </c>
    </row>
    <row r="41" customFormat="false" ht="24" hidden="false" customHeight="true" outlineLevel="0" collapsed="false">
      <c r="B41" s="6" t="str">
        <f aca="false">IF('3. Équipe'!C41="","",'3. Équipe'!C41)</f>
        <v/>
      </c>
      <c r="C41" s="52" t="str">
        <f aca="false">IF(B41="","",IFERROR(VLOOKUP(B41,'8. Responsables EQUIFILLES'!B:C,2,FALSE()),0))</f>
        <v/>
      </c>
      <c r="D41" s="52" t="str">
        <f aca="false">IF(B41="","",IFERROR(VLOOKUP(B41,'13. Responsables S2L'!B:C,2,FALSE()),0))</f>
        <v/>
      </c>
      <c r="E41" s="52" t="str">
        <f aca="false">IF(B41="","",IFERROR(C41,0)+IFERROR(D41,0))</f>
        <v/>
      </c>
      <c r="F41" s="100" t="str">
        <f aca="false">IF(B41="","",IFERROR(VLOOKUP(B41,'8. Responsables EQUIFILLES'!B:K,10,FALSE()),0))</f>
        <v/>
      </c>
      <c r="G41" s="100" t="str">
        <f aca="false">IF(B41="","",IFERROR(VLOOKUP(B41,'13. Responsables S2L'!B:K,10,FALSE()),0))</f>
        <v/>
      </c>
      <c r="H41" s="91" t="str">
        <f aca="false">IF(B41="","",IFERROR((F41*IFERROR(C41,0)+G41*IFERROR(D41,0))/(IFERROR(C41,0)+IFERROR(D41,0)),0))</f>
        <v/>
      </c>
      <c r="I41" s="52" t="str">
        <f aca="false">IF(B41="","",IFERROR(VLOOKUP(B41,'8. Responsables EQUIFILLES'!B:G,6,FALSE()),0)+IFERROR(VLOOKUP(B41,'13. Responsables S2L'!B:G,6,FALSE()),0))</f>
        <v/>
      </c>
      <c r="J41" s="52" t="str">
        <f aca="false">IF(B41="","",IFERROR(VLOOKUP(B41,'8. Responsables EQUIFILLES'!B:F,5,FALSE()),0)+IFERROR(VLOOKUP(B41,'13. Responsables S2L'!B:F,5,FALSE()),0))</f>
        <v/>
      </c>
      <c r="K41" s="52" t="str">
        <f aca="false">IF(B41="","",IFERROR(VLOOKUP(B41,'8. Responsables EQUIFILLES'!B:H,7,FALSE()),0)+IFERROR(VLOOKUP(B41,'8. Responsables EQUIFILLES'!B:I,8,FALSE()),0)+IFERROR(VLOOKUP(B41,'13. Responsables S2L'!B:H,7,FALSE()),0)+IFERROR(VLOOKUP(B41,'13. Responsables S2L'!B:I,8,FALSE()),0))</f>
        <v/>
      </c>
      <c r="L41" s="38" t="str">
        <f aca="false">IF(B41="","",IF(H41&gt;=0.85,"Excellent",IF(H41&gt;=0.65,"Satisfaisant",IF(H41&gt;=0.4,"À améliorer",IF(H41&gt;0,"Insuffisant","Non évalué")))))</f>
        <v/>
      </c>
      <c r="M41" s="7" t="str">
        <f aca="false">IF(B41="","",IF(I41&gt;0,"⚠ Activités critiques à traiter",IF(J41&gt;2,"Plan d'action requis",IF(L41="Excellent","Maintenir le rythme",IF(L41="Satisfaisant","Continuer",IF(L41="À améliorer","Coaching nécessaire",IF(L41="Insuffisant","Plan d'amélioration urgent","À évaluer")))))))</f>
        <v/>
      </c>
    </row>
    <row r="42" customFormat="false" ht="24" hidden="false" customHeight="true" outlineLevel="0" collapsed="false">
      <c r="B42" s="10" t="str">
        <f aca="false">IF('3. Équipe'!C42="","",'3. Équipe'!C42)</f>
        <v/>
      </c>
      <c r="C42" s="52" t="str">
        <f aca="false">IF(B42="","",IFERROR(VLOOKUP(B42,'8. Responsables EQUIFILLES'!B:C,2,FALSE()),0))</f>
        <v/>
      </c>
      <c r="D42" s="52" t="str">
        <f aca="false">IF(B42="","",IFERROR(VLOOKUP(B42,'13. Responsables S2L'!B:C,2,FALSE()),0))</f>
        <v/>
      </c>
      <c r="E42" s="52" t="str">
        <f aca="false">IF(B42="","",IFERROR(C42,0)+IFERROR(D42,0))</f>
        <v/>
      </c>
      <c r="F42" s="100" t="str">
        <f aca="false">IF(B42="","",IFERROR(VLOOKUP(B42,'8. Responsables EQUIFILLES'!B:K,10,FALSE()),0))</f>
        <v/>
      </c>
      <c r="G42" s="100" t="str">
        <f aca="false">IF(B42="","",IFERROR(VLOOKUP(B42,'13. Responsables S2L'!B:K,10,FALSE()),0))</f>
        <v/>
      </c>
      <c r="H42" s="91" t="str">
        <f aca="false">IF(B42="","",IFERROR((F42*IFERROR(C42,0)+G42*IFERROR(D42,0))/(IFERROR(C42,0)+IFERROR(D42,0)),0))</f>
        <v/>
      </c>
      <c r="I42" s="52" t="str">
        <f aca="false">IF(B42="","",IFERROR(VLOOKUP(B42,'8. Responsables EQUIFILLES'!B:G,6,FALSE()),0)+IFERROR(VLOOKUP(B42,'13. Responsables S2L'!B:G,6,FALSE()),0))</f>
        <v/>
      </c>
      <c r="J42" s="52" t="str">
        <f aca="false">IF(B42="","",IFERROR(VLOOKUP(B42,'8. Responsables EQUIFILLES'!B:F,5,FALSE()),0)+IFERROR(VLOOKUP(B42,'13. Responsables S2L'!B:F,5,FALSE()),0))</f>
        <v/>
      </c>
      <c r="K42" s="52" t="str">
        <f aca="false">IF(B42="","",IFERROR(VLOOKUP(B42,'8. Responsables EQUIFILLES'!B:H,7,FALSE()),0)+IFERROR(VLOOKUP(B42,'8. Responsables EQUIFILLES'!B:I,8,FALSE()),0)+IFERROR(VLOOKUP(B42,'13. Responsables S2L'!B:H,7,FALSE()),0)+IFERROR(VLOOKUP(B42,'13. Responsables S2L'!B:I,8,FALSE()),0))</f>
        <v/>
      </c>
      <c r="L42" s="27" t="str">
        <f aca="false">IF(B42="","",IF(H42&gt;=0.85,"Excellent",IF(H42&gt;=0.65,"Satisfaisant",IF(H42&gt;=0.4,"À améliorer",IF(H42&gt;0,"Insuffisant","Non évalué")))))</f>
        <v/>
      </c>
      <c r="M42" s="11" t="str">
        <f aca="false">IF(B42="","",IF(I42&gt;0,"⚠ Activités critiques à traiter",IF(J42&gt;2,"Plan d'action requis",IF(L42="Excellent","Maintenir le rythme",IF(L42="Satisfaisant","Continuer",IF(L42="À améliorer","Coaching nécessaire",IF(L42="Insuffisant","Plan d'amélioration urgent","À évaluer")))))))</f>
        <v/>
      </c>
    </row>
    <row r="43" customFormat="false" ht="24" hidden="false" customHeight="true" outlineLevel="0" collapsed="false">
      <c r="B43" s="6" t="str">
        <f aca="false">IF('3. Équipe'!C43="","",'3. Équipe'!C43)</f>
        <v/>
      </c>
      <c r="C43" s="52" t="str">
        <f aca="false">IF(B43="","",IFERROR(VLOOKUP(B43,'8. Responsables EQUIFILLES'!B:C,2,FALSE()),0))</f>
        <v/>
      </c>
      <c r="D43" s="52" t="str">
        <f aca="false">IF(B43="","",IFERROR(VLOOKUP(B43,'13. Responsables S2L'!B:C,2,FALSE()),0))</f>
        <v/>
      </c>
      <c r="E43" s="52" t="str">
        <f aca="false">IF(B43="","",IFERROR(C43,0)+IFERROR(D43,0))</f>
        <v/>
      </c>
      <c r="F43" s="100" t="str">
        <f aca="false">IF(B43="","",IFERROR(VLOOKUP(B43,'8. Responsables EQUIFILLES'!B:K,10,FALSE()),0))</f>
        <v/>
      </c>
      <c r="G43" s="100" t="str">
        <f aca="false">IF(B43="","",IFERROR(VLOOKUP(B43,'13. Responsables S2L'!B:K,10,FALSE()),0))</f>
        <v/>
      </c>
      <c r="H43" s="91" t="str">
        <f aca="false">IF(B43="","",IFERROR((F43*IFERROR(C43,0)+G43*IFERROR(D43,0))/(IFERROR(C43,0)+IFERROR(D43,0)),0))</f>
        <v/>
      </c>
      <c r="I43" s="52" t="str">
        <f aca="false">IF(B43="","",IFERROR(VLOOKUP(B43,'8. Responsables EQUIFILLES'!B:G,6,FALSE()),0)+IFERROR(VLOOKUP(B43,'13. Responsables S2L'!B:G,6,FALSE()),0))</f>
        <v/>
      </c>
      <c r="J43" s="52" t="str">
        <f aca="false">IF(B43="","",IFERROR(VLOOKUP(B43,'8. Responsables EQUIFILLES'!B:F,5,FALSE()),0)+IFERROR(VLOOKUP(B43,'13. Responsables S2L'!B:F,5,FALSE()),0))</f>
        <v/>
      </c>
      <c r="K43" s="52" t="str">
        <f aca="false">IF(B43="","",IFERROR(VLOOKUP(B43,'8. Responsables EQUIFILLES'!B:H,7,FALSE()),0)+IFERROR(VLOOKUP(B43,'8. Responsables EQUIFILLES'!B:I,8,FALSE()),0)+IFERROR(VLOOKUP(B43,'13. Responsables S2L'!B:H,7,FALSE()),0)+IFERROR(VLOOKUP(B43,'13. Responsables S2L'!B:I,8,FALSE()),0))</f>
        <v/>
      </c>
      <c r="L43" s="38" t="str">
        <f aca="false">IF(B43="","",IF(H43&gt;=0.85,"Excellent",IF(H43&gt;=0.65,"Satisfaisant",IF(H43&gt;=0.4,"À améliorer",IF(H43&gt;0,"Insuffisant","Non évalué")))))</f>
        <v/>
      </c>
      <c r="M43" s="7" t="str">
        <f aca="false">IF(B43="","",IF(I43&gt;0,"⚠ Activités critiques à traiter",IF(J43&gt;2,"Plan d'action requis",IF(L43="Excellent","Maintenir le rythme",IF(L43="Satisfaisant","Continuer",IF(L43="À améliorer","Coaching nécessaire",IF(L43="Insuffisant","Plan d'amélioration urgent","À évaluer")))))))</f>
        <v/>
      </c>
    </row>
    <row r="44" customFormat="false" ht="24" hidden="false" customHeight="true" outlineLevel="0" collapsed="false">
      <c r="B44" s="10" t="str">
        <f aca="false">IF('3. Équipe'!C44="","",'3. Équipe'!C44)</f>
        <v/>
      </c>
      <c r="C44" s="52" t="str">
        <f aca="false">IF(B44="","",IFERROR(VLOOKUP(B44,'8. Responsables EQUIFILLES'!B:C,2,FALSE()),0))</f>
        <v/>
      </c>
      <c r="D44" s="52" t="str">
        <f aca="false">IF(B44="","",IFERROR(VLOOKUP(B44,'13. Responsables S2L'!B:C,2,FALSE()),0))</f>
        <v/>
      </c>
      <c r="E44" s="52" t="str">
        <f aca="false">IF(B44="","",IFERROR(C44,0)+IFERROR(D44,0))</f>
        <v/>
      </c>
      <c r="F44" s="100" t="str">
        <f aca="false">IF(B44="","",IFERROR(VLOOKUP(B44,'8. Responsables EQUIFILLES'!B:K,10,FALSE()),0))</f>
        <v/>
      </c>
      <c r="G44" s="100" t="str">
        <f aca="false">IF(B44="","",IFERROR(VLOOKUP(B44,'13. Responsables S2L'!B:K,10,FALSE()),0))</f>
        <v/>
      </c>
      <c r="H44" s="91" t="str">
        <f aca="false">IF(B44="","",IFERROR((F44*IFERROR(C44,0)+G44*IFERROR(D44,0))/(IFERROR(C44,0)+IFERROR(D44,0)),0))</f>
        <v/>
      </c>
      <c r="I44" s="52" t="str">
        <f aca="false">IF(B44="","",IFERROR(VLOOKUP(B44,'8. Responsables EQUIFILLES'!B:G,6,FALSE()),0)+IFERROR(VLOOKUP(B44,'13. Responsables S2L'!B:G,6,FALSE()),0))</f>
        <v/>
      </c>
      <c r="J44" s="52" t="str">
        <f aca="false">IF(B44="","",IFERROR(VLOOKUP(B44,'8. Responsables EQUIFILLES'!B:F,5,FALSE()),0)+IFERROR(VLOOKUP(B44,'13. Responsables S2L'!B:F,5,FALSE()),0))</f>
        <v/>
      </c>
      <c r="K44" s="52" t="str">
        <f aca="false">IF(B44="","",IFERROR(VLOOKUP(B44,'8. Responsables EQUIFILLES'!B:H,7,FALSE()),0)+IFERROR(VLOOKUP(B44,'8. Responsables EQUIFILLES'!B:I,8,FALSE()),0)+IFERROR(VLOOKUP(B44,'13. Responsables S2L'!B:H,7,FALSE()),0)+IFERROR(VLOOKUP(B44,'13. Responsables S2L'!B:I,8,FALSE()),0))</f>
        <v/>
      </c>
      <c r="L44" s="27" t="str">
        <f aca="false">IF(B44="","",IF(H44&gt;=0.85,"Excellent",IF(H44&gt;=0.65,"Satisfaisant",IF(H44&gt;=0.4,"À améliorer",IF(H44&gt;0,"Insuffisant","Non évalué")))))</f>
        <v/>
      </c>
      <c r="M44" s="11" t="str">
        <f aca="false">IF(B44="","",IF(I44&gt;0,"⚠ Activités critiques à traiter",IF(J44&gt;2,"Plan d'action requis",IF(L44="Excellent","Maintenir le rythme",IF(L44="Satisfaisant","Continuer",IF(L44="À améliorer","Coaching nécessaire",IF(L44="Insuffisant","Plan d'amélioration urgent","À évaluer")))))))</f>
        <v/>
      </c>
    </row>
    <row r="45" customFormat="false" ht="24" hidden="false" customHeight="true" outlineLevel="0" collapsed="false">
      <c r="B45" s="6" t="str">
        <f aca="false">IF('3. Équipe'!C45="","",'3. Équipe'!C45)</f>
        <v/>
      </c>
      <c r="C45" s="52" t="str">
        <f aca="false">IF(B45="","",IFERROR(VLOOKUP(B45,'8. Responsables EQUIFILLES'!B:C,2,FALSE()),0))</f>
        <v/>
      </c>
      <c r="D45" s="52" t="str">
        <f aca="false">IF(B45="","",IFERROR(VLOOKUP(B45,'13. Responsables S2L'!B:C,2,FALSE()),0))</f>
        <v/>
      </c>
      <c r="E45" s="52" t="str">
        <f aca="false">IF(B45="","",IFERROR(C45,0)+IFERROR(D45,0))</f>
        <v/>
      </c>
      <c r="F45" s="100" t="str">
        <f aca="false">IF(B45="","",IFERROR(VLOOKUP(B45,'8. Responsables EQUIFILLES'!B:K,10,FALSE()),0))</f>
        <v/>
      </c>
      <c r="G45" s="100" t="str">
        <f aca="false">IF(B45="","",IFERROR(VLOOKUP(B45,'13. Responsables S2L'!B:K,10,FALSE()),0))</f>
        <v/>
      </c>
      <c r="H45" s="91" t="str">
        <f aca="false">IF(B45="","",IFERROR((F45*IFERROR(C45,0)+G45*IFERROR(D45,0))/(IFERROR(C45,0)+IFERROR(D45,0)),0))</f>
        <v/>
      </c>
      <c r="I45" s="52" t="str">
        <f aca="false">IF(B45="","",IFERROR(VLOOKUP(B45,'8. Responsables EQUIFILLES'!B:G,6,FALSE()),0)+IFERROR(VLOOKUP(B45,'13. Responsables S2L'!B:G,6,FALSE()),0))</f>
        <v/>
      </c>
      <c r="J45" s="52" t="str">
        <f aca="false">IF(B45="","",IFERROR(VLOOKUP(B45,'8. Responsables EQUIFILLES'!B:F,5,FALSE()),0)+IFERROR(VLOOKUP(B45,'13. Responsables S2L'!B:F,5,FALSE()),0))</f>
        <v/>
      </c>
      <c r="K45" s="52" t="str">
        <f aca="false">IF(B45="","",IFERROR(VLOOKUP(B45,'8. Responsables EQUIFILLES'!B:H,7,FALSE()),0)+IFERROR(VLOOKUP(B45,'8. Responsables EQUIFILLES'!B:I,8,FALSE()),0)+IFERROR(VLOOKUP(B45,'13. Responsables S2L'!B:H,7,FALSE()),0)+IFERROR(VLOOKUP(B45,'13. Responsables S2L'!B:I,8,FALSE()),0))</f>
        <v/>
      </c>
      <c r="L45" s="38" t="str">
        <f aca="false">IF(B45="","",IF(H45&gt;=0.85,"Excellent",IF(H45&gt;=0.65,"Satisfaisant",IF(H45&gt;=0.4,"À améliorer",IF(H45&gt;0,"Insuffisant","Non évalué")))))</f>
        <v/>
      </c>
      <c r="M45" s="7" t="str">
        <f aca="false">IF(B45="","",IF(I45&gt;0,"⚠ Activités critiques à traiter",IF(J45&gt;2,"Plan d'action requis",IF(L45="Excellent","Maintenir le rythme",IF(L45="Satisfaisant","Continuer",IF(L45="À améliorer","Coaching nécessaire",IF(L45="Insuffisant","Plan d'amélioration urgent","À évaluer")))))))</f>
        <v/>
      </c>
    </row>
    <row r="46" customFormat="false" ht="24" hidden="false" customHeight="true" outlineLevel="0" collapsed="false">
      <c r="B46" s="10" t="str">
        <f aca="false">IF('3. Équipe'!C46="","",'3. Équipe'!C46)</f>
        <v/>
      </c>
      <c r="C46" s="52" t="str">
        <f aca="false">IF(B46="","",IFERROR(VLOOKUP(B46,'8. Responsables EQUIFILLES'!B:C,2,FALSE()),0))</f>
        <v/>
      </c>
      <c r="D46" s="52" t="str">
        <f aca="false">IF(B46="","",IFERROR(VLOOKUP(B46,'13. Responsables S2L'!B:C,2,FALSE()),0))</f>
        <v/>
      </c>
      <c r="E46" s="52" t="str">
        <f aca="false">IF(B46="","",IFERROR(C46,0)+IFERROR(D46,0))</f>
        <v/>
      </c>
      <c r="F46" s="100" t="str">
        <f aca="false">IF(B46="","",IFERROR(VLOOKUP(B46,'8. Responsables EQUIFILLES'!B:K,10,FALSE()),0))</f>
        <v/>
      </c>
      <c r="G46" s="100" t="str">
        <f aca="false">IF(B46="","",IFERROR(VLOOKUP(B46,'13. Responsables S2L'!B:K,10,FALSE()),0))</f>
        <v/>
      </c>
      <c r="H46" s="91" t="str">
        <f aca="false">IF(B46="","",IFERROR((F46*IFERROR(C46,0)+G46*IFERROR(D46,0))/(IFERROR(C46,0)+IFERROR(D46,0)),0))</f>
        <v/>
      </c>
      <c r="I46" s="52" t="str">
        <f aca="false">IF(B46="","",IFERROR(VLOOKUP(B46,'8. Responsables EQUIFILLES'!B:G,6,FALSE()),0)+IFERROR(VLOOKUP(B46,'13. Responsables S2L'!B:G,6,FALSE()),0))</f>
        <v/>
      </c>
      <c r="J46" s="52" t="str">
        <f aca="false">IF(B46="","",IFERROR(VLOOKUP(B46,'8. Responsables EQUIFILLES'!B:F,5,FALSE()),0)+IFERROR(VLOOKUP(B46,'13. Responsables S2L'!B:F,5,FALSE()),0))</f>
        <v/>
      </c>
      <c r="K46" s="52" t="str">
        <f aca="false">IF(B46="","",IFERROR(VLOOKUP(B46,'8. Responsables EQUIFILLES'!B:H,7,FALSE()),0)+IFERROR(VLOOKUP(B46,'8. Responsables EQUIFILLES'!B:I,8,FALSE()),0)+IFERROR(VLOOKUP(B46,'13. Responsables S2L'!B:H,7,FALSE()),0)+IFERROR(VLOOKUP(B46,'13. Responsables S2L'!B:I,8,FALSE()),0))</f>
        <v/>
      </c>
      <c r="L46" s="27" t="str">
        <f aca="false">IF(B46="","",IF(H46&gt;=0.85,"Excellent",IF(H46&gt;=0.65,"Satisfaisant",IF(H46&gt;=0.4,"À améliorer",IF(H46&gt;0,"Insuffisant","Non évalué")))))</f>
        <v/>
      </c>
      <c r="M46" s="11" t="str">
        <f aca="false">IF(B46="","",IF(I46&gt;0,"⚠ Activités critiques à traiter",IF(J46&gt;2,"Plan d'action requis",IF(L46="Excellent","Maintenir le rythme",IF(L46="Satisfaisant","Continuer",IF(L46="À améliorer","Coaching nécessaire",IF(L46="Insuffisant","Plan d'amélioration urgent","À évaluer")))))))</f>
        <v/>
      </c>
    </row>
    <row r="47" customFormat="false" ht="24" hidden="false" customHeight="true" outlineLevel="0" collapsed="false">
      <c r="B47" s="6" t="str">
        <f aca="false">IF('3. Équipe'!C47="","",'3. Équipe'!C47)</f>
        <v/>
      </c>
      <c r="C47" s="52" t="str">
        <f aca="false">IF(B47="","",IFERROR(VLOOKUP(B47,'8. Responsables EQUIFILLES'!B:C,2,FALSE()),0))</f>
        <v/>
      </c>
      <c r="D47" s="52" t="str">
        <f aca="false">IF(B47="","",IFERROR(VLOOKUP(B47,'13. Responsables S2L'!B:C,2,FALSE()),0))</f>
        <v/>
      </c>
      <c r="E47" s="52" t="str">
        <f aca="false">IF(B47="","",IFERROR(C47,0)+IFERROR(D47,0))</f>
        <v/>
      </c>
      <c r="F47" s="100" t="str">
        <f aca="false">IF(B47="","",IFERROR(VLOOKUP(B47,'8. Responsables EQUIFILLES'!B:K,10,FALSE()),0))</f>
        <v/>
      </c>
      <c r="G47" s="100" t="str">
        <f aca="false">IF(B47="","",IFERROR(VLOOKUP(B47,'13. Responsables S2L'!B:K,10,FALSE()),0))</f>
        <v/>
      </c>
      <c r="H47" s="91" t="str">
        <f aca="false">IF(B47="","",IFERROR((F47*IFERROR(C47,0)+G47*IFERROR(D47,0))/(IFERROR(C47,0)+IFERROR(D47,0)),0))</f>
        <v/>
      </c>
      <c r="I47" s="52" t="str">
        <f aca="false">IF(B47="","",IFERROR(VLOOKUP(B47,'8. Responsables EQUIFILLES'!B:G,6,FALSE()),0)+IFERROR(VLOOKUP(B47,'13. Responsables S2L'!B:G,6,FALSE()),0))</f>
        <v/>
      </c>
      <c r="J47" s="52" t="str">
        <f aca="false">IF(B47="","",IFERROR(VLOOKUP(B47,'8. Responsables EQUIFILLES'!B:F,5,FALSE()),0)+IFERROR(VLOOKUP(B47,'13. Responsables S2L'!B:F,5,FALSE()),0))</f>
        <v/>
      </c>
      <c r="K47" s="52" t="str">
        <f aca="false">IF(B47="","",IFERROR(VLOOKUP(B47,'8. Responsables EQUIFILLES'!B:H,7,FALSE()),0)+IFERROR(VLOOKUP(B47,'8. Responsables EQUIFILLES'!B:I,8,FALSE()),0)+IFERROR(VLOOKUP(B47,'13. Responsables S2L'!B:H,7,FALSE()),0)+IFERROR(VLOOKUP(B47,'13. Responsables S2L'!B:I,8,FALSE()),0))</f>
        <v/>
      </c>
      <c r="L47" s="38" t="str">
        <f aca="false">IF(B47="","",IF(H47&gt;=0.85,"Excellent",IF(H47&gt;=0.65,"Satisfaisant",IF(H47&gt;=0.4,"À améliorer",IF(H47&gt;0,"Insuffisant","Non évalué")))))</f>
        <v/>
      </c>
      <c r="M47" s="7" t="str">
        <f aca="false">IF(B47="","",IF(I47&gt;0,"⚠ Activités critiques à traiter",IF(J47&gt;2,"Plan d'action requis",IF(L47="Excellent","Maintenir le rythme",IF(L47="Satisfaisant","Continuer",IF(L47="À améliorer","Coaching nécessaire",IF(L47="Insuffisant","Plan d'amélioration urgent","À évaluer")))))))</f>
        <v/>
      </c>
    </row>
    <row r="48" customFormat="false" ht="24" hidden="false" customHeight="true" outlineLevel="0" collapsed="false">
      <c r="B48" s="10" t="str">
        <f aca="false">IF('3. Équipe'!C48="","",'3. Équipe'!C48)</f>
        <v/>
      </c>
      <c r="C48" s="52" t="str">
        <f aca="false">IF(B48="","",IFERROR(VLOOKUP(B48,'8. Responsables EQUIFILLES'!B:C,2,FALSE()),0))</f>
        <v/>
      </c>
      <c r="D48" s="52" t="str">
        <f aca="false">IF(B48="","",IFERROR(VLOOKUP(B48,'13. Responsables S2L'!B:C,2,FALSE()),0))</f>
        <v/>
      </c>
      <c r="E48" s="52" t="str">
        <f aca="false">IF(B48="","",IFERROR(C48,0)+IFERROR(D48,0))</f>
        <v/>
      </c>
      <c r="F48" s="100" t="str">
        <f aca="false">IF(B48="","",IFERROR(VLOOKUP(B48,'8. Responsables EQUIFILLES'!B:K,10,FALSE()),0))</f>
        <v/>
      </c>
      <c r="G48" s="100" t="str">
        <f aca="false">IF(B48="","",IFERROR(VLOOKUP(B48,'13. Responsables S2L'!B:K,10,FALSE()),0))</f>
        <v/>
      </c>
      <c r="H48" s="91" t="str">
        <f aca="false">IF(B48="","",IFERROR((F48*IFERROR(C48,0)+G48*IFERROR(D48,0))/(IFERROR(C48,0)+IFERROR(D48,0)),0))</f>
        <v/>
      </c>
      <c r="I48" s="52" t="str">
        <f aca="false">IF(B48="","",IFERROR(VLOOKUP(B48,'8. Responsables EQUIFILLES'!B:G,6,FALSE()),0)+IFERROR(VLOOKUP(B48,'13. Responsables S2L'!B:G,6,FALSE()),0))</f>
        <v/>
      </c>
      <c r="J48" s="52" t="str">
        <f aca="false">IF(B48="","",IFERROR(VLOOKUP(B48,'8. Responsables EQUIFILLES'!B:F,5,FALSE()),0)+IFERROR(VLOOKUP(B48,'13. Responsables S2L'!B:F,5,FALSE()),0))</f>
        <v/>
      </c>
      <c r="K48" s="52" t="str">
        <f aca="false">IF(B48="","",IFERROR(VLOOKUP(B48,'8. Responsables EQUIFILLES'!B:H,7,FALSE()),0)+IFERROR(VLOOKUP(B48,'8. Responsables EQUIFILLES'!B:I,8,FALSE()),0)+IFERROR(VLOOKUP(B48,'13. Responsables S2L'!B:H,7,FALSE()),0)+IFERROR(VLOOKUP(B48,'13. Responsables S2L'!B:I,8,FALSE()),0))</f>
        <v/>
      </c>
      <c r="L48" s="27" t="str">
        <f aca="false">IF(B48="","",IF(H48&gt;=0.85,"Excellent",IF(H48&gt;=0.65,"Satisfaisant",IF(H48&gt;=0.4,"À améliorer",IF(H48&gt;0,"Insuffisant","Non évalué")))))</f>
        <v/>
      </c>
      <c r="M48" s="11" t="str">
        <f aca="false">IF(B48="","",IF(I48&gt;0,"⚠ Activités critiques à traiter",IF(J48&gt;2,"Plan d'action requis",IF(L48="Excellent","Maintenir le rythme",IF(L48="Satisfaisant","Continuer",IF(L48="À améliorer","Coaching nécessaire",IF(L48="Insuffisant","Plan d'amélioration urgent","À évaluer")))))))</f>
        <v/>
      </c>
    </row>
    <row r="49" customFormat="false" ht="24" hidden="false" customHeight="true" outlineLevel="0" collapsed="false">
      <c r="B49" s="6" t="str">
        <f aca="false">IF('3. Équipe'!C49="","",'3. Équipe'!C49)</f>
        <v/>
      </c>
      <c r="C49" s="52" t="str">
        <f aca="false">IF(B49="","",IFERROR(VLOOKUP(B49,'8. Responsables EQUIFILLES'!B:C,2,FALSE()),0))</f>
        <v/>
      </c>
      <c r="D49" s="52" t="str">
        <f aca="false">IF(B49="","",IFERROR(VLOOKUP(B49,'13. Responsables S2L'!B:C,2,FALSE()),0))</f>
        <v/>
      </c>
      <c r="E49" s="52" t="str">
        <f aca="false">IF(B49="","",IFERROR(C49,0)+IFERROR(D49,0))</f>
        <v/>
      </c>
      <c r="F49" s="100" t="str">
        <f aca="false">IF(B49="","",IFERROR(VLOOKUP(B49,'8. Responsables EQUIFILLES'!B:K,10,FALSE()),0))</f>
        <v/>
      </c>
      <c r="G49" s="100" t="str">
        <f aca="false">IF(B49="","",IFERROR(VLOOKUP(B49,'13. Responsables S2L'!B:K,10,FALSE()),0))</f>
        <v/>
      </c>
      <c r="H49" s="91" t="str">
        <f aca="false">IF(B49="","",IFERROR((F49*IFERROR(C49,0)+G49*IFERROR(D49,0))/(IFERROR(C49,0)+IFERROR(D49,0)),0))</f>
        <v/>
      </c>
      <c r="I49" s="52" t="str">
        <f aca="false">IF(B49="","",IFERROR(VLOOKUP(B49,'8. Responsables EQUIFILLES'!B:G,6,FALSE()),0)+IFERROR(VLOOKUP(B49,'13. Responsables S2L'!B:G,6,FALSE()),0))</f>
        <v/>
      </c>
      <c r="J49" s="52" t="str">
        <f aca="false">IF(B49="","",IFERROR(VLOOKUP(B49,'8. Responsables EQUIFILLES'!B:F,5,FALSE()),0)+IFERROR(VLOOKUP(B49,'13. Responsables S2L'!B:F,5,FALSE()),0))</f>
        <v/>
      </c>
      <c r="K49" s="52" t="str">
        <f aca="false">IF(B49="","",IFERROR(VLOOKUP(B49,'8. Responsables EQUIFILLES'!B:H,7,FALSE()),0)+IFERROR(VLOOKUP(B49,'8. Responsables EQUIFILLES'!B:I,8,FALSE()),0)+IFERROR(VLOOKUP(B49,'13. Responsables S2L'!B:H,7,FALSE()),0)+IFERROR(VLOOKUP(B49,'13. Responsables S2L'!B:I,8,FALSE()),0))</f>
        <v/>
      </c>
      <c r="L49" s="38" t="str">
        <f aca="false">IF(B49="","",IF(H49&gt;=0.85,"Excellent",IF(H49&gt;=0.65,"Satisfaisant",IF(H49&gt;=0.4,"À améliorer",IF(H49&gt;0,"Insuffisant","Non évalué")))))</f>
        <v/>
      </c>
      <c r="M49" s="7" t="str">
        <f aca="false">IF(B49="","",IF(I49&gt;0,"⚠ Activités critiques à traiter",IF(J49&gt;2,"Plan d'action requis",IF(L49="Excellent","Maintenir le rythme",IF(L49="Satisfaisant","Continuer",IF(L49="À améliorer","Coaching nécessaire",IF(L49="Insuffisant","Plan d'amélioration urgent","À évaluer")))))))</f>
        <v/>
      </c>
    </row>
    <row r="50" customFormat="false" ht="24" hidden="false" customHeight="true" outlineLevel="0" collapsed="false">
      <c r="B50" s="10" t="str">
        <f aca="false">IF('3. Équipe'!C50="","",'3. Équipe'!C50)</f>
        <v/>
      </c>
      <c r="C50" s="52" t="str">
        <f aca="false">IF(B50="","",IFERROR(VLOOKUP(B50,'8. Responsables EQUIFILLES'!B:C,2,FALSE()),0))</f>
        <v/>
      </c>
      <c r="D50" s="52" t="str">
        <f aca="false">IF(B50="","",IFERROR(VLOOKUP(B50,'13. Responsables S2L'!B:C,2,FALSE()),0))</f>
        <v/>
      </c>
      <c r="E50" s="52" t="str">
        <f aca="false">IF(B50="","",IFERROR(C50,0)+IFERROR(D50,0))</f>
        <v/>
      </c>
      <c r="F50" s="100" t="str">
        <f aca="false">IF(B50="","",IFERROR(VLOOKUP(B50,'8. Responsables EQUIFILLES'!B:K,10,FALSE()),0))</f>
        <v/>
      </c>
      <c r="G50" s="100" t="str">
        <f aca="false">IF(B50="","",IFERROR(VLOOKUP(B50,'13. Responsables S2L'!B:K,10,FALSE()),0))</f>
        <v/>
      </c>
      <c r="H50" s="91" t="str">
        <f aca="false">IF(B50="","",IFERROR((F50*IFERROR(C50,0)+G50*IFERROR(D50,0))/(IFERROR(C50,0)+IFERROR(D50,0)),0))</f>
        <v/>
      </c>
      <c r="I50" s="52" t="str">
        <f aca="false">IF(B50="","",IFERROR(VLOOKUP(B50,'8. Responsables EQUIFILLES'!B:G,6,FALSE()),0)+IFERROR(VLOOKUP(B50,'13. Responsables S2L'!B:G,6,FALSE()),0))</f>
        <v/>
      </c>
      <c r="J50" s="52" t="str">
        <f aca="false">IF(B50="","",IFERROR(VLOOKUP(B50,'8. Responsables EQUIFILLES'!B:F,5,FALSE()),0)+IFERROR(VLOOKUP(B50,'13. Responsables S2L'!B:F,5,FALSE()),0))</f>
        <v/>
      </c>
      <c r="K50" s="52" t="str">
        <f aca="false">IF(B50="","",IFERROR(VLOOKUP(B50,'8. Responsables EQUIFILLES'!B:H,7,FALSE()),0)+IFERROR(VLOOKUP(B50,'8. Responsables EQUIFILLES'!B:I,8,FALSE()),0)+IFERROR(VLOOKUP(B50,'13. Responsables S2L'!B:H,7,FALSE()),0)+IFERROR(VLOOKUP(B50,'13. Responsables S2L'!B:I,8,FALSE()),0))</f>
        <v/>
      </c>
      <c r="L50" s="27" t="str">
        <f aca="false">IF(B50="","",IF(H50&gt;=0.85,"Excellent",IF(H50&gt;=0.65,"Satisfaisant",IF(H50&gt;=0.4,"À améliorer",IF(H50&gt;0,"Insuffisant","Non évalué")))))</f>
        <v/>
      </c>
      <c r="M50" s="11" t="str">
        <f aca="false">IF(B50="","",IF(I50&gt;0,"⚠ Activités critiques à traiter",IF(J50&gt;2,"Plan d'action requis",IF(L50="Excellent","Maintenir le rythme",IF(L50="Satisfaisant","Continuer",IF(L50="À améliorer","Coaching nécessaire",IF(L50="Insuffisant","Plan d'amélioration urgent","À évaluer")))))))</f>
        <v/>
      </c>
    </row>
    <row r="51" customFormat="false" ht="24" hidden="false" customHeight="true" outlineLevel="0" collapsed="false">
      <c r="B51" s="6" t="str">
        <f aca="false">IF('3. Équipe'!C51="","",'3. Équipe'!C51)</f>
        <v/>
      </c>
      <c r="C51" s="52" t="str">
        <f aca="false">IF(B51="","",IFERROR(VLOOKUP(B51,'8. Responsables EQUIFILLES'!B:C,2,FALSE()),0))</f>
        <v/>
      </c>
      <c r="D51" s="52" t="str">
        <f aca="false">IF(B51="","",IFERROR(VLOOKUP(B51,'13. Responsables S2L'!B:C,2,FALSE()),0))</f>
        <v/>
      </c>
      <c r="E51" s="52" t="str">
        <f aca="false">IF(B51="","",IFERROR(C51,0)+IFERROR(D51,0))</f>
        <v/>
      </c>
      <c r="F51" s="100" t="str">
        <f aca="false">IF(B51="","",IFERROR(VLOOKUP(B51,'8. Responsables EQUIFILLES'!B:K,10,FALSE()),0))</f>
        <v/>
      </c>
      <c r="G51" s="100" t="str">
        <f aca="false">IF(B51="","",IFERROR(VLOOKUP(B51,'13. Responsables S2L'!B:K,10,FALSE()),0))</f>
        <v/>
      </c>
      <c r="H51" s="91" t="str">
        <f aca="false">IF(B51="","",IFERROR((F51*IFERROR(C51,0)+G51*IFERROR(D51,0))/(IFERROR(C51,0)+IFERROR(D51,0)),0))</f>
        <v/>
      </c>
      <c r="I51" s="52" t="str">
        <f aca="false">IF(B51="","",IFERROR(VLOOKUP(B51,'8. Responsables EQUIFILLES'!B:G,6,FALSE()),0)+IFERROR(VLOOKUP(B51,'13. Responsables S2L'!B:G,6,FALSE()),0))</f>
        <v/>
      </c>
      <c r="J51" s="52" t="str">
        <f aca="false">IF(B51="","",IFERROR(VLOOKUP(B51,'8. Responsables EQUIFILLES'!B:F,5,FALSE()),0)+IFERROR(VLOOKUP(B51,'13. Responsables S2L'!B:F,5,FALSE()),0))</f>
        <v/>
      </c>
      <c r="K51" s="52" t="str">
        <f aca="false">IF(B51="","",IFERROR(VLOOKUP(B51,'8. Responsables EQUIFILLES'!B:H,7,FALSE()),0)+IFERROR(VLOOKUP(B51,'8. Responsables EQUIFILLES'!B:I,8,FALSE()),0)+IFERROR(VLOOKUP(B51,'13. Responsables S2L'!B:H,7,FALSE()),0)+IFERROR(VLOOKUP(B51,'13. Responsables S2L'!B:I,8,FALSE()),0))</f>
        <v/>
      </c>
      <c r="L51" s="38" t="str">
        <f aca="false">IF(B51="","",IF(H51&gt;=0.85,"Excellent",IF(H51&gt;=0.65,"Satisfaisant",IF(H51&gt;=0.4,"À améliorer",IF(H51&gt;0,"Insuffisant","Non évalué")))))</f>
        <v/>
      </c>
      <c r="M51" s="7" t="str">
        <f aca="false">IF(B51="","",IF(I51&gt;0,"⚠ Activités critiques à traiter",IF(J51&gt;2,"Plan d'action requis",IF(L51="Excellent","Maintenir le rythme",IF(L51="Satisfaisant","Continuer",IF(L51="À améliorer","Coaching nécessaire",IF(L51="Insuffisant","Plan d'amélioration urgent","À évaluer")))))))</f>
        <v/>
      </c>
    </row>
    <row r="52" customFormat="false" ht="24" hidden="false" customHeight="true" outlineLevel="0" collapsed="false">
      <c r="B52" s="10" t="str">
        <f aca="false">IF('3. Équipe'!C52="","",'3. Équipe'!C52)</f>
        <v/>
      </c>
      <c r="C52" s="52" t="str">
        <f aca="false">IF(B52="","",IFERROR(VLOOKUP(B52,'8. Responsables EQUIFILLES'!B:C,2,FALSE()),0))</f>
        <v/>
      </c>
      <c r="D52" s="52" t="str">
        <f aca="false">IF(B52="","",IFERROR(VLOOKUP(B52,'13. Responsables S2L'!B:C,2,FALSE()),0))</f>
        <v/>
      </c>
      <c r="E52" s="52" t="str">
        <f aca="false">IF(B52="","",IFERROR(C52,0)+IFERROR(D52,0))</f>
        <v/>
      </c>
      <c r="F52" s="100" t="str">
        <f aca="false">IF(B52="","",IFERROR(VLOOKUP(B52,'8. Responsables EQUIFILLES'!B:K,10,FALSE()),0))</f>
        <v/>
      </c>
      <c r="G52" s="100" t="str">
        <f aca="false">IF(B52="","",IFERROR(VLOOKUP(B52,'13. Responsables S2L'!B:K,10,FALSE()),0))</f>
        <v/>
      </c>
      <c r="H52" s="91" t="str">
        <f aca="false">IF(B52="","",IFERROR((F52*IFERROR(C52,0)+G52*IFERROR(D52,0))/(IFERROR(C52,0)+IFERROR(D52,0)),0))</f>
        <v/>
      </c>
      <c r="I52" s="52" t="str">
        <f aca="false">IF(B52="","",IFERROR(VLOOKUP(B52,'8. Responsables EQUIFILLES'!B:G,6,FALSE()),0)+IFERROR(VLOOKUP(B52,'13. Responsables S2L'!B:G,6,FALSE()),0))</f>
        <v/>
      </c>
      <c r="J52" s="52" t="str">
        <f aca="false">IF(B52="","",IFERROR(VLOOKUP(B52,'8. Responsables EQUIFILLES'!B:F,5,FALSE()),0)+IFERROR(VLOOKUP(B52,'13. Responsables S2L'!B:F,5,FALSE()),0))</f>
        <v/>
      </c>
      <c r="K52" s="52" t="str">
        <f aca="false">IF(B52="","",IFERROR(VLOOKUP(B52,'8. Responsables EQUIFILLES'!B:H,7,FALSE()),0)+IFERROR(VLOOKUP(B52,'8. Responsables EQUIFILLES'!B:I,8,FALSE()),0)+IFERROR(VLOOKUP(B52,'13. Responsables S2L'!B:H,7,FALSE()),0)+IFERROR(VLOOKUP(B52,'13. Responsables S2L'!B:I,8,FALSE()),0))</f>
        <v/>
      </c>
      <c r="L52" s="27" t="str">
        <f aca="false">IF(B52="","",IF(H52&gt;=0.85,"Excellent",IF(H52&gt;=0.65,"Satisfaisant",IF(H52&gt;=0.4,"À améliorer",IF(H52&gt;0,"Insuffisant","Non évalué")))))</f>
        <v/>
      </c>
      <c r="M52" s="11" t="str">
        <f aca="false">IF(B52="","",IF(I52&gt;0,"⚠ Activités critiques à traiter",IF(J52&gt;2,"Plan d'action requis",IF(L52="Excellent","Maintenir le rythme",IF(L52="Satisfaisant","Continuer",IF(L52="À améliorer","Coaching nécessaire",IF(L52="Insuffisant","Plan d'amélioration urgent","À évaluer")))))))</f>
        <v/>
      </c>
    </row>
    <row r="53" customFormat="false" ht="24" hidden="false" customHeight="true" outlineLevel="0" collapsed="false">
      <c r="B53" s="6" t="str">
        <f aca="false">IF('3. Équipe'!C53="","",'3. Équipe'!C53)</f>
        <v/>
      </c>
      <c r="C53" s="52" t="str">
        <f aca="false">IF(B53="","",IFERROR(VLOOKUP(B53,'8. Responsables EQUIFILLES'!B:C,2,FALSE()),0))</f>
        <v/>
      </c>
      <c r="D53" s="52" t="str">
        <f aca="false">IF(B53="","",IFERROR(VLOOKUP(B53,'13. Responsables S2L'!B:C,2,FALSE()),0))</f>
        <v/>
      </c>
      <c r="E53" s="52" t="str">
        <f aca="false">IF(B53="","",IFERROR(C53,0)+IFERROR(D53,0))</f>
        <v/>
      </c>
      <c r="F53" s="100" t="str">
        <f aca="false">IF(B53="","",IFERROR(VLOOKUP(B53,'8. Responsables EQUIFILLES'!B:K,10,FALSE()),0))</f>
        <v/>
      </c>
      <c r="G53" s="100" t="str">
        <f aca="false">IF(B53="","",IFERROR(VLOOKUP(B53,'13. Responsables S2L'!B:K,10,FALSE()),0))</f>
        <v/>
      </c>
      <c r="H53" s="91" t="str">
        <f aca="false">IF(B53="","",IFERROR((F53*IFERROR(C53,0)+G53*IFERROR(D53,0))/(IFERROR(C53,0)+IFERROR(D53,0)),0))</f>
        <v/>
      </c>
      <c r="I53" s="52" t="str">
        <f aca="false">IF(B53="","",IFERROR(VLOOKUP(B53,'8. Responsables EQUIFILLES'!B:G,6,FALSE()),0)+IFERROR(VLOOKUP(B53,'13. Responsables S2L'!B:G,6,FALSE()),0))</f>
        <v/>
      </c>
      <c r="J53" s="52" t="str">
        <f aca="false">IF(B53="","",IFERROR(VLOOKUP(B53,'8. Responsables EQUIFILLES'!B:F,5,FALSE()),0)+IFERROR(VLOOKUP(B53,'13. Responsables S2L'!B:F,5,FALSE()),0))</f>
        <v/>
      </c>
      <c r="K53" s="52" t="str">
        <f aca="false">IF(B53="","",IFERROR(VLOOKUP(B53,'8. Responsables EQUIFILLES'!B:H,7,FALSE()),0)+IFERROR(VLOOKUP(B53,'8. Responsables EQUIFILLES'!B:I,8,FALSE()),0)+IFERROR(VLOOKUP(B53,'13. Responsables S2L'!B:H,7,FALSE()),0)+IFERROR(VLOOKUP(B53,'13. Responsables S2L'!B:I,8,FALSE()),0))</f>
        <v/>
      </c>
      <c r="L53" s="38" t="str">
        <f aca="false">IF(B53="","",IF(H53&gt;=0.85,"Excellent",IF(H53&gt;=0.65,"Satisfaisant",IF(H53&gt;=0.4,"À améliorer",IF(H53&gt;0,"Insuffisant","Non évalué")))))</f>
        <v/>
      </c>
      <c r="M53" s="7" t="str">
        <f aca="false">IF(B53="","",IF(I53&gt;0,"⚠ Activités critiques à traiter",IF(J53&gt;2,"Plan d'action requis",IF(L53="Excellent","Maintenir le rythme",IF(L53="Satisfaisant","Continuer",IF(L53="À améliorer","Coaching nécessaire",IF(L53="Insuffisant","Plan d'amélioration urgent","À évaluer")))))))</f>
        <v/>
      </c>
    </row>
    <row r="54" customFormat="false" ht="24" hidden="false" customHeight="true" outlineLevel="0" collapsed="false">
      <c r="B54" s="10" t="str">
        <f aca="false">IF('3. Équipe'!C54="","",'3. Équipe'!C54)</f>
        <v/>
      </c>
      <c r="C54" s="52" t="str">
        <f aca="false">IF(B54="","",IFERROR(VLOOKUP(B54,'8. Responsables EQUIFILLES'!B:C,2,FALSE()),0))</f>
        <v/>
      </c>
      <c r="D54" s="52" t="str">
        <f aca="false">IF(B54="","",IFERROR(VLOOKUP(B54,'13. Responsables S2L'!B:C,2,FALSE()),0))</f>
        <v/>
      </c>
      <c r="E54" s="52" t="str">
        <f aca="false">IF(B54="","",IFERROR(C54,0)+IFERROR(D54,0))</f>
        <v/>
      </c>
      <c r="F54" s="100" t="str">
        <f aca="false">IF(B54="","",IFERROR(VLOOKUP(B54,'8. Responsables EQUIFILLES'!B:K,10,FALSE()),0))</f>
        <v/>
      </c>
      <c r="G54" s="100" t="str">
        <f aca="false">IF(B54="","",IFERROR(VLOOKUP(B54,'13. Responsables S2L'!B:K,10,FALSE()),0))</f>
        <v/>
      </c>
      <c r="H54" s="91" t="str">
        <f aca="false">IF(B54="","",IFERROR((F54*IFERROR(C54,0)+G54*IFERROR(D54,0))/(IFERROR(C54,0)+IFERROR(D54,0)),0))</f>
        <v/>
      </c>
      <c r="I54" s="52" t="str">
        <f aca="false">IF(B54="","",IFERROR(VLOOKUP(B54,'8. Responsables EQUIFILLES'!B:G,6,FALSE()),0)+IFERROR(VLOOKUP(B54,'13. Responsables S2L'!B:G,6,FALSE()),0))</f>
        <v/>
      </c>
      <c r="J54" s="52" t="str">
        <f aca="false">IF(B54="","",IFERROR(VLOOKUP(B54,'8. Responsables EQUIFILLES'!B:F,5,FALSE()),0)+IFERROR(VLOOKUP(B54,'13. Responsables S2L'!B:F,5,FALSE()),0))</f>
        <v/>
      </c>
      <c r="K54" s="52" t="str">
        <f aca="false">IF(B54="","",IFERROR(VLOOKUP(B54,'8. Responsables EQUIFILLES'!B:H,7,FALSE()),0)+IFERROR(VLOOKUP(B54,'8. Responsables EQUIFILLES'!B:I,8,FALSE()),0)+IFERROR(VLOOKUP(B54,'13. Responsables S2L'!B:H,7,FALSE()),0)+IFERROR(VLOOKUP(B54,'13. Responsables S2L'!B:I,8,FALSE()),0))</f>
        <v/>
      </c>
      <c r="L54" s="27" t="str">
        <f aca="false">IF(B54="","",IF(H54&gt;=0.85,"Excellent",IF(H54&gt;=0.65,"Satisfaisant",IF(H54&gt;=0.4,"À améliorer",IF(H54&gt;0,"Insuffisant","Non évalué")))))</f>
        <v/>
      </c>
      <c r="M54" s="11" t="str">
        <f aca="false">IF(B54="","",IF(I54&gt;0,"⚠ Activités critiques à traiter",IF(J54&gt;2,"Plan d'action requis",IF(L54="Excellent","Maintenir le rythme",IF(L54="Satisfaisant","Continuer",IF(L54="À améliorer","Coaching nécessaire",IF(L54="Insuffisant","Plan d'amélioration urgent","À évaluer")))))))</f>
        <v/>
      </c>
    </row>
    <row r="55" customFormat="false" ht="24" hidden="false" customHeight="true" outlineLevel="0" collapsed="false">
      <c r="B55" s="6" t="str">
        <f aca="false">IF('3. Équipe'!C55="","",'3. Équipe'!C55)</f>
        <v/>
      </c>
      <c r="C55" s="52" t="str">
        <f aca="false">IF(B55="","",IFERROR(VLOOKUP(B55,'8. Responsables EQUIFILLES'!B:C,2,FALSE()),0))</f>
        <v/>
      </c>
      <c r="D55" s="52" t="str">
        <f aca="false">IF(B55="","",IFERROR(VLOOKUP(B55,'13. Responsables S2L'!B:C,2,FALSE()),0))</f>
        <v/>
      </c>
      <c r="E55" s="52" t="str">
        <f aca="false">IF(B55="","",IFERROR(C55,0)+IFERROR(D55,0))</f>
        <v/>
      </c>
      <c r="F55" s="100" t="str">
        <f aca="false">IF(B55="","",IFERROR(VLOOKUP(B55,'8. Responsables EQUIFILLES'!B:K,10,FALSE()),0))</f>
        <v/>
      </c>
      <c r="G55" s="100" t="str">
        <f aca="false">IF(B55="","",IFERROR(VLOOKUP(B55,'13. Responsables S2L'!B:K,10,FALSE()),0))</f>
        <v/>
      </c>
      <c r="H55" s="91" t="str">
        <f aca="false">IF(B55="","",IFERROR((F55*IFERROR(C55,0)+G55*IFERROR(D55,0))/(IFERROR(C55,0)+IFERROR(D55,0)),0))</f>
        <v/>
      </c>
      <c r="I55" s="52" t="str">
        <f aca="false">IF(B55="","",IFERROR(VLOOKUP(B55,'8. Responsables EQUIFILLES'!B:G,6,FALSE()),0)+IFERROR(VLOOKUP(B55,'13. Responsables S2L'!B:G,6,FALSE()),0))</f>
        <v/>
      </c>
      <c r="J55" s="52" t="str">
        <f aca="false">IF(B55="","",IFERROR(VLOOKUP(B55,'8. Responsables EQUIFILLES'!B:F,5,FALSE()),0)+IFERROR(VLOOKUP(B55,'13. Responsables S2L'!B:F,5,FALSE()),0))</f>
        <v/>
      </c>
      <c r="K55" s="52" t="str">
        <f aca="false">IF(B55="","",IFERROR(VLOOKUP(B55,'8. Responsables EQUIFILLES'!B:H,7,FALSE()),0)+IFERROR(VLOOKUP(B55,'8. Responsables EQUIFILLES'!B:I,8,FALSE()),0)+IFERROR(VLOOKUP(B55,'13. Responsables S2L'!B:H,7,FALSE()),0)+IFERROR(VLOOKUP(B55,'13. Responsables S2L'!B:I,8,FALSE()),0))</f>
        <v/>
      </c>
      <c r="L55" s="38" t="str">
        <f aca="false">IF(B55="","",IF(H55&gt;=0.85,"Excellent",IF(H55&gt;=0.65,"Satisfaisant",IF(H55&gt;=0.4,"À améliorer",IF(H55&gt;0,"Insuffisant","Non évalué")))))</f>
        <v/>
      </c>
      <c r="M55" s="7" t="str">
        <f aca="false">IF(B55="","",IF(I55&gt;0,"⚠ Activités critiques à traiter",IF(J55&gt;2,"Plan d'action requis",IF(L55="Excellent","Maintenir le rythme",IF(L55="Satisfaisant","Continuer",IF(L55="À améliorer","Coaching nécessaire",IF(L55="Insuffisant","Plan d'amélioration urgent","À évaluer")))))))</f>
        <v/>
      </c>
    </row>
  </sheetData>
  <mergeCells count="2">
    <mergeCell ref="B2:M2"/>
    <mergeCell ref="B3:M3"/>
  </mergeCells>
  <conditionalFormatting sqref="L6:L55">
    <cfRule type="cellIs" priority="2" operator="equal" aboveAverage="0" equalAverage="0" bottom="0" percent="0" rank="0" text="" dxfId="4">
      <formula>"Excellent"</formula>
    </cfRule>
    <cfRule type="cellIs" priority="3" operator="equal" aboveAverage="0" equalAverage="0" bottom="0" percent="0" rank="0" text="" dxfId="0">
      <formula>"Satisfaisant"</formula>
    </cfRule>
    <cfRule type="cellIs" priority="4" operator="equal" aboveAverage="0" equalAverage="0" bottom="0" percent="0" rank="0" text="" dxfId="1">
      <formula>"À améliorer"</formula>
    </cfRule>
    <cfRule type="cellIs" priority="5" operator="equal" aboveAverage="0" equalAverage="0" bottom="0" percent="0" rank="0" text="" dxfId="2">
      <formula>"Insuffisant"</formula>
    </cfRule>
    <cfRule type="cellIs" priority="6" operator="equal" aboveAverage="0" equalAverage="0" bottom="0" percent="0" rank="0" text="" dxfId="6">
      <formula>"Non évalué"</formula>
    </cfRule>
  </conditionalFormatting>
  <conditionalFormatting sqref="H6:H55">
    <cfRule type="colorScale" priority="7">
      <colorScale>
        <cfvo type="num" val="0"/>
        <cfvo type="num" val="0.5"/>
        <cfvo type="num" val="1"/>
        <color rgb="FFF8CBAD"/>
        <color rgb="FFFFF2CC"/>
        <color rgb="FFC6EFCE"/>
      </colorScale>
    </cfRule>
  </conditionalFormatting>
  <conditionalFormatting sqref="I6:I55">
    <cfRule type="cellIs" priority="8" operator="greaterThan" aboveAverage="0" equalAverage="0" bottom="0" percent="0" rank="0" text="" dxfId="8">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K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3" min="2" style="1" width="22"/>
    <col collapsed="false" customWidth="true" hidden="false" outlineLevel="0" max="6" min="4" style="1" width="14"/>
    <col collapsed="false" customWidth="true" hidden="false" outlineLevel="0" max="7" min="7" style="1" width="11"/>
    <col collapsed="false" customWidth="true" hidden="false" outlineLevel="0" max="8" min="8" style="1" width="12"/>
    <col collapsed="false" customWidth="true" hidden="false" outlineLevel="0" max="10" min="9" style="1" width="14"/>
    <col collapsed="false" customWidth="true" hidden="false" outlineLevel="0" max="11" min="11" style="1" width="16"/>
  </cols>
  <sheetData>
    <row r="2" customFormat="false" ht="27.75" hidden="false" customHeight="true" outlineLevel="0" collapsed="false">
      <c r="B2" s="101" t="s">
        <v>660</v>
      </c>
      <c r="C2" s="101"/>
      <c r="D2" s="101"/>
      <c r="E2" s="101"/>
      <c r="F2" s="101"/>
      <c r="G2" s="101"/>
      <c r="H2" s="101"/>
      <c r="I2" s="101"/>
      <c r="J2" s="101"/>
      <c r="K2" s="101"/>
    </row>
    <row r="3" customFormat="false" ht="27.75" hidden="false" customHeight="true" outlineLevel="0" collapsed="false">
      <c r="B3" s="89" t="s">
        <v>661</v>
      </c>
      <c r="C3" s="89"/>
      <c r="D3" s="89"/>
      <c r="E3" s="89"/>
      <c r="F3" s="89"/>
      <c r="G3" s="89"/>
      <c r="H3" s="89"/>
      <c r="I3" s="89"/>
      <c r="J3" s="89"/>
      <c r="K3" s="89"/>
    </row>
    <row r="5" customFormat="false" ht="24" hidden="false" customHeight="true" outlineLevel="0" collapsed="false">
      <c r="B5" s="102" t="s">
        <v>662</v>
      </c>
      <c r="C5" s="102"/>
      <c r="D5" s="102"/>
      <c r="E5" s="102"/>
      <c r="F5" s="102"/>
      <c r="G5" s="102"/>
      <c r="H5" s="102"/>
      <c r="I5" s="102"/>
      <c r="J5" s="102"/>
      <c r="K5" s="102"/>
    </row>
    <row r="6" customFormat="false" ht="31.5" hidden="false" customHeight="true" outlineLevel="0" collapsed="false">
      <c r="B6" s="103" t="s">
        <v>663</v>
      </c>
      <c r="C6" s="103" t="s">
        <v>664</v>
      </c>
      <c r="D6" s="103" t="s">
        <v>665</v>
      </c>
      <c r="E6" s="103" t="s">
        <v>666</v>
      </c>
      <c r="F6" s="103" t="s">
        <v>667</v>
      </c>
      <c r="G6" s="103" t="s">
        <v>668</v>
      </c>
      <c r="H6" s="103" t="s">
        <v>669</v>
      </c>
      <c r="I6" s="103" t="s">
        <v>670</v>
      </c>
      <c r="J6" s="103" t="s">
        <v>671</v>
      </c>
      <c r="K6" s="103" t="s">
        <v>672</v>
      </c>
    </row>
    <row r="7" customFormat="false" ht="25.5" hidden="false" customHeight="true" outlineLevel="0" collapsed="false">
      <c r="B7" s="104" t="s">
        <v>673</v>
      </c>
      <c r="C7" s="50" t="n">
        <f aca="false">SUM('5. Gantt EQUIFILLES'!O6:O205)</f>
        <v>25465266</v>
      </c>
      <c r="D7" s="50" t="n">
        <v>0</v>
      </c>
      <c r="E7" s="50" t="n">
        <f aca="false">SUM('5. Gantt EQUIFILLES'!P6:P205)</f>
        <v>0</v>
      </c>
      <c r="F7" s="50" t="n">
        <f aca="false">C7-E7</f>
        <v>25465266</v>
      </c>
      <c r="G7" s="105" t="n">
        <f aca="false">IFERROR(E7/C7,0)</f>
        <v>0</v>
      </c>
      <c r="H7" s="105" t="n">
        <f aca="false">IFERROR(AVERAGEIF('5. Gantt EQUIFILLES'!B6:B205,"&lt;&gt;",'5. Gantt EQUIFILLES'!N6:N205)/100,0)</f>
        <v>0</v>
      </c>
      <c r="I7" s="105" t="n">
        <f aca="false">H7-G7</f>
        <v>0</v>
      </c>
      <c r="J7" s="27" t="str">
        <f aca="false">IF(ABS(I7)&lt;0.05,"Équilibré",IF(I7&lt;-0.1,"⚠ Sur-conso",IF(I7&gt;0.1,"Sous-conso","Acceptable")))</f>
        <v>Équilibré</v>
      </c>
      <c r="K7" s="30" t="str">
        <f aca="false">IF(F7&lt;0,"⛔ Dépassement","")&amp;IF(I7&lt;-0.1," ⚠ Sur-conso","")</f>
        <v/>
      </c>
    </row>
    <row r="8" customFormat="false" ht="25.5" hidden="false" customHeight="true" outlineLevel="0" collapsed="false">
      <c r="B8" s="106" t="s">
        <v>107</v>
      </c>
      <c r="C8" s="58" t="n">
        <f aca="false">SUM('10. Gantt S2L'!O6:O205)</f>
        <v>127243200</v>
      </c>
      <c r="D8" s="58" t="n">
        <v>0</v>
      </c>
      <c r="E8" s="58" t="n">
        <f aca="false">SUM('10. Gantt S2L'!P6:P205)</f>
        <v>0</v>
      </c>
      <c r="F8" s="58" t="n">
        <f aca="false">C8-E8</f>
        <v>127243200</v>
      </c>
      <c r="G8" s="107" t="n">
        <f aca="false">IFERROR(E8/C8,0)</f>
        <v>0</v>
      </c>
      <c r="H8" s="107" t="n">
        <f aca="false">IFERROR(AVERAGEIF('10. Gantt S2L'!B6:B205,"&lt;&gt;",'10. Gantt S2L'!N6:N205)/100,0)</f>
        <v>0</v>
      </c>
      <c r="I8" s="107" t="n">
        <f aca="false">H8-G8</f>
        <v>0</v>
      </c>
      <c r="J8" s="38" t="str">
        <f aca="false">IF(ABS(I8)&lt;0.05,"Équilibré",IF(I8&lt;-0.1,"⚠ Sur-conso",IF(I8&gt;0.1,"Sous-conso","Acceptable")))</f>
        <v>Équilibré</v>
      </c>
      <c r="K8" s="28" t="str">
        <f aca="false">IF(F8&lt;0,"⛔ Dépassement","")&amp;IF(I8&lt;-0.1," ⚠ Sur-conso","")</f>
        <v/>
      </c>
    </row>
    <row r="9" customFormat="false" ht="25.5" hidden="false" customHeight="true" outlineLevel="0" collapsed="false">
      <c r="B9" s="103" t="s">
        <v>382</v>
      </c>
      <c r="C9" s="108" t="n">
        <f aca="false">SUM(C7:C8)</f>
        <v>152708466</v>
      </c>
      <c r="D9" s="108" t="n">
        <f aca="false">SUM(D7:D8)</f>
        <v>0</v>
      </c>
      <c r="E9" s="108" t="n">
        <f aca="false">SUM(E7:E8)</f>
        <v>0</v>
      </c>
      <c r="F9" s="108" t="n">
        <f aca="false">SUM(F7:F8)</f>
        <v>152708466</v>
      </c>
      <c r="G9" s="109" t="n">
        <f aca="false">IFERROR(E9/C9,0)</f>
        <v>0</v>
      </c>
      <c r="H9" s="109" t="n">
        <f aca="false">AVERAGE(H7:H8)</f>
        <v>0</v>
      </c>
      <c r="I9" s="109" t="n">
        <f aca="false">H9-G9</f>
        <v>0</v>
      </c>
      <c r="J9" s="103"/>
      <c r="K9" s="103"/>
    </row>
    <row r="12" customFormat="false" ht="24" hidden="false" customHeight="true" outlineLevel="0" collapsed="false">
      <c r="B12" s="102" t="s">
        <v>674</v>
      </c>
      <c r="C12" s="102"/>
      <c r="D12" s="102"/>
      <c r="E12" s="102"/>
      <c r="F12" s="102"/>
      <c r="G12" s="102"/>
      <c r="H12" s="102"/>
      <c r="I12" s="102"/>
      <c r="J12" s="102"/>
      <c r="K12" s="102"/>
    </row>
    <row r="13" customFormat="false" ht="31.5" hidden="false" customHeight="true" outlineLevel="0" collapsed="false">
      <c r="B13" s="103" t="s">
        <v>663</v>
      </c>
      <c r="C13" s="103" t="s">
        <v>675</v>
      </c>
      <c r="D13" s="103" t="s">
        <v>676</v>
      </c>
      <c r="E13" s="103" t="s">
        <v>666</v>
      </c>
      <c r="F13" s="103" t="s">
        <v>677</v>
      </c>
      <c r="G13" s="103" t="s">
        <v>678</v>
      </c>
      <c r="H13" s="103" t="s">
        <v>679</v>
      </c>
      <c r="I13" s="103" t="s">
        <v>680</v>
      </c>
      <c r="J13" s="103" t="s">
        <v>681</v>
      </c>
      <c r="K13" s="103" t="s">
        <v>30</v>
      </c>
    </row>
    <row r="14" customFormat="false" ht="21.75" hidden="false" customHeight="true" outlineLevel="0" collapsed="false">
      <c r="B14" s="104" t="s">
        <v>103</v>
      </c>
      <c r="C14" s="6" t="s">
        <v>318</v>
      </c>
      <c r="D14" s="58" t="n">
        <f aca="false">SUMIF('5. Gantt EQUIFILLES'!D6:D205,C14,'5. Gantt EQUIFILLES'!O6:O205)</f>
        <v>3782000</v>
      </c>
      <c r="E14" s="58" t="n">
        <f aca="false">SUMIF('5. Gantt EQUIFILLES'!D6:D205,C14,'5. Gantt EQUIFILLES'!P6:P205)</f>
        <v>0</v>
      </c>
      <c r="F14" s="107" t="n">
        <f aca="false">IFERROR(E14/D14,0)</f>
        <v>0</v>
      </c>
      <c r="G14" s="28" t="n">
        <f aca="false">COUNTIF('5. Gantt EQUIFILLES'!D6:D205,C14)</f>
        <v>10</v>
      </c>
      <c r="H14" s="28" t="n">
        <f aca="false">COUNTIFS('5. Gantt EQUIFILLES'!D6:D205,C14,'5. Gantt EQUIFILLES'!Q6:Q205,"Terminé à temps")+COUNTIFS('5. Gantt EQUIFILLES'!D6:D205,C14,'5. Gantt EQUIFILLES'!Q6:Q205,"Terminé hors délai")</f>
        <v>0</v>
      </c>
      <c r="I14" s="107" t="n">
        <f aca="false">IFERROR(SUMIFS('5. Gantt EQUIFILLES'!N6:N205,'5. Gantt EQUIFILLES'!D6:D205,C14)/G14/100,0)</f>
        <v>0</v>
      </c>
      <c r="J14" s="107" t="n">
        <f aca="false">I14-F14</f>
        <v>0</v>
      </c>
      <c r="K14" s="38" t="str">
        <f aca="false">IF(ABS(J14)&lt;0.05,"Équilibré",IF(J14&lt;-0.1,"⚠ Sur-conso",IF(J14&gt;0.1,"Sous-conso","OK")))</f>
        <v>Équilibré</v>
      </c>
    </row>
    <row r="15" customFormat="false" ht="21.75" hidden="false" customHeight="true" outlineLevel="0" collapsed="false">
      <c r="B15" s="104" t="s">
        <v>103</v>
      </c>
      <c r="C15" s="10" t="s">
        <v>349</v>
      </c>
      <c r="D15" s="50" t="n">
        <f aca="false">SUMIF('5. Gantt EQUIFILLES'!D6:D205,C15,'5. Gantt EQUIFILLES'!O6:O205)</f>
        <v>0</v>
      </c>
      <c r="E15" s="50" t="n">
        <f aca="false">SUMIF('5. Gantt EQUIFILLES'!D6:D205,C15,'5. Gantt EQUIFILLES'!P6:P205)</f>
        <v>0</v>
      </c>
      <c r="F15" s="105" t="n">
        <f aca="false">IFERROR(E15/D15,0)</f>
        <v>0</v>
      </c>
      <c r="G15" s="30" t="n">
        <f aca="false">COUNTIF('5. Gantt EQUIFILLES'!D6:D205,C15)</f>
        <v>2</v>
      </c>
      <c r="H15" s="30" t="n">
        <f aca="false">COUNTIFS('5. Gantt EQUIFILLES'!D6:D205,C15,'5. Gantt EQUIFILLES'!Q6:Q205,"Terminé à temps")+COUNTIFS('5. Gantt EQUIFILLES'!D6:D205,C15,'5. Gantt EQUIFILLES'!Q6:Q205,"Terminé hors délai")</f>
        <v>0</v>
      </c>
      <c r="I15" s="105" t="n">
        <f aca="false">IFERROR(SUMIFS('5. Gantt EQUIFILLES'!N6:N205,'5. Gantt EQUIFILLES'!D6:D205,C15)/G15/100,0)</f>
        <v>0</v>
      </c>
      <c r="J15" s="105" t="n">
        <f aca="false">I15-F15</f>
        <v>0</v>
      </c>
      <c r="K15" s="27" t="str">
        <f aca="false">IF(ABS(J15)&lt;0.05,"Équilibré",IF(J15&lt;-0.1,"⚠ Sur-conso",IF(J15&gt;0.1,"Sous-conso","OK")))</f>
        <v>Équilibré</v>
      </c>
    </row>
    <row r="16" customFormat="false" ht="21.75" hidden="false" customHeight="true" outlineLevel="0" collapsed="false">
      <c r="B16" s="104" t="s">
        <v>103</v>
      </c>
      <c r="C16" s="6" t="s">
        <v>356</v>
      </c>
      <c r="D16" s="58" t="n">
        <f aca="false">SUMIF('5. Gantt EQUIFILLES'!D6:D205,C16,'5. Gantt EQUIFILLES'!O6:O205)</f>
        <v>5098133</v>
      </c>
      <c r="E16" s="58" t="n">
        <f aca="false">SUMIF('5. Gantt EQUIFILLES'!D6:D205,C16,'5. Gantt EQUIFILLES'!P6:P205)</f>
        <v>0</v>
      </c>
      <c r="F16" s="107" t="n">
        <f aca="false">IFERROR(E16/D16,0)</f>
        <v>0</v>
      </c>
      <c r="G16" s="28" t="n">
        <f aca="false">COUNTIF('5. Gantt EQUIFILLES'!D6:D205,C16)</f>
        <v>2</v>
      </c>
      <c r="H16" s="28" t="n">
        <f aca="false">COUNTIFS('5. Gantt EQUIFILLES'!D6:D205,C16,'5. Gantt EQUIFILLES'!Q6:Q205,"Terminé à temps")+COUNTIFS('5. Gantt EQUIFILLES'!D6:D205,C16,'5. Gantt EQUIFILLES'!Q6:Q205,"Terminé hors délai")</f>
        <v>0</v>
      </c>
      <c r="I16" s="107" t="n">
        <f aca="false">IFERROR(SUMIFS('5. Gantt EQUIFILLES'!N6:N205,'5. Gantt EQUIFILLES'!D6:D205,C16)/G16/100,0)</f>
        <v>0</v>
      </c>
      <c r="J16" s="107" t="n">
        <f aca="false">I16-F16</f>
        <v>0</v>
      </c>
      <c r="K16" s="38" t="str">
        <f aca="false">IF(ABS(J16)&lt;0.05,"Équilibré",IF(J16&lt;-0.1,"⚠ Sur-conso",IF(J16&gt;0.1,"Sous-conso","OK")))</f>
        <v>Équilibré</v>
      </c>
    </row>
    <row r="17" customFormat="false" ht="21.75" hidden="false" customHeight="true" outlineLevel="0" collapsed="false">
      <c r="B17" s="104" t="s">
        <v>103</v>
      </c>
      <c r="C17" s="10" t="s">
        <v>143</v>
      </c>
      <c r="D17" s="50" t="n">
        <f aca="false">SUMIF('5. Gantt EQUIFILLES'!D6:D205,C17,'5. Gantt EQUIFILLES'!O6:O205)</f>
        <v>3852500</v>
      </c>
      <c r="E17" s="50" t="n">
        <f aca="false">SUMIF('5. Gantt EQUIFILLES'!D6:D205,C17,'5. Gantt EQUIFILLES'!P6:P205)</f>
        <v>0</v>
      </c>
      <c r="F17" s="105" t="n">
        <f aca="false">IFERROR(E17/D17,0)</f>
        <v>0</v>
      </c>
      <c r="G17" s="30" t="n">
        <f aca="false">COUNTIF('5. Gantt EQUIFILLES'!D6:D205,C17)</f>
        <v>6</v>
      </c>
      <c r="H17" s="30" t="n">
        <f aca="false">COUNTIFS('5. Gantt EQUIFILLES'!D6:D205,C17,'5. Gantt EQUIFILLES'!Q6:Q205,"Terminé à temps")+COUNTIFS('5. Gantt EQUIFILLES'!D6:D205,C17,'5. Gantt EQUIFILLES'!Q6:Q205,"Terminé hors délai")</f>
        <v>0</v>
      </c>
      <c r="I17" s="105" t="n">
        <f aca="false">IFERROR(SUMIFS('5. Gantt EQUIFILLES'!N6:N205,'5. Gantt EQUIFILLES'!D6:D205,C17)/G17/100,0)</f>
        <v>0</v>
      </c>
      <c r="J17" s="105" t="n">
        <f aca="false">I17-F17</f>
        <v>0</v>
      </c>
      <c r="K17" s="27" t="str">
        <f aca="false">IF(ABS(J17)&lt;0.05,"Équilibré",IF(J17&lt;-0.1,"⚠ Sur-conso",IF(J17&gt;0.1,"Sous-conso","OK")))</f>
        <v>Équilibré</v>
      </c>
    </row>
    <row r="18" customFormat="false" ht="21.75" hidden="false" customHeight="true" outlineLevel="0" collapsed="false">
      <c r="B18" s="106" t="s">
        <v>682</v>
      </c>
      <c r="C18" s="6" t="s">
        <v>550</v>
      </c>
      <c r="D18" s="58" t="n">
        <f aca="false">SUMIF('10. Gantt S2L'!D6:D205,C18,'10. Gantt S2L'!O6:O205)</f>
        <v>25150800</v>
      </c>
      <c r="E18" s="58" t="n">
        <f aca="false">SUMIF('10. Gantt S2L'!D6:D205,C18,'10. Gantt S2L'!P6:P205)</f>
        <v>0</v>
      </c>
      <c r="F18" s="107" t="n">
        <f aca="false">IFERROR(E18/D18,0)</f>
        <v>0</v>
      </c>
      <c r="G18" s="28" t="n">
        <f aca="false">COUNTIF('10. Gantt S2L'!D6:D205,C18)</f>
        <v>9</v>
      </c>
      <c r="H18" s="28" t="n">
        <f aca="false">COUNTIFS('10. Gantt S2L'!D6:D205,C18,'10. Gantt S2L'!Q6:Q205,"Terminé à temps")+COUNTIFS('10. Gantt S2L'!D6:D205,C18,'10. Gantt S2L'!Q6:Q205,"Terminé hors délai")</f>
        <v>0</v>
      </c>
      <c r="I18" s="107" t="n">
        <f aca="false">IFERROR(SUMIFS('10. Gantt S2L'!N6:N205,'10. Gantt S2L'!D6:D205,C18)/G18/100,0)</f>
        <v>0</v>
      </c>
      <c r="J18" s="107" t="n">
        <f aca="false">I18-F18</f>
        <v>0</v>
      </c>
      <c r="K18" s="38" t="str">
        <f aca="false">IF(ABS(J18)&lt;0.05,"Équilibré",IF(J18&lt;-0.1,"⚠ Sur-conso",IF(J18&gt;0.1,"Sous-conso","OK")))</f>
        <v>Équilibré</v>
      </c>
    </row>
    <row r="19" customFormat="false" ht="21.75" hidden="false" customHeight="true" outlineLevel="0" collapsed="false">
      <c r="B19" s="106" t="s">
        <v>682</v>
      </c>
      <c r="C19" s="10" t="s">
        <v>560</v>
      </c>
      <c r="D19" s="50" t="n">
        <f aca="false">SUMIF('10. Gantt S2L'!D6:D205,C19,'10. Gantt S2L'!O6:O205)</f>
        <v>15935000</v>
      </c>
      <c r="E19" s="50" t="n">
        <f aca="false">SUMIF('10. Gantt S2L'!D6:D205,C19,'10. Gantt S2L'!P6:P205)</f>
        <v>0</v>
      </c>
      <c r="F19" s="105" t="n">
        <f aca="false">IFERROR(E19/D19,0)</f>
        <v>0</v>
      </c>
      <c r="G19" s="30" t="n">
        <f aca="false">COUNTIF('10. Gantt S2L'!D6:D205,C19)</f>
        <v>9</v>
      </c>
      <c r="H19" s="30" t="n">
        <f aca="false">COUNTIFS('10. Gantt S2L'!D6:D205,C19,'10. Gantt S2L'!Q6:Q205,"Terminé à temps")+COUNTIFS('10. Gantt S2L'!D6:D205,C19,'10. Gantt S2L'!Q6:Q205,"Terminé hors délai")</f>
        <v>0</v>
      </c>
      <c r="I19" s="105" t="n">
        <f aca="false">IFERROR(SUMIFS('10. Gantt S2L'!N6:N205,'10. Gantt S2L'!D6:D205,C19)/G19/100,0)</f>
        <v>0</v>
      </c>
      <c r="J19" s="105" t="n">
        <f aca="false">I19-F19</f>
        <v>0</v>
      </c>
      <c r="K19" s="27" t="str">
        <f aca="false">IF(ABS(J19)&lt;0.05,"Équilibré",IF(J19&lt;-0.1,"⚠ Sur-conso",IF(J19&gt;0.1,"Sous-conso","OK")))</f>
        <v>Équilibré</v>
      </c>
    </row>
    <row r="20" customFormat="false" ht="21.75" hidden="false" customHeight="true" outlineLevel="0" collapsed="false">
      <c r="B20" s="106" t="s">
        <v>682</v>
      </c>
      <c r="C20" s="6" t="s">
        <v>584</v>
      </c>
      <c r="D20" s="58" t="n">
        <f aca="false">SUMIF('10. Gantt S2L'!D6:D205,C20,'10. Gantt S2L'!O6:O205)</f>
        <v>5417000</v>
      </c>
      <c r="E20" s="58" t="n">
        <f aca="false">SUMIF('10. Gantt S2L'!D6:D205,C20,'10. Gantt S2L'!P6:P205)</f>
        <v>0</v>
      </c>
      <c r="F20" s="107" t="n">
        <f aca="false">IFERROR(E20/D20,0)</f>
        <v>0</v>
      </c>
      <c r="G20" s="28" t="n">
        <f aca="false">COUNTIF('10. Gantt S2L'!D6:D205,C20)</f>
        <v>6</v>
      </c>
      <c r="H20" s="28" t="n">
        <f aca="false">COUNTIFS('10. Gantt S2L'!D6:D205,C20,'10. Gantt S2L'!Q6:Q205,"Terminé à temps")+COUNTIFS('10. Gantt S2L'!D6:D205,C20,'10. Gantt S2L'!Q6:Q205,"Terminé hors délai")</f>
        <v>0</v>
      </c>
      <c r="I20" s="107" t="n">
        <f aca="false">IFERROR(SUMIFS('10. Gantt S2L'!N6:N205,'10. Gantt S2L'!D6:D205,C20)/G20/100,0)</f>
        <v>0</v>
      </c>
      <c r="J20" s="107" t="n">
        <f aca="false">I20-F20</f>
        <v>0</v>
      </c>
      <c r="K20" s="38" t="str">
        <f aca="false">IF(ABS(J20)&lt;0.05,"Équilibré",IF(J20&lt;-0.1,"⚠ Sur-conso",IF(J20&gt;0.1,"Sous-conso","OK")))</f>
        <v>Équilibré</v>
      </c>
    </row>
    <row r="21" customFormat="false" ht="21.75" hidden="false" customHeight="true" outlineLevel="0" collapsed="false">
      <c r="B21" s="106" t="s">
        <v>682</v>
      </c>
      <c r="C21" s="10" t="s">
        <v>600</v>
      </c>
      <c r="D21" s="50" t="n">
        <f aca="false">SUMIF('10. Gantt S2L'!D6:D205,C21,'10. Gantt S2L'!O6:O205)</f>
        <v>9000000</v>
      </c>
      <c r="E21" s="50" t="n">
        <f aca="false">SUMIF('10. Gantt S2L'!D6:D205,C21,'10. Gantt S2L'!P6:P205)</f>
        <v>0</v>
      </c>
      <c r="F21" s="105" t="n">
        <f aca="false">IFERROR(E21/D21,0)</f>
        <v>0</v>
      </c>
      <c r="G21" s="30" t="n">
        <f aca="false">COUNTIF('10. Gantt S2L'!D6:D205,C21)</f>
        <v>2</v>
      </c>
      <c r="H21" s="30" t="n">
        <f aca="false">COUNTIFS('10. Gantt S2L'!D6:D205,C21,'10. Gantt S2L'!Q6:Q205,"Terminé à temps")+COUNTIFS('10. Gantt S2L'!D6:D205,C21,'10. Gantt S2L'!Q6:Q205,"Terminé hors délai")</f>
        <v>0</v>
      </c>
      <c r="I21" s="105" t="n">
        <f aca="false">IFERROR(SUMIFS('10. Gantt S2L'!N6:N205,'10. Gantt S2L'!D6:D205,C21)/G21/100,0)</f>
        <v>0</v>
      </c>
      <c r="J21" s="105" t="n">
        <f aca="false">I21-F21</f>
        <v>0</v>
      </c>
      <c r="K21" s="27" t="str">
        <f aca="false">IF(ABS(J21)&lt;0.05,"Équilibré",IF(J21&lt;-0.1,"⚠ Sur-conso",IF(J21&gt;0.1,"Sous-conso","OK")))</f>
        <v>Équilibré</v>
      </c>
    </row>
    <row r="22" customFormat="false" ht="21.75" hidden="false" customHeight="true" outlineLevel="0" collapsed="false">
      <c r="B22" s="106" t="s">
        <v>682</v>
      </c>
      <c r="C22" s="6" t="s">
        <v>608</v>
      </c>
      <c r="D22" s="58" t="n">
        <f aca="false">SUMIF('10. Gantt S2L'!D6:D205,C22,'10. Gantt S2L'!O6:O205)</f>
        <v>4000000</v>
      </c>
      <c r="E22" s="58" t="n">
        <f aca="false">SUMIF('10. Gantt S2L'!D6:D205,C22,'10. Gantt S2L'!P6:P205)</f>
        <v>0</v>
      </c>
      <c r="F22" s="107" t="n">
        <f aca="false">IFERROR(E22/D22,0)</f>
        <v>0</v>
      </c>
      <c r="G22" s="28" t="n">
        <f aca="false">COUNTIF('10. Gantt S2L'!D6:D205,C22)</f>
        <v>1</v>
      </c>
      <c r="H22" s="28" t="n">
        <f aca="false">COUNTIFS('10. Gantt S2L'!D6:D205,C22,'10. Gantt S2L'!Q6:Q205,"Terminé à temps")+COUNTIFS('10. Gantt S2L'!D6:D205,C22,'10. Gantt S2L'!Q6:Q205,"Terminé hors délai")</f>
        <v>0</v>
      </c>
      <c r="I22" s="107" t="n">
        <f aca="false">IFERROR(SUMIFS('10. Gantt S2L'!N6:N205,'10. Gantt S2L'!D6:D205,C22)/G22/100,0)</f>
        <v>0</v>
      </c>
      <c r="J22" s="107" t="n">
        <f aca="false">I22-F22</f>
        <v>0</v>
      </c>
      <c r="K22" s="38" t="str">
        <f aca="false">IF(ABS(J22)&lt;0.05,"Équilibré",IF(J22&lt;-0.1,"⚠ Sur-conso",IF(J22&gt;0.1,"Sous-conso","OK")))</f>
        <v>Équilibré</v>
      </c>
    </row>
    <row r="23" customFormat="false" ht="21.75" hidden="false" customHeight="true" outlineLevel="0" collapsed="false">
      <c r="B23" s="106" t="s">
        <v>682</v>
      </c>
      <c r="C23" s="10" t="s">
        <v>612</v>
      </c>
      <c r="D23" s="50" t="n">
        <f aca="false">SUMIF('10. Gantt S2L'!D6:D205,C23,'10. Gantt S2L'!O6:O205)</f>
        <v>4118800</v>
      </c>
      <c r="E23" s="50" t="n">
        <f aca="false">SUMIF('10. Gantt S2L'!D6:D205,C23,'10. Gantt S2L'!P6:P205)</f>
        <v>0</v>
      </c>
      <c r="F23" s="105" t="n">
        <f aca="false">IFERROR(E23/D23,0)</f>
        <v>0</v>
      </c>
      <c r="G23" s="30" t="n">
        <f aca="false">COUNTIF('10. Gantt S2L'!D6:D205,C23)</f>
        <v>1</v>
      </c>
      <c r="H23" s="30" t="n">
        <f aca="false">COUNTIFS('10. Gantt S2L'!D6:D205,C23,'10. Gantt S2L'!Q6:Q205,"Terminé à temps")+COUNTIFS('10. Gantt S2L'!D6:D205,C23,'10. Gantt S2L'!Q6:Q205,"Terminé hors délai")</f>
        <v>0</v>
      </c>
      <c r="I23" s="105" t="n">
        <f aca="false">IFERROR(SUMIFS('10. Gantt S2L'!N6:N205,'10. Gantt S2L'!D6:D205,C23)/G23/100,0)</f>
        <v>0</v>
      </c>
      <c r="J23" s="105" t="n">
        <f aca="false">I23-F23</f>
        <v>0</v>
      </c>
      <c r="K23" s="27" t="str">
        <f aca="false">IF(ABS(J23)&lt;0.05,"Équilibré",IF(J23&lt;-0.1,"⚠ Sur-conso",IF(J23&gt;0.1,"Sous-conso","OK")))</f>
        <v>Équilibré</v>
      </c>
    </row>
    <row r="26" customFormat="false" ht="24" hidden="false" customHeight="true" outlineLevel="0" collapsed="false">
      <c r="B26" s="102" t="s">
        <v>683</v>
      </c>
      <c r="C26" s="102"/>
      <c r="D26" s="102"/>
      <c r="E26" s="102"/>
      <c r="F26" s="102"/>
      <c r="G26" s="102"/>
      <c r="H26" s="102"/>
      <c r="I26" s="102"/>
      <c r="J26" s="102"/>
      <c r="K26" s="102"/>
    </row>
    <row r="27" customFormat="false" ht="24" hidden="false" customHeight="true" outlineLevel="0" collapsed="false">
      <c r="B27" s="10" t="s">
        <v>684</v>
      </c>
      <c r="C27" s="110" t="s">
        <v>685</v>
      </c>
      <c r="D27" s="110"/>
      <c r="E27" s="110"/>
      <c r="F27" s="110"/>
      <c r="G27" s="110"/>
      <c r="H27" s="110"/>
      <c r="I27" s="110"/>
      <c r="J27" s="110"/>
      <c r="K27" s="110"/>
    </row>
    <row r="28" customFormat="false" ht="24" hidden="false" customHeight="true" outlineLevel="0" collapsed="false">
      <c r="B28" s="10" t="s">
        <v>686</v>
      </c>
      <c r="C28" s="111" t="s">
        <v>687</v>
      </c>
      <c r="D28" s="111"/>
      <c r="E28" s="111"/>
      <c r="F28" s="111"/>
      <c r="G28" s="111"/>
      <c r="H28" s="111"/>
      <c r="I28" s="111"/>
      <c r="J28" s="111"/>
      <c r="K28" s="111"/>
    </row>
    <row r="29" customFormat="false" ht="24" hidden="false" customHeight="true" outlineLevel="0" collapsed="false">
      <c r="B29" s="10" t="s">
        <v>688</v>
      </c>
      <c r="C29" s="110" t="s">
        <v>689</v>
      </c>
      <c r="D29" s="110"/>
      <c r="E29" s="110"/>
      <c r="F29" s="110"/>
      <c r="G29" s="110"/>
      <c r="H29" s="110"/>
      <c r="I29" s="110"/>
      <c r="J29" s="110"/>
      <c r="K29" s="110"/>
    </row>
    <row r="30" customFormat="false" ht="24" hidden="false" customHeight="true" outlineLevel="0" collapsed="false">
      <c r="B30" s="10" t="s">
        <v>690</v>
      </c>
      <c r="C30" s="111" t="s">
        <v>691</v>
      </c>
      <c r="D30" s="111"/>
      <c r="E30" s="111"/>
      <c r="F30" s="111"/>
      <c r="G30" s="111"/>
      <c r="H30" s="111"/>
      <c r="I30" s="111"/>
      <c r="J30" s="111"/>
      <c r="K30" s="111"/>
    </row>
    <row r="31" customFormat="false" ht="24" hidden="false" customHeight="true" outlineLevel="0" collapsed="false">
      <c r="B31" s="10" t="s">
        <v>692</v>
      </c>
      <c r="C31" s="110" t="s">
        <v>693</v>
      </c>
      <c r="D31" s="110"/>
      <c r="E31" s="110"/>
      <c r="F31" s="110"/>
      <c r="G31" s="110"/>
      <c r="H31" s="110"/>
      <c r="I31" s="110"/>
      <c r="J31" s="110"/>
      <c r="K31" s="110"/>
    </row>
  </sheetData>
  <mergeCells count="10">
    <mergeCell ref="B2:K2"/>
    <mergeCell ref="B3:K3"/>
    <mergeCell ref="B5:K5"/>
    <mergeCell ref="B12:K12"/>
    <mergeCell ref="B26:K26"/>
    <mergeCell ref="C27:K27"/>
    <mergeCell ref="C28:K28"/>
    <mergeCell ref="C29:K29"/>
    <mergeCell ref="C30:K30"/>
    <mergeCell ref="C31:K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B2: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5"/>
    <col collapsed="false" customWidth="true" hidden="false" outlineLevel="0" max="3" min="3" style="1" width="16"/>
    <col collapsed="false" customWidth="true" hidden="false" outlineLevel="0" max="4" min="4" style="1" width="22"/>
    <col collapsed="false" customWidth="true" hidden="false" outlineLevel="0" max="5" min="5" style="1" width="26"/>
    <col collapsed="false" customWidth="true" hidden="false" outlineLevel="0" max="7" min="6" style="1" width="14"/>
    <col collapsed="false" customWidth="true" hidden="false" outlineLevel="0" max="9" min="8" style="1" width="18"/>
    <col collapsed="false" customWidth="true" hidden="false" outlineLevel="0" max="10" min="10" style="1" width="14"/>
  </cols>
  <sheetData>
    <row r="2" customFormat="false" ht="27.75" hidden="false" customHeight="true" outlineLevel="0" collapsed="false">
      <c r="B2" s="101" t="s">
        <v>694</v>
      </c>
      <c r="C2" s="101"/>
      <c r="D2" s="101"/>
      <c r="E2" s="101"/>
      <c r="F2" s="101"/>
      <c r="G2" s="101"/>
      <c r="H2" s="101"/>
      <c r="I2" s="101"/>
      <c r="J2" s="101"/>
    </row>
    <row r="3" customFormat="false" ht="21.75" hidden="false" customHeight="true" outlineLevel="0" collapsed="false">
      <c r="B3" s="89" t="s">
        <v>695</v>
      </c>
      <c r="C3" s="89"/>
      <c r="D3" s="89"/>
      <c r="E3" s="89"/>
      <c r="F3" s="89"/>
      <c r="G3" s="89"/>
      <c r="H3" s="89"/>
      <c r="I3" s="89"/>
      <c r="J3" s="89"/>
    </row>
    <row r="5" customFormat="false" ht="31.5" hidden="false" customHeight="true" outlineLevel="0" collapsed="false">
      <c r="B5" s="103" t="s">
        <v>696</v>
      </c>
      <c r="C5" s="103" t="s">
        <v>663</v>
      </c>
      <c r="D5" s="103" t="s">
        <v>697</v>
      </c>
      <c r="E5" s="103" t="s">
        <v>698</v>
      </c>
      <c r="F5" s="103" t="s">
        <v>699</v>
      </c>
      <c r="G5" s="103" t="s">
        <v>700</v>
      </c>
      <c r="H5" s="103" t="s">
        <v>701</v>
      </c>
      <c r="I5" s="103" t="s">
        <v>702</v>
      </c>
      <c r="J5" s="103" t="s">
        <v>30</v>
      </c>
    </row>
    <row r="6" customFormat="false" ht="24" hidden="false" customHeight="true" outlineLevel="0" collapsed="false">
      <c r="B6" s="27" t="n">
        <v>1</v>
      </c>
      <c r="C6" s="104" t="s">
        <v>103</v>
      </c>
      <c r="D6" s="11" t="s">
        <v>703</v>
      </c>
      <c r="E6" s="11" t="s">
        <v>704</v>
      </c>
      <c r="F6" s="47" t="n">
        <v>46082</v>
      </c>
      <c r="G6" s="47"/>
      <c r="H6" s="50" t="n">
        <v>6000000</v>
      </c>
      <c r="I6" s="50"/>
      <c r="J6" s="27" t="str">
        <f aca="true">IF(G6="",IF(F6&lt;TODAY(),"⚠ Retard","En attente"),IF(I6&gt;=H6,"✓ Reçu","Partiel"))</f>
        <v>⚠ Retard</v>
      </c>
    </row>
    <row r="7" customFormat="false" ht="24" hidden="false" customHeight="true" outlineLevel="0" collapsed="false">
      <c r="B7" s="38" t="n">
        <v>2</v>
      </c>
      <c r="C7" s="104" t="s">
        <v>103</v>
      </c>
      <c r="D7" s="7" t="s">
        <v>703</v>
      </c>
      <c r="E7" s="7" t="s">
        <v>705</v>
      </c>
      <c r="F7" s="56" t="n">
        <v>46266</v>
      </c>
      <c r="G7" s="56"/>
      <c r="H7" s="58" t="n">
        <v>6000000</v>
      </c>
      <c r="I7" s="58"/>
      <c r="J7" s="38" t="str">
        <f aca="true">IF(G7="",IF(F7&lt;TODAY(),"⚠ Retard","En attente"),IF(I7&gt;=H7,"✓ Reçu","Partiel"))</f>
        <v>En attente</v>
      </c>
    </row>
    <row r="8" customFormat="false" ht="24" hidden="false" customHeight="true" outlineLevel="0" collapsed="false">
      <c r="B8" s="27" t="n">
        <v>3</v>
      </c>
      <c r="C8" s="104" t="s">
        <v>103</v>
      </c>
      <c r="D8" s="11" t="s">
        <v>703</v>
      </c>
      <c r="E8" s="11" t="s">
        <v>706</v>
      </c>
      <c r="F8" s="47" t="n">
        <v>46508</v>
      </c>
      <c r="G8" s="47"/>
      <c r="H8" s="50" t="n">
        <v>3000000</v>
      </c>
      <c r="I8" s="50"/>
      <c r="J8" s="27" t="str">
        <f aca="true">IF(G8="",IF(F8&lt;TODAY(),"⚠ Retard","En attente"),IF(I8&gt;=H8,"✓ Reçu","Partiel"))</f>
        <v>En attente</v>
      </c>
    </row>
    <row r="9" customFormat="false" ht="24" hidden="false" customHeight="true" outlineLevel="0" collapsed="false">
      <c r="B9" s="38" t="n">
        <v>4</v>
      </c>
      <c r="C9" s="106" t="s">
        <v>107</v>
      </c>
      <c r="D9" s="7" t="s">
        <v>707</v>
      </c>
      <c r="E9" s="7" t="s">
        <v>708</v>
      </c>
      <c r="F9" s="56" t="n">
        <v>45839</v>
      </c>
      <c r="G9" s="56"/>
      <c r="H9" s="58" t="n">
        <v>21000000</v>
      </c>
      <c r="I9" s="58"/>
      <c r="J9" s="38" t="str">
        <f aca="true">IF(G9="",IF(F9&lt;TODAY(),"⚠ Retard","En attente"),IF(I9&gt;=H9,"✓ Reçu","Partiel"))</f>
        <v>⚠ Retard</v>
      </c>
    </row>
    <row r="10" customFormat="false" ht="24" hidden="false" customHeight="true" outlineLevel="0" collapsed="false">
      <c r="B10" s="27" t="n">
        <v>5</v>
      </c>
      <c r="C10" s="106" t="s">
        <v>107</v>
      </c>
      <c r="D10" s="11" t="s">
        <v>707</v>
      </c>
      <c r="E10" s="11" t="s">
        <v>709</v>
      </c>
      <c r="F10" s="47" t="n">
        <v>46204</v>
      </c>
      <c r="G10" s="47"/>
      <c r="H10" s="50" t="n">
        <v>21000000</v>
      </c>
      <c r="I10" s="50"/>
      <c r="J10" s="27" t="str">
        <f aca="true">IF(G10="",IF(F10&lt;TODAY(),"⚠ Retard","En attente"),IF(I10&gt;=H10,"✓ Reçu","Partiel"))</f>
        <v>En attente</v>
      </c>
    </row>
    <row r="11" customFormat="false" ht="24" hidden="false" customHeight="true" outlineLevel="0" collapsed="false">
      <c r="B11" s="38" t="n">
        <v>6</v>
      </c>
      <c r="C11" s="106" t="s">
        <v>107</v>
      </c>
      <c r="D11" s="7" t="s">
        <v>707</v>
      </c>
      <c r="E11" s="7" t="s">
        <v>710</v>
      </c>
      <c r="F11" s="56" t="n">
        <v>46569</v>
      </c>
      <c r="G11" s="56"/>
      <c r="H11" s="58" t="n">
        <v>21186600</v>
      </c>
      <c r="I11" s="58"/>
      <c r="J11" s="38" t="str">
        <f aca="true">IF(G11="",IF(F11&lt;TODAY(),"⚠ Retard","En attente"),IF(I11&gt;=H11,"✓ Reçu","Partiel"))</f>
        <v>En attente</v>
      </c>
    </row>
    <row r="13" customFormat="false" ht="25.5" hidden="false" customHeight="true" outlineLevel="0" collapsed="false">
      <c r="B13" s="112" t="s">
        <v>711</v>
      </c>
      <c r="C13" s="112"/>
      <c r="D13" s="112"/>
      <c r="E13" s="112"/>
      <c r="F13" s="112"/>
      <c r="G13" s="112"/>
      <c r="H13" s="62" t="n">
        <f aca="false">SUMIF(C6:C11,"EQUIFILLES",H6:H11)</f>
        <v>15000000</v>
      </c>
      <c r="I13" s="62" t="n">
        <f aca="false">SUMIF(C6:C11,"EQUIFILLES",I6:I11)</f>
        <v>0</v>
      </c>
      <c r="J13" s="43"/>
    </row>
    <row r="14" customFormat="false" ht="25.5" hidden="false" customHeight="true" outlineLevel="0" collapsed="false">
      <c r="B14" s="113" t="s">
        <v>712</v>
      </c>
      <c r="C14" s="113"/>
      <c r="D14" s="113"/>
      <c r="E14" s="113"/>
      <c r="F14" s="113"/>
      <c r="G14" s="113"/>
      <c r="H14" s="97" t="n">
        <f aca="false">SUMIF(C6:C11,"SPACE TO LEAD",H6:H11)</f>
        <v>63186600</v>
      </c>
      <c r="I14" s="97" t="n">
        <f aca="false">SUMIF(C6:C11,"SPACE TO LEAD",I6:I11)</f>
        <v>0</v>
      </c>
      <c r="J14" s="93"/>
    </row>
    <row r="17" customFormat="false" ht="24" hidden="false" customHeight="true" outlineLevel="0" collapsed="false">
      <c r="B17" s="102" t="s">
        <v>713</v>
      </c>
      <c r="C17" s="102"/>
      <c r="D17" s="102"/>
      <c r="E17" s="102"/>
      <c r="F17" s="102"/>
      <c r="G17" s="102"/>
      <c r="H17" s="102"/>
      <c r="I17" s="102"/>
      <c r="J17" s="102"/>
    </row>
    <row r="18" customFormat="false" ht="27.75" hidden="false" customHeight="true" outlineLevel="0" collapsed="false">
      <c r="B18" s="103" t="s">
        <v>663</v>
      </c>
      <c r="C18" s="103" t="s">
        <v>714</v>
      </c>
      <c r="D18" s="103" t="s">
        <v>715</v>
      </c>
      <c r="E18" s="103" t="s">
        <v>716</v>
      </c>
      <c r="F18" s="103" t="s">
        <v>717</v>
      </c>
    </row>
    <row r="19" customFormat="false" ht="24" hidden="false" customHeight="true" outlineLevel="0" collapsed="false">
      <c r="B19" s="104" t="s">
        <v>103</v>
      </c>
      <c r="C19" s="50" t="n">
        <f aca="false">I13</f>
        <v>0</v>
      </c>
      <c r="D19" s="50" t="n">
        <f aca="false">SUM('5. Gantt EQUIFILLES'!P6:P205)</f>
        <v>0</v>
      </c>
      <c r="E19" s="50" t="n">
        <f aca="false">C19-D19</f>
        <v>0</v>
      </c>
      <c r="F19" s="114" t="n">
        <f aca="false">IFERROR(D19/C19,0)</f>
        <v>0</v>
      </c>
    </row>
    <row r="20" customFormat="false" ht="24" hidden="false" customHeight="true" outlineLevel="0" collapsed="false">
      <c r="B20" s="106" t="s">
        <v>107</v>
      </c>
      <c r="C20" s="50" t="n">
        <f aca="false">I14</f>
        <v>0</v>
      </c>
      <c r="D20" s="50" t="n">
        <f aca="false">SUM('10. Gantt S2L'!P6:P205)</f>
        <v>0</v>
      </c>
      <c r="E20" s="50" t="n">
        <f aca="false">C20-D20</f>
        <v>0</v>
      </c>
      <c r="F20" s="114" t="n">
        <f aca="false">IFERROR(D20/C20,0)</f>
        <v>0</v>
      </c>
    </row>
  </sheetData>
  <mergeCells count="5">
    <mergeCell ref="B2:J2"/>
    <mergeCell ref="B3:J3"/>
    <mergeCell ref="B13:G13"/>
    <mergeCell ref="B14:G14"/>
    <mergeCell ref="B17:J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2:J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3" min="2" style="1" width="12"/>
    <col collapsed="false" customWidth="true" hidden="false" outlineLevel="0" max="4" min="4" style="1" width="32"/>
    <col collapsed="false" customWidth="true" hidden="false" outlineLevel="0" max="5" min="5" style="1" width="18"/>
    <col collapsed="false" customWidth="true" hidden="false" outlineLevel="0" max="7" min="6" style="1" width="14"/>
    <col collapsed="false" customWidth="true" hidden="false" outlineLevel="0" max="8" min="8" style="1" width="11"/>
    <col collapsed="false" customWidth="true" hidden="false" outlineLevel="0" max="9" min="9" style="1" width="12"/>
    <col collapsed="false" customWidth="true" hidden="false" outlineLevel="0" max="10" min="10" style="1" width="22"/>
  </cols>
  <sheetData>
    <row r="2" customFormat="false" ht="27.75" hidden="false" customHeight="true" outlineLevel="0" collapsed="false">
      <c r="B2" s="42" t="s">
        <v>718</v>
      </c>
      <c r="C2" s="42"/>
      <c r="D2" s="42"/>
      <c r="E2" s="42"/>
      <c r="F2" s="42"/>
      <c r="G2" s="42"/>
      <c r="H2" s="42"/>
      <c r="I2" s="42"/>
      <c r="J2" s="42"/>
    </row>
    <row r="3" customFormat="false" ht="21.75" hidden="false" customHeight="true" outlineLevel="0" collapsed="false">
      <c r="B3" s="89" t="s">
        <v>719</v>
      </c>
      <c r="C3" s="89"/>
      <c r="D3" s="89"/>
      <c r="E3" s="89"/>
      <c r="F3" s="89"/>
      <c r="G3" s="89"/>
      <c r="H3" s="89"/>
      <c r="I3" s="89"/>
      <c r="J3" s="89"/>
    </row>
    <row r="5" customFormat="false" ht="24" hidden="false" customHeight="true" outlineLevel="0" collapsed="false">
      <c r="B5" s="115" t="s">
        <v>720</v>
      </c>
      <c r="C5" s="115"/>
      <c r="D5" s="115"/>
      <c r="E5" s="115"/>
      <c r="F5" s="115"/>
      <c r="G5" s="115"/>
      <c r="H5" s="115"/>
      <c r="I5" s="115"/>
      <c r="J5" s="115"/>
    </row>
    <row r="6" customFormat="false" ht="30" hidden="false" customHeight="true" outlineLevel="0" collapsed="false">
      <c r="B6" s="116" t="s">
        <v>721</v>
      </c>
      <c r="C6" s="116"/>
      <c r="D6" s="116"/>
      <c r="E6" s="116"/>
      <c r="F6" s="116"/>
      <c r="G6" s="116"/>
      <c r="H6" s="117" t="n">
        <f aca="false">COUNTIF('5. Gantt EQUIFILLES'!Q6:Q205,"Critique")+COUNTIF('10. Gantt S2L'!Q6:Q205,"Critique")</f>
        <v>7</v>
      </c>
      <c r="I6" s="117"/>
      <c r="J6" s="117"/>
    </row>
    <row r="7" customFormat="false" ht="30" hidden="false" customHeight="true" outlineLevel="0" collapsed="false">
      <c r="B7" s="118" t="s">
        <v>722</v>
      </c>
      <c r="C7" s="118"/>
      <c r="D7" s="118"/>
      <c r="E7" s="118"/>
      <c r="F7" s="118"/>
      <c r="G7" s="118"/>
      <c r="H7" s="119" t="n">
        <f aca="false">COUNTIF('5. Gantt EQUIFILLES'!Q6:Q205,"En retard")+COUNTIF('10. Gantt S2L'!Q6:Q205,"En retard")</f>
        <v>21</v>
      </c>
      <c r="I7" s="119"/>
      <c r="J7" s="119"/>
    </row>
    <row r="8" customFormat="false" ht="30" hidden="false" customHeight="true" outlineLevel="0" collapsed="false">
      <c r="B8" s="120" t="s">
        <v>723</v>
      </c>
      <c r="C8" s="120"/>
      <c r="D8" s="120"/>
      <c r="E8" s="120"/>
      <c r="F8" s="120"/>
      <c r="G8" s="120"/>
      <c r="H8" s="121" t="n">
        <f aca="false">COUNTIF('5. Gantt EQUIFILLES'!Q6:Q205,"À surveiller")+COUNTIF('10. Gantt S2L'!Q6:Q205,"À surveiller")</f>
        <v>0</v>
      </c>
      <c r="I8" s="121"/>
      <c r="J8" s="121"/>
    </row>
    <row r="9" customFormat="false" ht="30" hidden="false" customHeight="true" outlineLevel="0" collapsed="false">
      <c r="B9" s="122" t="s">
        <v>724</v>
      </c>
      <c r="C9" s="122"/>
      <c r="D9" s="122"/>
      <c r="E9" s="122"/>
      <c r="F9" s="122"/>
      <c r="G9" s="122"/>
      <c r="H9" s="123" t="n">
        <f aca="false">COUNTIF('5. Gantt EQUIFILLES'!Q6:Q205,"Terminé hors délai")+COUNTIF('10. Gantt S2L'!Q6:Q205,"Terminé hors délai")</f>
        <v>0</v>
      </c>
      <c r="I9" s="123"/>
      <c r="J9" s="123"/>
    </row>
    <row r="10" customFormat="false" ht="30" hidden="false" customHeight="true" outlineLevel="0" collapsed="false">
      <c r="B10" s="124" t="s">
        <v>725</v>
      </c>
      <c r="C10" s="124"/>
      <c r="D10" s="124"/>
      <c r="E10" s="124"/>
      <c r="F10" s="124"/>
      <c r="G10" s="124"/>
      <c r="H10" s="125" t="n">
        <f aca="true">COUNTIFS('5. Gantt EQUIFILLES'!I6:I205,"&lt;="&amp;TODAY()+30,'5. Gantt EQUIFILLES'!I6:I205,"&gt;"&amp;TODAY(),'5. Gantt EQUIFILLES'!K6:K205,"")+COUNTIFS('10. Gantt S2L'!I6:I205,"&lt;="&amp;TODAY()+30,'10. Gantt S2L'!I6:I205,"&gt;"&amp;TODAY(),'10. Gantt S2L'!K6:K205,"")</f>
        <v>1</v>
      </c>
      <c r="I10" s="125"/>
      <c r="J10" s="125"/>
    </row>
    <row r="11" customFormat="false" ht="30" hidden="false" customHeight="true" outlineLevel="0" collapsed="false">
      <c r="B11" s="116" t="s">
        <v>726</v>
      </c>
      <c r="C11" s="116"/>
      <c r="D11" s="116"/>
      <c r="E11" s="116"/>
      <c r="F11" s="116"/>
      <c r="G11" s="116"/>
      <c r="H11" s="117" t="n">
        <f aca="true">COUNTIFS('5. Gantt EQUIFILLES'!I6:I205,"&lt;"&amp;TODAY(),'5. Gantt EQUIFILLES'!K6:K205,"")+COUNTIFS('10. Gantt S2L'!I6:I205,"&lt;"&amp;TODAY(),'10. Gantt S2L'!K6:K205,"")</f>
        <v>9</v>
      </c>
      <c r="I11" s="117"/>
      <c r="J11" s="117"/>
    </row>
    <row r="14" customFormat="false" ht="24" hidden="false" customHeight="true" outlineLevel="0" collapsed="false">
      <c r="B14" s="115" t="s">
        <v>727</v>
      </c>
      <c r="C14" s="115"/>
      <c r="D14" s="115"/>
      <c r="E14" s="115"/>
      <c r="F14" s="115"/>
      <c r="G14" s="115"/>
      <c r="H14" s="115"/>
      <c r="I14" s="115"/>
      <c r="J14" s="115"/>
    </row>
    <row r="15" customFormat="false" ht="27.75" hidden="false" customHeight="true" outlineLevel="0" collapsed="false">
      <c r="B15" s="43" t="s">
        <v>663</v>
      </c>
      <c r="C15" s="43" t="s">
        <v>48</v>
      </c>
      <c r="D15" s="43" t="s">
        <v>728</v>
      </c>
      <c r="E15" s="43" t="s">
        <v>212</v>
      </c>
      <c r="F15" s="43" t="s">
        <v>300</v>
      </c>
      <c r="G15" s="43" t="s">
        <v>30</v>
      </c>
      <c r="H15" s="43" t="s">
        <v>729</v>
      </c>
      <c r="I15" s="43" t="s">
        <v>730</v>
      </c>
    </row>
    <row r="16" customFormat="false" ht="24" hidden="false" customHeight="true" outlineLevel="0" collapsed="false">
      <c r="B16" s="126" t="s">
        <v>103</v>
      </c>
      <c r="C16" s="27" t="str">
        <f aca="false">IFERROR(INDEX('5. Gantt EQUIFILLES'!B:B,IFERROR(SMALL(IF('5. Gantt EQUIFILLES'!Q$6:Q$205="Critique",ROW('5. Gantt EQUIFILLES'!Q$6:Q$205)),1),"")),"")</f>
        <v>A1.2.2.3</v>
      </c>
      <c r="D16" s="11" t="str">
        <f aca="false">IFERROR(INDEX('5. Gantt EQUIFILLES'!C:C,IFERROR(SMALL(IF('5. Gantt EQUIFILLES'!Q$6:Q$205="Critique",ROW('5. Gantt EQUIFILLES'!Q$6:Q$205)),1),"")),"")</f>
        <v>Séance face-à-face offre/demande - Forum dialogue</v>
      </c>
      <c r="E16" s="11" t="str">
        <f aca="false">IFERROR(INDEX('5. Gantt EQUIFILLES'!E:E,IFERROR(SMALL(IF('5. Gantt EQUIFILLES'!Q$6:Q$205="Critique",ROW('5. Gantt EQUIFILLES'!Q$6:Q$205)),1),"")),"")</f>
        <v>BOUKARI AROUNA Rafiou</v>
      </c>
      <c r="F16" s="47" t="n">
        <f aca="false">IFERROR(INDEX('5. Gantt EQUIFILLES'!I:I,IFERROR(SMALL(IF('5. Gantt EQUIFILLES'!Q$6:Q$205="Critique",ROW('5. Gantt EQUIFILLES'!Q$6:Q$205)),1),"")),"")</f>
        <v>46325</v>
      </c>
      <c r="G16" s="127" t="str">
        <f aca="false">IF(C16="","","Critique")</f>
        <v>Critique</v>
      </c>
      <c r="H16" s="49" t="n">
        <f aca="false">IFERROR(INDEX('5. Gantt EQUIFILLES'!N:N,IFERROR(SMALL(IF('5. Gantt EQUIFILLES'!Q$6:Q$205="Critique",ROW('5. Gantt EQUIFILLES'!Q$6:Q$205)),1),"")),"")</f>
        <v>0</v>
      </c>
      <c r="I16" s="10" t="str">
        <f aca="false">IF(C16="","","⛔ Plan correctif urgent")</f>
        <v>⛔ Plan correctif urgent</v>
      </c>
    </row>
    <row r="17" customFormat="false" ht="24" hidden="false" customHeight="true" outlineLevel="0" collapsed="false">
      <c r="B17" s="126" t="s">
        <v>103</v>
      </c>
      <c r="C17" s="38" t="str">
        <f aca="false">IFERROR(INDEX('5. Gantt EQUIFILLES'!B:B,IFERROR(SMALL(IF('5. Gantt EQUIFILLES'!Q$6:Q$205="Critique",ROW('5. Gantt EQUIFILLES'!Q$6:Q$205)),2),"")),"")</f>
        <v/>
      </c>
      <c r="D17" s="7" t="str">
        <f aca="false">IFERROR(INDEX('5. Gantt EQUIFILLES'!C:C,IFERROR(SMALL(IF('5. Gantt EQUIFILLES'!Q$6:Q$205="Critique",ROW('5. Gantt EQUIFILLES'!Q$6:Q$205)),2),"")),"")</f>
        <v/>
      </c>
      <c r="E17" s="7" t="str">
        <f aca="false">IFERROR(INDEX('5. Gantt EQUIFILLES'!E:E,IFERROR(SMALL(IF('5. Gantt EQUIFILLES'!Q$6:Q$205="Critique",ROW('5. Gantt EQUIFILLES'!Q$6:Q$205)),2),"")),"")</f>
        <v/>
      </c>
      <c r="F17" s="56" t="str">
        <f aca="false">IFERROR(INDEX('5. Gantt EQUIFILLES'!I:I,IFERROR(SMALL(IF('5. Gantt EQUIFILLES'!Q$6:Q$205="Critique",ROW('5. Gantt EQUIFILLES'!Q$6:Q$205)),2),"")),"")</f>
        <v/>
      </c>
      <c r="G17" s="127" t="str">
        <f aca="false">IF(C17="","","Critique")</f>
        <v/>
      </c>
      <c r="H17" s="57" t="str">
        <f aca="false">IFERROR(INDEX('5. Gantt EQUIFILLES'!N:N,IFERROR(SMALL(IF('5. Gantt EQUIFILLES'!Q$6:Q$205="Critique",ROW('5. Gantt EQUIFILLES'!Q$6:Q$205)),2),"")),"")</f>
        <v/>
      </c>
      <c r="I17" s="6" t="str">
        <f aca="false">IF(C17="","","⛔ Plan correctif urgent")</f>
        <v/>
      </c>
    </row>
    <row r="18" customFormat="false" ht="24" hidden="false" customHeight="true" outlineLevel="0" collapsed="false">
      <c r="B18" s="126" t="s">
        <v>103</v>
      </c>
      <c r="C18" s="27" t="str">
        <f aca="false">IFERROR(INDEX('5. Gantt EQUIFILLES'!B:B,IFERROR(SMALL(IF('5. Gantt EQUIFILLES'!Q$6:Q$205="Critique",ROW('5. Gantt EQUIFILLES'!Q$6:Q$205)),3),"")),"")</f>
        <v/>
      </c>
      <c r="D18" s="11" t="str">
        <f aca="false">IFERROR(INDEX('5. Gantt EQUIFILLES'!C:C,IFERROR(SMALL(IF('5. Gantt EQUIFILLES'!Q$6:Q$205="Critique",ROW('5. Gantt EQUIFILLES'!Q$6:Q$205)),3),"")),"")</f>
        <v/>
      </c>
      <c r="E18" s="11" t="str">
        <f aca="false">IFERROR(INDEX('5. Gantt EQUIFILLES'!E:E,IFERROR(SMALL(IF('5. Gantt EQUIFILLES'!Q$6:Q$205="Critique",ROW('5. Gantt EQUIFILLES'!Q$6:Q$205)),3),"")),"")</f>
        <v/>
      </c>
      <c r="F18" s="47" t="str">
        <f aca="false">IFERROR(INDEX('5. Gantt EQUIFILLES'!I:I,IFERROR(SMALL(IF('5. Gantt EQUIFILLES'!Q$6:Q$205="Critique",ROW('5. Gantt EQUIFILLES'!Q$6:Q$205)),3),"")),"")</f>
        <v/>
      </c>
      <c r="G18" s="127" t="str">
        <f aca="false">IF(C18="","","Critique")</f>
        <v/>
      </c>
      <c r="H18" s="49" t="str">
        <f aca="false">IFERROR(INDEX('5. Gantt EQUIFILLES'!N:N,IFERROR(SMALL(IF('5. Gantt EQUIFILLES'!Q$6:Q$205="Critique",ROW('5. Gantt EQUIFILLES'!Q$6:Q$205)),3),"")),"")</f>
        <v/>
      </c>
      <c r="I18" s="10" t="str">
        <f aca="false">IF(C18="","","⛔ Plan correctif urgent")</f>
        <v/>
      </c>
    </row>
    <row r="19" customFormat="false" ht="24" hidden="false" customHeight="true" outlineLevel="0" collapsed="false">
      <c r="B19" s="126" t="s">
        <v>103</v>
      </c>
      <c r="C19" s="38" t="str">
        <f aca="false">IFERROR(INDEX('5. Gantt EQUIFILLES'!B:B,IFERROR(SMALL(IF('5. Gantt EQUIFILLES'!Q$6:Q$205="Critique",ROW('5. Gantt EQUIFILLES'!Q$6:Q$205)),4),"")),"")</f>
        <v/>
      </c>
      <c r="D19" s="7" t="str">
        <f aca="false">IFERROR(INDEX('5. Gantt EQUIFILLES'!C:C,IFERROR(SMALL(IF('5. Gantt EQUIFILLES'!Q$6:Q$205="Critique",ROW('5. Gantt EQUIFILLES'!Q$6:Q$205)),4),"")),"")</f>
        <v/>
      </c>
      <c r="E19" s="7" t="str">
        <f aca="false">IFERROR(INDEX('5. Gantt EQUIFILLES'!E:E,IFERROR(SMALL(IF('5. Gantt EQUIFILLES'!Q$6:Q$205="Critique",ROW('5. Gantt EQUIFILLES'!Q$6:Q$205)),4),"")),"")</f>
        <v/>
      </c>
      <c r="F19" s="56" t="str">
        <f aca="false">IFERROR(INDEX('5. Gantt EQUIFILLES'!I:I,IFERROR(SMALL(IF('5. Gantt EQUIFILLES'!Q$6:Q$205="Critique",ROW('5. Gantt EQUIFILLES'!Q$6:Q$205)),4),"")),"")</f>
        <v/>
      </c>
      <c r="G19" s="127" t="str">
        <f aca="false">IF(C19="","","Critique")</f>
        <v/>
      </c>
      <c r="H19" s="57" t="str">
        <f aca="false">IFERROR(INDEX('5. Gantt EQUIFILLES'!N:N,IFERROR(SMALL(IF('5. Gantt EQUIFILLES'!Q$6:Q$205="Critique",ROW('5. Gantt EQUIFILLES'!Q$6:Q$205)),4),"")),"")</f>
        <v/>
      </c>
      <c r="I19" s="6" t="str">
        <f aca="false">IF(C19="","","⛔ Plan correctif urgent")</f>
        <v/>
      </c>
    </row>
    <row r="20" customFormat="false" ht="24" hidden="false" customHeight="true" outlineLevel="0" collapsed="false">
      <c r="B20" s="126" t="s">
        <v>103</v>
      </c>
      <c r="C20" s="27" t="str">
        <f aca="false">IFERROR(INDEX('5. Gantt EQUIFILLES'!B:B,IFERROR(SMALL(IF('5. Gantt EQUIFILLES'!Q$6:Q$205="Critique",ROW('5. Gantt EQUIFILLES'!Q$6:Q$205)),5),"")),"")</f>
        <v/>
      </c>
      <c r="D20" s="11" t="str">
        <f aca="false">IFERROR(INDEX('5. Gantt EQUIFILLES'!C:C,IFERROR(SMALL(IF('5. Gantt EQUIFILLES'!Q$6:Q$205="Critique",ROW('5. Gantt EQUIFILLES'!Q$6:Q$205)),5),"")),"")</f>
        <v/>
      </c>
      <c r="E20" s="11" t="str">
        <f aca="false">IFERROR(INDEX('5. Gantt EQUIFILLES'!E:E,IFERROR(SMALL(IF('5. Gantt EQUIFILLES'!Q$6:Q$205="Critique",ROW('5. Gantt EQUIFILLES'!Q$6:Q$205)),5),"")),"")</f>
        <v/>
      </c>
      <c r="F20" s="47" t="str">
        <f aca="false">IFERROR(INDEX('5. Gantt EQUIFILLES'!I:I,IFERROR(SMALL(IF('5. Gantt EQUIFILLES'!Q$6:Q$205="Critique",ROW('5. Gantt EQUIFILLES'!Q$6:Q$205)),5),"")),"")</f>
        <v/>
      </c>
      <c r="G20" s="127" t="str">
        <f aca="false">IF(C20="","","Critique")</f>
        <v/>
      </c>
      <c r="H20" s="49" t="str">
        <f aca="false">IFERROR(INDEX('5. Gantt EQUIFILLES'!N:N,IFERROR(SMALL(IF('5. Gantt EQUIFILLES'!Q$6:Q$205="Critique",ROW('5. Gantt EQUIFILLES'!Q$6:Q$205)),5),"")),"")</f>
        <v/>
      </c>
      <c r="I20" s="10" t="str">
        <f aca="false">IF(C20="","","⛔ Plan correctif urgent")</f>
        <v/>
      </c>
    </row>
    <row r="21" customFormat="false" ht="24" hidden="false" customHeight="true" outlineLevel="0" collapsed="false">
      <c r="B21" s="126" t="s">
        <v>103</v>
      </c>
      <c r="C21" s="38" t="str">
        <f aca="false">IFERROR(INDEX('5. Gantt EQUIFILLES'!B:B,IFERROR(SMALL(IF('5. Gantt EQUIFILLES'!Q$6:Q$205="Critique",ROW('5. Gantt EQUIFILLES'!Q$6:Q$205)),6),"")),"")</f>
        <v/>
      </c>
      <c r="D21" s="7" t="str">
        <f aca="false">IFERROR(INDEX('5. Gantt EQUIFILLES'!C:C,IFERROR(SMALL(IF('5. Gantt EQUIFILLES'!Q$6:Q$205="Critique",ROW('5. Gantt EQUIFILLES'!Q$6:Q$205)),6),"")),"")</f>
        <v/>
      </c>
      <c r="E21" s="7" t="str">
        <f aca="false">IFERROR(INDEX('5. Gantt EQUIFILLES'!E:E,IFERROR(SMALL(IF('5. Gantt EQUIFILLES'!Q$6:Q$205="Critique",ROW('5. Gantt EQUIFILLES'!Q$6:Q$205)),6),"")),"")</f>
        <v/>
      </c>
      <c r="F21" s="56" t="str">
        <f aca="false">IFERROR(INDEX('5. Gantt EQUIFILLES'!I:I,IFERROR(SMALL(IF('5. Gantt EQUIFILLES'!Q$6:Q$205="Critique",ROW('5. Gantt EQUIFILLES'!Q$6:Q$205)),6),"")),"")</f>
        <v/>
      </c>
      <c r="G21" s="127" t="str">
        <f aca="false">IF(C21="","","Critique")</f>
        <v/>
      </c>
      <c r="H21" s="57" t="str">
        <f aca="false">IFERROR(INDEX('5. Gantt EQUIFILLES'!N:N,IFERROR(SMALL(IF('5. Gantt EQUIFILLES'!Q$6:Q$205="Critique",ROW('5. Gantt EQUIFILLES'!Q$6:Q$205)),6),"")),"")</f>
        <v/>
      </c>
      <c r="I21" s="6" t="str">
        <f aca="false">IF(C21="","","⛔ Plan correctif urgent")</f>
        <v/>
      </c>
    </row>
    <row r="22" customFormat="false" ht="24" hidden="false" customHeight="true" outlineLevel="0" collapsed="false">
      <c r="B22" s="126" t="s">
        <v>103</v>
      </c>
      <c r="C22" s="27" t="str">
        <f aca="false">IFERROR(INDEX('5. Gantt EQUIFILLES'!B:B,IFERROR(SMALL(IF('5. Gantt EQUIFILLES'!Q$6:Q$205="Critique",ROW('5. Gantt EQUIFILLES'!Q$6:Q$205)),7),"")),"")</f>
        <v/>
      </c>
      <c r="D22" s="11" t="str">
        <f aca="false">IFERROR(INDEX('5. Gantt EQUIFILLES'!C:C,IFERROR(SMALL(IF('5. Gantt EQUIFILLES'!Q$6:Q$205="Critique",ROW('5. Gantt EQUIFILLES'!Q$6:Q$205)),7),"")),"")</f>
        <v/>
      </c>
      <c r="E22" s="11" t="str">
        <f aca="false">IFERROR(INDEX('5. Gantt EQUIFILLES'!E:E,IFERROR(SMALL(IF('5. Gantt EQUIFILLES'!Q$6:Q$205="Critique",ROW('5. Gantt EQUIFILLES'!Q$6:Q$205)),7),"")),"")</f>
        <v/>
      </c>
      <c r="F22" s="47" t="str">
        <f aca="false">IFERROR(INDEX('5. Gantt EQUIFILLES'!I:I,IFERROR(SMALL(IF('5. Gantt EQUIFILLES'!Q$6:Q$205="Critique",ROW('5. Gantt EQUIFILLES'!Q$6:Q$205)),7),"")),"")</f>
        <v/>
      </c>
      <c r="G22" s="127" t="str">
        <f aca="false">IF(C22="","","Critique")</f>
        <v/>
      </c>
      <c r="H22" s="49" t="str">
        <f aca="false">IFERROR(INDEX('5. Gantt EQUIFILLES'!N:N,IFERROR(SMALL(IF('5. Gantt EQUIFILLES'!Q$6:Q$205="Critique",ROW('5. Gantt EQUIFILLES'!Q$6:Q$205)),7),"")),"")</f>
        <v/>
      </c>
      <c r="I22" s="10" t="str">
        <f aca="false">IF(C22="","","⛔ Plan correctif urgent")</f>
        <v/>
      </c>
    </row>
    <row r="23" customFormat="false" ht="24" hidden="false" customHeight="true" outlineLevel="0" collapsed="false">
      <c r="B23" s="126" t="s">
        <v>103</v>
      </c>
      <c r="C23" s="38" t="str">
        <f aca="false">IFERROR(INDEX('5. Gantt EQUIFILLES'!B:B,IFERROR(SMALL(IF('5. Gantt EQUIFILLES'!Q$6:Q$205="Critique",ROW('5. Gantt EQUIFILLES'!Q$6:Q$205)),8),"")),"")</f>
        <v/>
      </c>
      <c r="D23" s="7" t="str">
        <f aca="false">IFERROR(INDEX('5. Gantt EQUIFILLES'!C:C,IFERROR(SMALL(IF('5. Gantt EQUIFILLES'!Q$6:Q$205="Critique",ROW('5. Gantt EQUIFILLES'!Q$6:Q$205)),8),"")),"")</f>
        <v/>
      </c>
      <c r="E23" s="7" t="str">
        <f aca="false">IFERROR(INDEX('5. Gantt EQUIFILLES'!E:E,IFERROR(SMALL(IF('5. Gantt EQUIFILLES'!Q$6:Q$205="Critique",ROW('5. Gantt EQUIFILLES'!Q$6:Q$205)),8),"")),"")</f>
        <v/>
      </c>
      <c r="F23" s="56" t="str">
        <f aca="false">IFERROR(INDEX('5. Gantt EQUIFILLES'!I:I,IFERROR(SMALL(IF('5. Gantt EQUIFILLES'!Q$6:Q$205="Critique",ROW('5. Gantt EQUIFILLES'!Q$6:Q$205)),8),"")),"")</f>
        <v/>
      </c>
      <c r="G23" s="127" t="str">
        <f aca="false">IF(C23="","","Critique")</f>
        <v/>
      </c>
      <c r="H23" s="57" t="str">
        <f aca="false">IFERROR(INDEX('5. Gantt EQUIFILLES'!N:N,IFERROR(SMALL(IF('5. Gantt EQUIFILLES'!Q$6:Q$205="Critique",ROW('5. Gantt EQUIFILLES'!Q$6:Q$205)),8),"")),"")</f>
        <v/>
      </c>
      <c r="I23" s="6" t="str">
        <f aca="false">IF(C23="","","⛔ Plan correctif urgent")</f>
        <v/>
      </c>
    </row>
    <row r="24" customFormat="false" ht="24" hidden="false" customHeight="true" outlineLevel="0" collapsed="false">
      <c r="B24" s="126" t="s">
        <v>103</v>
      </c>
      <c r="C24" s="27" t="str">
        <f aca="false">IFERROR(INDEX('5. Gantt EQUIFILLES'!B:B,IFERROR(SMALL(IF('5. Gantt EQUIFILLES'!Q$6:Q$205="Critique",ROW('5. Gantt EQUIFILLES'!Q$6:Q$205)),9),"")),"")</f>
        <v/>
      </c>
      <c r="D24" s="11" t="str">
        <f aca="false">IFERROR(INDEX('5. Gantt EQUIFILLES'!C:C,IFERROR(SMALL(IF('5. Gantt EQUIFILLES'!Q$6:Q$205="Critique",ROW('5. Gantt EQUIFILLES'!Q$6:Q$205)),9),"")),"")</f>
        <v/>
      </c>
      <c r="E24" s="11" t="str">
        <f aca="false">IFERROR(INDEX('5. Gantt EQUIFILLES'!E:E,IFERROR(SMALL(IF('5. Gantt EQUIFILLES'!Q$6:Q$205="Critique",ROW('5. Gantt EQUIFILLES'!Q$6:Q$205)),9),"")),"")</f>
        <v/>
      </c>
      <c r="F24" s="47" t="str">
        <f aca="false">IFERROR(INDEX('5. Gantt EQUIFILLES'!I:I,IFERROR(SMALL(IF('5. Gantt EQUIFILLES'!Q$6:Q$205="Critique",ROW('5. Gantt EQUIFILLES'!Q$6:Q$205)),9),"")),"")</f>
        <v/>
      </c>
      <c r="G24" s="127" t="str">
        <f aca="false">IF(C24="","","Critique")</f>
        <v/>
      </c>
      <c r="H24" s="49" t="str">
        <f aca="false">IFERROR(INDEX('5. Gantt EQUIFILLES'!N:N,IFERROR(SMALL(IF('5. Gantt EQUIFILLES'!Q$6:Q$205="Critique",ROW('5. Gantt EQUIFILLES'!Q$6:Q$205)),9),"")),"")</f>
        <v/>
      </c>
      <c r="I24" s="10" t="str">
        <f aca="false">IF(C24="","","⛔ Plan correctif urgent")</f>
        <v/>
      </c>
    </row>
    <row r="25" customFormat="false" ht="24" hidden="false" customHeight="true" outlineLevel="0" collapsed="false">
      <c r="B25" s="126" t="s">
        <v>103</v>
      </c>
      <c r="C25" s="38" t="str">
        <f aca="false">IFERROR(INDEX('5. Gantt EQUIFILLES'!B:B,IFERROR(SMALL(IF('5. Gantt EQUIFILLES'!Q$6:Q$205="Critique",ROW('5. Gantt EQUIFILLES'!Q$6:Q$205)),10),"")),"")</f>
        <v/>
      </c>
      <c r="D25" s="7" t="str">
        <f aca="false">IFERROR(INDEX('5. Gantt EQUIFILLES'!C:C,IFERROR(SMALL(IF('5. Gantt EQUIFILLES'!Q$6:Q$205="Critique",ROW('5. Gantt EQUIFILLES'!Q$6:Q$205)),10),"")),"")</f>
        <v/>
      </c>
      <c r="E25" s="7" t="str">
        <f aca="false">IFERROR(INDEX('5. Gantt EQUIFILLES'!E:E,IFERROR(SMALL(IF('5. Gantt EQUIFILLES'!Q$6:Q$205="Critique",ROW('5. Gantt EQUIFILLES'!Q$6:Q$205)),10),"")),"")</f>
        <v/>
      </c>
      <c r="F25" s="56" t="str">
        <f aca="false">IFERROR(INDEX('5. Gantt EQUIFILLES'!I:I,IFERROR(SMALL(IF('5. Gantt EQUIFILLES'!Q$6:Q$205="Critique",ROW('5. Gantt EQUIFILLES'!Q$6:Q$205)),10),"")),"")</f>
        <v/>
      </c>
      <c r="G25" s="127" t="str">
        <f aca="false">IF(C25="","","Critique")</f>
        <v/>
      </c>
      <c r="H25" s="57" t="str">
        <f aca="false">IFERROR(INDEX('5. Gantt EQUIFILLES'!N:N,IFERROR(SMALL(IF('5. Gantt EQUIFILLES'!Q$6:Q$205="Critique",ROW('5. Gantt EQUIFILLES'!Q$6:Q$205)),10),"")),"")</f>
        <v/>
      </c>
      <c r="I25" s="6" t="str">
        <f aca="false">IF(C25="","","⛔ Plan correctif urgent")</f>
        <v/>
      </c>
    </row>
    <row r="26" customFormat="false" ht="24" hidden="false" customHeight="true" outlineLevel="0" collapsed="false">
      <c r="B26" s="128" t="s">
        <v>682</v>
      </c>
      <c r="C26" s="27" t="str">
        <f aca="false">IFERROR(INDEX('10. Gantt S2L'!B:B,IFERROR(SMALL(IF('10. Gantt S2L'!Q$6:Q$205="Critique",ROW('10. Gantt S2L'!Q$6:Q$205)),1),"")),"")</f>
        <v>A.3.1.4.PLAN</v>
      </c>
      <c r="D26" s="11" t="str">
        <f aca="false">IFERROR(INDEX('10. Gantt S2L'!C:C,IFERROR(SMALL(IF('10. Gantt S2L'!Q$6:Q$205="Critique",ROW('10. Gantt S2L'!Q$6:Q$205)),1),"")),"")</f>
        <v>Ateliers OSC jeunes - Volet plans plaidoyer élaborés</v>
      </c>
      <c r="E26" s="11" t="str">
        <f aca="false">IFERROR(INDEX('10. Gantt S2L'!E:E,IFERROR(SMALL(IF('10. Gantt S2L'!Q$6:Q$205="Critique",ROW('10. Gantt S2L'!Q$6:Q$205)),1),"")),"")</f>
        <v>OLOMONCHIN Francis</v>
      </c>
      <c r="F26" s="47" t="n">
        <f aca="false">IFERROR(INDEX('10. Gantt S2L'!I:I,IFERROR(SMALL(IF('10. Gantt S2L'!Q$6:Q$205="Critique",ROW('10. Gantt S2L'!Q$6:Q$205)),1),"")),"")</f>
        <v>46203</v>
      </c>
      <c r="G26" s="127" t="str">
        <f aca="false">IF(C26="","","Critique")</f>
        <v>Critique</v>
      </c>
      <c r="H26" s="49" t="n">
        <f aca="false">IFERROR(INDEX('10. Gantt S2L'!N:N,IFERROR(SMALL(IF('10. Gantt S2L'!Q$6:Q$205="Critique",ROW('10. Gantt S2L'!Q$6:Q$205)),1),"")),"")</f>
        <v>0</v>
      </c>
      <c r="I26" s="10" t="str">
        <f aca="false">IF(C26="","","⛔ Plan correctif urgent")</f>
        <v>⛔ Plan correctif urgent</v>
      </c>
    </row>
    <row r="27" customFormat="false" ht="24" hidden="false" customHeight="true" outlineLevel="0" collapsed="false">
      <c r="B27" s="128" t="s">
        <v>682</v>
      </c>
      <c r="C27" s="38" t="str">
        <f aca="false">IFERROR(INDEX('10. Gantt S2L'!B:B,IFERROR(SMALL(IF('10. Gantt S2L'!Q$6:Q$205="Critique",ROW('10. Gantt S2L'!Q$6:Q$205)),2),"")),"")</f>
        <v/>
      </c>
      <c r="D27" s="7" t="str">
        <f aca="false">IFERROR(INDEX('10. Gantt S2L'!C:C,IFERROR(SMALL(IF('10. Gantt S2L'!Q$6:Q$205="Critique",ROW('10. Gantt S2L'!Q$6:Q$205)),2),"")),"")</f>
        <v/>
      </c>
      <c r="E27" s="7" t="str">
        <f aca="false">IFERROR(INDEX('10. Gantt S2L'!E:E,IFERROR(SMALL(IF('10. Gantt S2L'!Q$6:Q$205="Critique",ROW('10. Gantt S2L'!Q$6:Q$205)),2),"")),"")</f>
        <v/>
      </c>
      <c r="F27" s="56" t="str">
        <f aca="false">IFERROR(INDEX('10. Gantt S2L'!I:I,IFERROR(SMALL(IF('10. Gantt S2L'!Q$6:Q$205="Critique",ROW('10. Gantt S2L'!Q$6:Q$205)),2),"")),"")</f>
        <v/>
      </c>
      <c r="G27" s="127" t="str">
        <f aca="false">IF(C27="","","Critique")</f>
        <v/>
      </c>
      <c r="H27" s="57" t="str">
        <f aca="false">IFERROR(INDEX('10. Gantt S2L'!N:N,IFERROR(SMALL(IF('10. Gantt S2L'!Q$6:Q$205="Critique",ROW('10. Gantt S2L'!Q$6:Q$205)),2),"")),"")</f>
        <v/>
      </c>
      <c r="I27" s="6" t="str">
        <f aca="false">IF(C27="","","⛔ Plan correctif urgent")</f>
        <v/>
      </c>
    </row>
    <row r="28" customFormat="false" ht="24" hidden="false" customHeight="true" outlineLevel="0" collapsed="false">
      <c r="B28" s="128" t="s">
        <v>682</v>
      </c>
      <c r="C28" s="27" t="str">
        <f aca="false">IFERROR(INDEX('10. Gantt S2L'!B:B,IFERROR(SMALL(IF('10. Gantt S2L'!Q$6:Q$205="Critique",ROW('10. Gantt S2L'!Q$6:Q$205)),3),"")),"")</f>
        <v/>
      </c>
      <c r="D28" s="11" t="str">
        <f aca="false">IFERROR(INDEX('10. Gantt S2L'!C:C,IFERROR(SMALL(IF('10. Gantt S2L'!Q$6:Q$205="Critique",ROW('10. Gantt S2L'!Q$6:Q$205)),3),"")),"")</f>
        <v/>
      </c>
      <c r="E28" s="11" t="str">
        <f aca="false">IFERROR(INDEX('10. Gantt S2L'!E:E,IFERROR(SMALL(IF('10. Gantt S2L'!Q$6:Q$205="Critique",ROW('10. Gantt S2L'!Q$6:Q$205)),3),"")),"")</f>
        <v/>
      </c>
      <c r="F28" s="47" t="str">
        <f aca="false">IFERROR(INDEX('10. Gantt S2L'!I:I,IFERROR(SMALL(IF('10. Gantt S2L'!Q$6:Q$205="Critique",ROW('10. Gantt S2L'!Q$6:Q$205)),3),"")),"")</f>
        <v/>
      </c>
      <c r="G28" s="127" t="str">
        <f aca="false">IF(C28="","","Critique")</f>
        <v/>
      </c>
      <c r="H28" s="49" t="str">
        <f aca="false">IFERROR(INDEX('10. Gantt S2L'!N:N,IFERROR(SMALL(IF('10. Gantt S2L'!Q$6:Q$205="Critique",ROW('10. Gantt S2L'!Q$6:Q$205)),3),"")),"")</f>
        <v/>
      </c>
      <c r="I28" s="10" t="str">
        <f aca="false">IF(C28="","","⛔ Plan correctif urgent")</f>
        <v/>
      </c>
    </row>
    <row r="29" customFormat="false" ht="24" hidden="false" customHeight="true" outlineLevel="0" collapsed="false">
      <c r="B29" s="128" t="s">
        <v>682</v>
      </c>
      <c r="C29" s="38" t="str">
        <f aca="false">IFERROR(INDEX('10. Gantt S2L'!B:B,IFERROR(SMALL(IF('10. Gantt S2L'!Q$6:Q$205="Critique",ROW('10. Gantt S2L'!Q$6:Q$205)),4),"")),"")</f>
        <v/>
      </c>
      <c r="D29" s="7" t="str">
        <f aca="false">IFERROR(INDEX('10. Gantt S2L'!C:C,IFERROR(SMALL(IF('10. Gantt S2L'!Q$6:Q$205="Critique",ROW('10. Gantt S2L'!Q$6:Q$205)),4),"")),"")</f>
        <v/>
      </c>
      <c r="E29" s="7" t="str">
        <f aca="false">IFERROR(INDEX('10. Gantt S2L'!E:E,IFERROR(SMALL(IF('10. Gantt S2L'!Q$6:Q$205="Critique",ROW('10. Gantt S2L'!Q$6:Q$205)),4),"")),"")</f>
        <v/>
      </c>
      <c r="F29" s="56" t="str">
        <f aca="false">IFERROR(INDEX('10. Gantt S2L'!I:I,IFERROR(SMALL(IF('10. Gantt S2L'!Q$6:Q$205="Critique",ROW('10. Gantt S2L'!Q$6:Q$205)),4),"")),"")</f>
        <v/>
      </c>
      <c r="G29" s="127" t="str">
        <f aca="false">IF(C29="","","Critique")</f>
        <v/>
      </c>
      <c r="H29" s="57" t="str">
        <f aca="false">IFERROR(INDEX('10. Gantt S2L'!N:N,IFERROR(SMALL(IF('10. Gantt S2L'!Q$6:Q$205="Critique",ROW('10. Gantt S2L'!Q$6:Q$205)),4),"")),"")</f>
        <v/>
      </c>
      <c r="I29" s="6" t="str">
        <f aca="false">IF(C29="","","⛔ Plan correctif urgent")</f>
        <v/>
      </c>
    </row>
    <row r="30" customFormat="false" ht="24" hidden="false" customHeight="true" outlineLevel="0" collapsed="false">
      <c r="B30" s="128" t="s">
        <v>682</v>
      </c>
      <c r="C30" s="27" t="str">
        <f aca="false">IFERROR(INDEX('10. Gantt S2L'!B:B,IFERROR(SMALL(IF('10. Gantt S2L'!Q$6:Q$205="Critique",ROW('10. Gantt S2L'!Q$6:Q$205)),5),"")),"")</f>
        <v/>
      </c>
      <c r="D30" s="11" t="str">
        <f aca="false">IFERROR(INDEX('10. Gantt S2L'!C:C,IFERROR(SMALL(IF('10. Gantt S2L'!Q$6:Q$205="Critique",ROW('10. Gantt S2L'!Q$6:Q$205)),5),"")),"")</f>
        <v/>
      </c>
      <c r="E30" s="11" t="str">
        <f aca="false">IFERROR(INDEX('10. Gantt S2L'!E:E,IFERROR(SMALL(IF('10. Gantt S2L'!Q$6:Q$205="Critique",ROW('10. Gantt S2L'!Q$6:Q$205)),5),"")),"")</f>
        <v/>
      </c>
      <c r="F30" s="47" t="str">
        <f aca="false">IFERROR(INDEX('10. Gantt S2L'!I:I,IFERROR(SMALL(IF('10. Gantt S2L'!Q$6:Q$205="Critique",ROW('10. Gantt S2L'!Q$6:Q$205)),5),"")),"")</f>
        <v/>
      </c>
      <c r="G30" s="127" t="str">
        <f aca="false">IF(C30="","","Critique")</f>
        <v/>
      </c>
      <c r="H30" s="49" t="str">
        <f aca="false">IFERROR(INDEX('10. Gantt S2L'!N:N,IFERROR(SMALL(IF('10. Gantt S2L'!Q$6:Q$205="Critique",ROW('10. Gantt S2L'!Q$6:Q$205)),5),"")),"")</f>
        <v/>
      </c>
      <c r="I30" s="10" t="str">
        <f aca="false">IF(C30="","","⛔ Plan correctif urgent")</f>
        <v/>
      </c>
    </row>
    <row r="31" customFormat="false" ht="24" hidden="false" customHeight="true" outlineLevel="0" collapsed="false">
      <c r="B31" s="128" t="s">
        <v>682</v>
      </c>
      <c r="C31" s="38" t="str">
        <f aca="false">IFERROR(INDEX('10. Gantt S2L'!B:B,IFERROR(SMALL(IF('10. Gantt S2L'!Q$6:Q$205="Critique",ROW('10. Gantt S2L'!Q$6:Q$205)),6),"")),"")</f>
        <v/>
      </c>
      <c r="D31" s="7" t="str">
        <f aca="false">IFERROR(INDEX('10. Gantt S2L'!C:C,IFERROR(SMALL(IF('10. Gantt S2L'!Q$6:Q$205="Critique",ROW('10. Gantt S2L'!Q$6:Q$205)),6),"")),"")</f>
        <v/>
      </c>
      <c r="E31" s="7" t="str">
        <f aca="false">IFERROR(INDEX('10. Gantt S2L'!E:E,IFERROR(SMALL(IF('10. Gantt S2L'!Q$6:Q$205="Critique",ROW('10. Gantt S2L'!Q$6:Q$205)),6),"")),"")</f>
        <v/>
      </c>
      <c r="F31" s="56" t="str">
        <f aca="false">IFERROR(INDEX('10. Gantt S2L'!I:I,IFERROR(SMALL(IF('10. Gantt S2L'!Q$6:Q$205="Critique",ROW('10. Gantt S2L'!Q$6:Q$205)),6),"")),"")</f>
        <v/>
      </c>
      <c r="G31" s="127" t="str">
        <f aca="false">IF(C31="","","Critique")</f>
        <v/>
      </c>
      <c r="H31" s="57" t="str">
        <f aca="false">IFERROR(INDEX('10. Gantt S2L'!N:N,IFERROR(SMALL(IF('10. Gantt S2L'!Q$6:Q$205="Critique",ROW('10. Gantt S2L'!Q$6:Q$205)),6),"")),"")</f>
        <v/>
      </c>
      <c r="I31" s="6" t="str">
        <f aca="false">IF(C31="","","⛔ Plan correctif urgent")</f>
        <v/>
      </c>
    </row>
    <row r="32" customFormat="false" ht="24" hidden="false" customHeight="true" outlineLevel="0" collapsed="false">
      <c r="B32" s="128" t="s">
        <v>682</v>
      </c>
      <c r="C32" s="27" t="str">
        <f aca="false">IFERROR(INDEX('10. Gantt S2L'!B:B,IFERROR(SMALL(IF('10. Gantt S2L'!Q$6:Q$205="Critique",ROW('10. Gantt S2L'!Q$6:Q$205)),7),"")),"")</f>
        <v/>
      </c>
      <c r="D32" s="11" t="str">
        <f aca="false">IFERROR(INDEX('10. Gantt S2L'!C:C,IFERROR(SMALL(IF('10. Gantt S2L'!Q$6:Q$205="Critique",ROW('10. Gantt S2L'!Q$6:Q$205)),7),"")),"")</f>
        <v/>
      </c>
      <c r="E32" s="11" t="str">
        <f aca="false">IFERROR(INDEX('10. Gantt S2L'!E:E,IFERROR(SMALL(IF('10. Gantt S2L'!Q$6:Q$205="Critique",ROW('10. Gantt S2L'!Q$6:Q$205)),7),"")),"")</f>
        <v/>
      </c>
      <c r="F32" s="47" t="str">
        <f aca="false">IFERROR(INDEX('10. Gantt S2L'!I:I,IFERROR(SMALL(IF('10. Gantt S2L'!Q$6:Q$205="Critique",ROW('10. Gantt S2L'!Q$6:Q$205)),7),"")),"")</f>
        <v/>
      </c>
      <c r="G32" s="127" t="str">
        <f aca="false">IF(C32="","","Critique")</f>
        <v/>
      </c>
      <c r="H32" s="49" t="str">
        <f aca="false">IFERROR(INDEX('10. Gantt S2L'!N:N,IFERROR(SMALL(IF('10. Gantt S2L'!Q$6:Q$205="Critique",ROW('10. Gantt S2L'!Q$6:Q$205)),7),"")),"")</f>
        <v/>
      </c>
      <c r="I32" s="10" t="str">
        <f aca="false">IF(C32="","","⛔ Plan correctif urgent")</f>
        <v/>
      </c>
    </row>
    <row r="33" customFormat="false" ht="24" hidden="false" customHeight="true" outlineLevel="0" collapsed="false">
      <c r="B33" s="128" t="s">
        <v>682</v>
      </c>
      <c r="C33" s="38" t="str">
        <f aca="false">IFERROR(INDEX('10. Gantt S2L'!B:B,IFERROR(SMALL(IF('10. Gantt S2L'!Q$6:Q$205="Critique",ROW('10. Gantt S2L'!Q$6:Q$205)),8),"")),"")</f>
        <v/>
      </c>
      <c r="D33" s="7" t="str">
        <f aca="false">IFERROR(INDEX('10. Gantt S2L'!C:C,IFERROR(SMALL(IF('10. Gantt S2L'!Q$6:Q$205="Critique",ROW('10. Gantt S2L'!Q$6:Q$205)),8),"")),"")</f>
        <v/>
      </c>
      <c r="E33" s="7" t="str">
        <f aca="false">IFERROR(INDEX('10. Gantt S2L'!E:E,IFERROR(SMALL(IF('10. Gantt S2L'!Q$6:Q$205="Critique",ROW('10. Gantt S2L'!Q$6:Q$205)),8),"")),"")</f>
        <v/>
      </c>
      <c r="F33" s="56" t="str">
        <f aca="false">IFERROR(INDEX('10. Gantt S2L'!I:I,IFERROR(SMALL(IF('10. Gantt S2L'!Q$6:Q$205="Critique",ROW('10. Gantt S2L'!Q$6:Q$205)),8),"")),"")</f>
        <v/>
      </c>
      <c r="G33" s="127" t="str">
        <f aca="false">IF(C33="","","Critique")</f>
        <v/>
      </c>
      <c r="H33" s="57" t="str">
        <f aca="false">IFERROR(INDEX('10. Gantt S2L'!N:N,IFERROR(SMALL(IF('10. Gantt S2L'!Q$6:Q$205="Critique",ROW('10. Gantt S2L'!Q$6:Q$205)),8),"")),"")</f>
        <v/>
      </c>
      <c r="I33" s="6" t="str">
        <f aca="false">IF(C33="","","⛔ Plan correctif urgent")</f>
        <v/>
      </c>
    </row>
    <row r="34" customFormat="false" ht="24" hidden="false" customHeight="true" outlineLevel="0" collapsed="false">
      <c r="B34" s="128" t="s">
        <v>682</v>
      </c>
      <c r="C34" s="27" t="str">
        <f aca="false">IFERROR(INDEX('10. Gantt S2L'!B:B,IFERROR(SMALL(IF('10. Gantt S2L'!Q$6:Q$205="Critique",ROW('10. Gantt S2L'!Q$6:Q$205)),9),"")),"")</f>
        <v/>
      </c>
      <c r="D34" s="11" t="str">
        <f aca="false">IFERROR(INDEX('10. Gantt S2L'!C:C,IFERROR(SMALL(IF('10. Gantt S2L'!Q$6:Q$205="Critique",ROW('10. Gantt S2L'!Q$6:Q$205)),9),"")),"")</f>
        <v/>
      </c>
      <c r="E34" s="11" t="str">
        <f aca="false">IFERROR(INDEX('10. Gantt S2L'!E:E,IFERROR(SMALL(IF('10. Gantt S2L'!Q$6:Q$205="Critique",ROW('10. Gantt S2L'!Q$6:Q$205)),9),"")),"")</f>
        <v/>
      </c>
      <c r="F34" s="47" t="str">
        <f aca="false">IFERROR(INDEX('10. Gantt S2L'!I:I,IFERROR(SMALL(IF('10. Gantt S2L'!Q$6:Q$205="Critique",ROW('10. Gantt S2L'!Q$6:Q$205)),9),"")),"")</f>
        <v/>
      </c>
      <c r="G34" s="127" t="str">
        <f aca="false">IF(C34="","","Critique")</f>
        <v/>
      </c>
      <c r="H34" s="49" t="str">
        <f aca="false">IFERROR(INDEX('10. Gantt S2L'!N:N,IFERROR(SMALL(IF('10. Gantt S2L'!Q$6:Q$205="Critique",ROW('10. Gantt S2L'!Q$6:Q$205)),9),"")),"")</f>
        <v/>
      </c>
      <c r="I34" s="10" t="str">
        <f aca="false">IF(C34="","","⛔ Plan correctif urgent")</f>
        <v/>
      </c>
    </row>
    <row r="35" customFormat="false" ht="24" hidden="false" customHeight="true" outlineLevel="0" collapsed="false">
      <c r="B35" s="128" t="s">
        <v>682</v>
      </c>
      <c r="C35" s="38" t="str">
        <f aca="false">IFERROR(INDEX('10. Gantt S2L'!B:B,IFERROR(SMALL(IF('10. Gantt S2L'!Q$6:Q$205="Critique",ROW('10. Gantt S2L'!Q$6:Q$205)),10),"")),"")</f>
        <v/>
      </c>
      <c r="D35" s="7" t="str">
        <f aca="false">IFERROR(INDEX('10. Gantt S2L'!C:C,IFERROR(SMALL(IF('10. Gantt S2L'!Q$6:Q$205="Critique",ROW('10. Gantt S2L'!Q$6:Q$205)),10),"")),"")</f>
        <v/>
      </c>
      <c r="E35" s="7" t="str">
        <f aca="false">IFERROR(INDEX('10. Gantt S2L'!E:E,IFERROR(SMALL(IF('10. Gantt S2L'!Q$6:Q$205="Critique",ROW('10. Gantt S2L'!Q$6:Q$205)),10),"")),"")</f>
        <v/>
      </c>
      <c r="F35" s="56" t="str">
        <f aca="false">IFERROR(INDEX('10. Gantt S2L'!I:I,IFERROR(SMALL(IF('10. Gantt S2L'!Q$6:Q$205="Critique",ROW('10. Gantt S2L'!Q$6:Q$205)),10),"")),"")</f>
        <v/>
      </c>
      <c r="G35" s="127" t="str">
        <f aca="false">IF(C35="","","Critique")</f>
        <v/>
      </c>
      <c r="H35" s="57" t="str">
        <f aca="false">IFERROR(INDEX('10. Gantt S2L'!N:N,IFERROR(SMALL(IF('10. Gantt S2L'!Q$6:Q$205="Critique",ROW('10. Gantt S2L'!Q$6:Q$205)),10),"")),"")</f>
        <v/>
      </c>
      <c r="I35" s="6" t="str">
        <f aca="false">IF(C35="","","⛔ Plan correctif urgent")</f>
        <v/>
      </c>
    </row>
    <row r="38" customFormat="false" ht="24" hidden="false" customHeight="true" outlineLevel="0" collapsed="false">
      <c r="B38" s="129" t="s">
        <v>731</v>
      </c>
      <c r="C38" s="129"/>
      <c r="D38" s="129"/>
      <c r="E38" s="129"/>
      <c r="F38" s="129"/>
      <c r="G38" s="129"/>
      <c r="H38" s="129"/>
      <c r="I38" s="129"/>
      <c r="J38" s="129"/>
    </row>
    <row r="39" customFormat="false" ht="27.75" hidden="false" customHeight="true" outlineLevel="0" collapsed="false">
      <c r="B39" s="77" t="s">
        <v>663</v>
      </c>
      <c r="C39" s="77" t="s">
        <v>48</v>
      </c>
      <c r="D39" s="77" t="s">
        <v>18</v>
      </c>
      <c r="E39" s="77" t="s">
        <v>208</v>
      </c>
      <c r="F39" s="77" t="s">
        <v>388</v>
      </c>
      <c r="G39" s="77" t="s">
        <v>389</v>
      </c>
      <c r="H39" s="77" t="s">
        <v>30</v>
      </c>
      <c r="I39" s="77" t="s">
        <v>732</v>
      </c>
    </row>
    <row r="40" customFormat="false" ht="24" hidden="false" customHeight="true" outlineLevel="0" collapsed="false">
      <c r="B40" s="126" t="s">
        <v>103</v>
      </c>
      <c r="C40" s="27" t="str">
        <f aca="false">IFERROR(INDEX('6. Indicateurs EQUIFILLES'!B:B,IFERROR(SMALL(IF(OR('6. Indicateurs EQUIFILLES'!K$6:K$18="En retard",'6. Indicateurs EQUIFILLES'!K$6:K$18="Non démarré"),ROW('6. Indicateurs EQUIFILLES'!K$6:K$18)),1),"")),"")</f>
        <v/>
      </c>
      <c r="D40" s="11" t="str">
        <f aca="false">IFERROR(INDEX('6. Indicateurs EQUIFILLES'!C:C,IFERROR(SMALL(IF(OR('6. Indicateurs EQUIFILLES'!K$6:K$18="En retard",'6. Indicateurs EQUIFILLES'!K$6:K$18="Non démarré"),ROW('6. Indicateurs EQUIFILLES'!K$6:K$18)),1),"")),"")</f>
        <v/>
      </c>
      <c r="E40" s="30" t="str">
        <f aca="false">IFERROR(INDEX('6. Indicateurs EQUIFILLES'!E:E,IFERROR(SMALL(IF(OR('6. Indicateurs EQUIFILLES'!K$6:K$18="En retard",'6. Indicateurs EQUIFILLES'!K$6:K$18="Non démarré"),ROW('6. Indicateurs EQUIFILLES'!K$6:K$18)),1),"")),"")</f>
        <v/>
      </c>
      <c r="F40" s="30" t="str">
        <f aca="false">IFERROR(INDEX('6. Indicateurs EQUIFILLES'!I:I,IFERROR(SMALL(IF(OR('6. Indicateurs EQUIFILLES'!K$6:K$18="En retard",'6. Indicateurs EQUIFILLES'!K$6:K$18="Non démarré"),ROW('6. Indicateurs EQUIFILLES'!K$6:K$18)),1),"")),"")</f>
        <v/>
      </c>
      <c r="G40" s="130" t="str">
        <f aca="false">IFERROR(INDEX('6. Indicateurs EQUIFILLES'!J:J,IFERROR(SMALL(IF(OR('6. Indicateurs EQUIFILLES'!K$6:K$18="En retard",'6. Indicateurs EQUIFILLES'!K$6:K$18="Non démarré"),ROW('6. Indicateurs EQUIFILLES'!K$6:K$18)),1),"")),"")</f>
        <v/>
      </c>
      <c r="H40" s="27" t="str">
        <f aca="false">IFERROR(INDEX('6. Indicateurs EQUIFILLES'!K:K,IFERROR(SMALL(IF(OR('6. Indicateurs EQUIFILLES'!K$6:K$18="En retard",'6. Indicateurs EQUIFILLES'!K$6:K$18="Non démarré"),ROW('6. Indicateurs EQUIFILLES'!K$6:K$18)),1),"")),"")</f>
        <v/>
      </c>
      <c r="I40" s="11" t="str">
        <f aca="false">IF(C40="","",IF(H40="Non démarré","Démarrer activités liées","Accélérer activités du Gantt liées à cet indicateur"))</f>
        <v/>
      </c>
    </row>
    <row r="41" customFormat="false" ht="24" hidden="false" customHeight="true" outlineLevel="0" collapsed="false">
      <c r="B41" s="126" t="s">
        <v>103</v>
      </c>
      <c r="C41" s="38" t="str">
        <f aca="false">IFERROR(INDEX('6. Indicateurs EQUIFILLES'!B:B,IFERROR(SMALL(IF(OR('6. Indicateurs EQUIFILLES'!K$6:K$18="En retard",'6. Indicateurs EQUIFILLES'!K$6:K$18="Non démarré"),ROW('6. Indicateurs EQUIFILLES'!K$6:K$18)),2),"")),"")</f>
        <v/>
      </c>
      <c r="D41" s="7" t="str">
        <f aca="false">IFERROR(INDEX('6. Indicateurs EQUIFILLES'!C:C,IFERROR(SMALL(IF(OR('6. Indicateurs EQUIFILLES'!K$6:K$18="En retard",'6. Indicateurs EQUIFILLES'!K$6:K$18="Non démarré"),ROW('6. Indicateurs EQUIFILLES'!K$6:K$18)),2),"")),"")</f>
        <v/>
      </c>
      <c r="E41" s="28" t="str">
        <f aca="false">IFERROR(INDEX('6. Indicateurs EQUIFILLES'!E:E,IFERROR(SMALL(IF(OR('6. Indicateurs EQUIFILLES'!K$6:K$18="En retard",'6. Indicateurs EQUIFILLES'!K$6:K$18="Non démarré"),ROW('6. Indicateurs EQUIFILLES'!K$6:K$18)),2),"")),"")</f>
        <v/>
      </c>
      <c r="F41" s="28" t="str">
        <f aca="false">IFERROR(INDEX('6. Indicateurs EQUIFILLES'!I:I,IFERROR(SMALL(IF(OR('6. Indicateurs EQUIFILLES'!K$6:K$18="En retard",'6. Indicateurs EQUIFILLES'!K$6:K$18="Non démarré"),ROW('6. Indicateurs EQUIFILLES'!K$6:K$18)),2),"")),"")</f>
        <v/>
      </c>
      <c r="G41" s="131" t="str">
        <f aca="false">IFERROR(INDEX('6. Indicateurs EQUIFILLES'!J:J,IFERROR(SMALL(IF(OR('6. Indicateurs EQUIFILLES'!K$6:K$18="En retard",'6. Indicateurs EQUIFILLES'!K$6:K$18="Non démarré"),ROW('6. Indicateurs EQUIFILLES'!K$6:K$18)),2),"")),"")</f>
        <v/>
      </c>
      <c r="H41" s="38" t="str">
        <f aca="false">IFERROR(INDEX('6. Indicateurs EQUIFILLES'!K:K,IFERROR(SMALL(IF(OR('6. Indicateurs EQUIFILLES'!K$6:K$18="En retard",'6. Indicateurs EQUIFILLES'!K$6:K$18="Non démarré"),ROW('6. Indicateurs EQUIFILLES'!K$6:K$18)),2),"")),"")</f>
        <v/>
      </c>
      <c r="I41" s="7" t="str">
        <f aca="false">IF(C41="","",IF(H41="Non démarré","Démarrer activités liées","Accélérer activités du Gantt liées à cet indicateur"))</f>
        <v/>
      </c>
    </row>
    <row r="42" customFormat="false" ht="24" hidden="false" customHeight="true" outlineLevel="0" collapsed="false">
      <c r="B42" s="126" t="s">
        <v>103</v>
      </c>
      <c r="C42" s="27" t="str">
        <f aca="false">IFERROR(INDEX('6. Indicateurs EQUIFILLES'!B:B,IFERROR(SMALL(IF(OR('6. Indicateurs EQUIFILLES'!K$6:K$18="En retard",'6. Indicateurs EQUIFILLES'!K$6:K$18="Non démarré"),ROW('6. Indicateurs EQUIFILLES'!K$6:K$18)),3),"")),"")</f>
        <v/>
      </c>
      <c r="D42" s="11" t="str">
        <f aca="false">IFERROR(INDEX('6. Indicateurs EQUIFILLES'!C:C,IFERROR(SMALL(IF(OR('6. Indicateurs EQUIFILLES'!K$6:K$18="En retard",'6. Indicateurs EQUIFILLES'!K$6:K$18="Non démarré"),ROW('6. Indicateurs EQUIFILLES'!K$6:K$18)),3),"")),"")</f>
        <v/>
      </c>
      <c r="E42" s="30" t="str">
        <f aca="false">IFERROR(INDEX('6. Indicateurs EQUIFILLES'!E:E,IFERROR(SMALL(IF(OR('6. Indicateurs EQUIFILLES'!K$6:K$18="En retard",'6. Indicateurs EQUIFILLES'!K$6:K$18="Non démarré"),ROW('6. Indicateurs EQUIFILLES'!K$6:K$18)),3),"")),"")</f>
        <v/>
      </c>
      <c r="F42" s="30" t="str">
        <f aca="false">IFERROR(INDEX('6. Indicateurs EQUIFILLES'!I:I,IFERROR(SMALL(IF(OR('6. Indicateurs EQUIFILLES'!K$6:K$18="En retard",'6. Indicateurs EQUIFILLES'!K$6:K$18="Non démarré"),ROW('6. Indicateurs EQUIFILLES'!K$6:K$18)),3),"")),"")</f>
        <v/>
      </c>
      <c r="G42" s="130" t="str">
        <f aca="false">IFERROR(INDEX('6. Indicateurs EQUIFILLES'!J:J,IFERROR(SMALL(IF(OR('6. Indicateurs EQUIFILLES'!K$6:K$18="En retard",'6. Indicateurs EQUIFILLES'!K$6:K$18="Non démarré"),ROW('6. Indicateurs EQUIFILLES'!K$6:K$18)),3),"")),"")</f>
        <v/>
      </c>
      <c r="H42" s="27" t="str">
        <f aca="false">IFERROR(INDEX('6. Indicateurs EQUIFILLES'!K:K,IFERROR(SMALL(IF(OR('6. Indicateurs EQUIFILLES'!K$6:K$18="En retard",'6. Indicateurs EQUIFILLES'!K$6:K$18="Non démarré"),ROW('6. Indicateurs EQUIFILLES'!K$6:K$18)),3),"")),"")</f>
        <v/>
      </c>
      <c r="I42" s="11" t="str">
        <f aca="false">IF(C42="","",IF(H42="Non démarré","Démarrer activités liées","Accélérer activités du Gantt liées à cet indicateur"))</f>
        <v/>
      </c>
    </row>
    <row r="43" customFormat="false" ht="24" hidden="false" customHeight="true" outlineLevel="0" collapsed="false">
      <c r="B43" s="126" t="s">
        <v>103</v>
      </c>
      <c r="C43" s="38" t="str">
        <f aca="false">IFERROR(INDEX('6. Indicateurs EQUIFILLES'!B:B,IFERROR(SMALL(IF(OR('6. Indicateurs EQUIFILLES'!K$6:K$18="En retard",'6. Indicateurs EQUIFILLES'!K$6:K$18="Non démarré"),ROW('6. Indicateurs EQUIFILLES'!K$6:K$18)),4),"")),"")</f>
        <v/>
      </c>
      <c r="D43" s="7" t="str">
        <f aca="false">IFERROR(INDEX('6. Indicateurs EQUIFILLES'!C:C,IFERROR(SMALL(IF(OR('6. Indicateurs EQUIFILLES'!K$6:K$18="En retard",'6. Indicateurs EQUIFILLES'!K$6:K$18="Non démarré"),ROW('6. Indicateurs EQUIFILLES'!K$6:K$18)),4),"")),"")</f>
        <v/>
      </c>
      <c r="E43" s="28" t="str">
        <f aca="false">IFERROR(INDEX('6. Indicateurs EQUIFILLES'!E:E,IFERROR(SMALL(IF(OR('6. Indicateurs EQUIFILLES'!K$6:K$18="En retard",'6. Indicateurs EQUIFILLES'!K$6:K$18="Non démarré"),ROW('6. Indicateurs EQUIFILLES'!K$6:K$18)),4),"")),"")</f>
        <v/>
      </c>
      <c r="F43" s="28" t="str">
        <f aca="false">IFERROR(INDEX('6. Indicateurs EQUIFILLES'!I:I,IFERROR(SMALL(IF(OR('6. Indicateurs EQUIFILLES'!K$6:K$18="En retard",'6. Indicateurs EQUIFILLES'!K$6:K$18="Non démarré"),ROW('6. Indicateurs EQUIFILLES'!K$6:K$18)),4),"")),"")</f>
        <v/>
      </c>
      <c r="G43" s="131" t="str">
        <f aca="false">IFERROR(INDEX('6. Indicateurs EQUIFILLES'!J:J,IFERROR(SMALL(IF(OR('6. Indicateurs EQUIFILLES'!K$6:K$18="En retard",'6. Indicateurs EQUIFILLES'!K$6:K$18="Non démarré"),ROW('6. Indicateurs EQUIFILLES'!K$6:K$18)),4),"")),"")</f>
        <v/>
      </c>
      <c r="H43" s="38" t="str">
        <f aca="false">IFERROR(INDEX('6. Indicateurs EQUIFILLES'!K:K,IFERROR(SMALL(IF(OR('6. Indicateurs EQUIFILLES'!K$6:K$18="En retard",'6. Indicateurs EQUIFILLES'!K$6:K$18="Non démarré"),ROW('6. Indicateurs EQUIFILLES'!K$6:K$18)),4),"")),"")</f>
        <v/>
      </c>
      <c r="I43" s="7" t="str">
        <f aca="false">IF(C43="","",IF(H43="Non démarré","Démarrer activités liées","Accélérer activités du Gantt liées à cet indicateur"))</f>
        <v/>
      </c>
    </row>
    <row r="44" customFormat="false" ht="24" hidden="false" customHeight="true" outlineLevel="0" collapsed="false">
      <c r="B44" s="126" t="s">
        <v>103</v>
      </c>
      <c r="C44" s="27" t="str">
        <f aca="false">IFERROR(INDEX('6. Indicateurs EQUIFILLES'!B:B,IFERROR(SMALL(IF(OR('6. Indicateurs EQUIFILLES'!K$6:K$18="En retard",'6. Indicateurs EQUIFILLES'!K$6:K$18="Non démarré"),ROW('6. Indicateurs EQUIFILLES'!K$6:K$18)),5),"")),"")</f>
        <v/>
      </c>
      <c r="D44" s="11" t="str">
        <f aca="false">IFERROR(INDEX('6. Indicateurs EQUIFILLES'!C:C,IFERROR(SMALL(IF(OR('6. Indicateurs EQUIFILLES'!K$6:K$18="En retard",'6. Indicateurs EQUIFILLES'!K$6:K$18="Non démarré"),ROW('6. Indicateurs EQUIFILLES'!K$6:K$18)),5),"")),"")</f>
        <v/>
      </c>
      <c r="E44" s="30" t="str">
        <f aca="false">IFERROR(INDEX('6. Indicateurs EQUIFILLES'!E:E,IFERROR(SMALL(IF(OR('6. Indicateurs EQUIFILLES'!K$6:K$18="En retard",'6. Indicateurs EQUIFILLES'!K$6:K$18="Non démarré"),ROW('6. Indicateurs EQUIFILLES'!K$6:K$18)),5),"")),"")</f>
        <v/>
      </c>
      <c r="F44" s="30" t="str">
        <f aca="false">IFERROR(INDEX('6. Indicateurs EQUIFILLES'!I:I,IFERROR(SMALL(IF(OR('6. Indicateurs EQUIFILLES'!K$6:K$18="En retard",'6. Indicateurs EQUIFILLES'!K$6:K$18="Non démarré"),ROW('6. Indicateurs EQUIFILLES'!K$6:K$18)),5),"")),"")</f>
        <v/>
      </c>
      <c r="G44" s="130" t="str">
        <f aca="false">IFERROR(INDEX('6. Indicateurs EQUIFILLES'!J:J,IFERROR(SMALL(IF(OR('6. Indicateurs EQUIFILLES'!K$6:K$18="En retard",'6. Indicateurs EQUIFILLES'!K$6:K$18="Non démarré"),ROW('6. Indicateurs EQUIFILLES'!K$6:K$18)),5),"")),"")</f>
        <v/>
      </c>
      <c r="H44" s="27" t="str">
        <f aca="false">IFERROR(INDEX('6. Indicateurs EQUIFILLES'!K:K,IFERROR(SMALL(IF(OR('6. Indicateurs EQUIFILLES'!K$6:K$18="En retard",'6. Indicateurs EQUIFILLES'!K$6:K$18="Non démarré"),ROW('6. Indicateurs EQUIFILLES'!K$6:K$18)),5),"")),"")</f>
        <v/>
      </c>
      <c r="I44" s="11" t="str">
        <f aca="false">IF(C44="","",IF(H44="Non démarré","Démarrer activités liées","Accélérer activités du Gantt liées à cet indicateur"))</f>
        <v/>
      </c>
    </row>
    <row r="45" customFormat="false" ht="24" hidden="false" customHeight="true" outlineLevel="0" collapsed="false">
      <c r="B45" s="126" t="s">
        <v>103</v>
      </c>
      <c r="C45" s="38" t="str">
        <f aca="false">IFERROR(INDEX('6. Indicateurs EQUIFILLES'!B:B,IFERROR(SMALL(IF(OR('6. Indicateurs EQUIFILLES'!K$6:K$18="En retard",'6. Indicateurs EQUIFILLES'!K$6:K$18="Non démarré"),ROW('6. Indicateurs EQUIFILLES'!K$6:K$18)),6),"")),"")</f>
        <v/>
      </c>
      <c r="D45" s="7" t="str">
        <f aca="false">IFERROR(INDEX('6. Indicateurs EQUIFILLES'!C:C,IFERROR(SMALL(IF(OR('6. Indicateurs EQUIFILLES'!K$6:K$18="En retard",'6. Indicateurs EQUIFILLES'!K$6:K$18="Non démarré"),ROW('6. Indicateurs EQUIFILLES'!K$6:K$18)),6),"")),"")</f>
        <v/>
      </c>
      <c r="E45" s="28" t="str">
        <f aca="false">IFERROR(INDEX('6. Indicateurs EQUIFILLES'!E:E,IFERROR(SMALL(IF(OR('6. Indicateurs EQUIFILLES'!K$6:K$18="En retard",'6. Indicateurs EQUIFILLES'!K$6:K$18="Non démarré"),ROW('6. Indicateurs EQUIFILLES'!K$6:K$18)),6),"")),"")</f>
        <v/>
      </c>
      <c r="F45" s="28" t="str">
        <f aca="false">IFERROR(INDEX('6. Indicateurs EQUIFILLES'!I:I,IFERROR(SMALL(IF(OR('6. Indicateurs EQUIFILLES'!K$6:K$18="En retard",'6. Indicateurs EQUIFILLES'!K$6:K$18="Non démarré"),ROW('6. Indicateurs EQUIFILLES'!K$6:K$18)),6),"")),"")</f>
        <v/>
      </c>
      <c r="G45" s="131" t="str">
        <f aca="false">IFERROR(INDEX('6. Indicateurs EQUIFILLES'!J:J,IFERROR(SMALL(IF(OR('6. Indicateurs EQUIFILLES'!K$6:K$18="En retard",'6. Indicateurs EQUIFILLES'!K$6:K$18="Non démarré"),ROW('6. Indicateurs EQUIFILLES'!K$6:K$18)),6),"")),"")</f>
        <v/>
      </c>
      <c r="H45" s="38" t="str">
        <f aca="false">IFERROR(INDEX('6. Indicateurs EQUIFILLES'!K:K,IFERROR(SMALL(IF(OR('6. Indicateurs EQUIFILLES'!K$6:K$18="En retard",'6. Indicateurs EQUIFILLES'!K$6:K$18="Non démarré"),ROW('6. Indicateurs EQUIFILLES'!K$6:K$18)),6),"")),"")</f>
        <v/>
      </c>
      <c r="I45" s="7" t="str">
        <f aca="false">IF(C45="","",IF(H45="Non démarré","Démarrer activités liées","Accélérer activités du Gantt liées à cet indicateur"))</f>
        <v/>
      </c>
    </row>
    <row r="46" customFormat="false" ht="24" hidden="false" customHeight="true" outlineLevel="0" collapsed="false">
      <c r="B46" s="126" t="s">
        <v>103</v>
      </c>
      <c r="C46" s="27" t="str">
        <f aca="false">IFERROR(INDEX('6. Indicateurs EQUIFILLES'!B:B,IFERROR(SMALL(IF(OR('6. Indicateurs EQUIFILLES'!K$6:K$18="En retard",'6. Indicateurs EQUIFILLES'!K$6:K$18="Non démarré"),ROW('6. Indicateurs EQUIFILLES'!K$6:K$18)),7),"")),"")</f>
        <v/>
      </c>
      <c r="D46" s="11" t="str">
        <f aca="false">IFERROR(INDEX('6. Indicateurs EQUIFILLES'!C:C,IFERROR(SMALL(IF(OR('6. Indicateurs EQUIFILLES'!K$6:K$18="En retard",'6. Indicateurs EQUIFILLES'!K$6:K$18="Non démarré"),ROW('6. Indicateurs EQUIFILLES'!K$6:K$18)),7),"")),"")</f>
        <v/>
      </c>
      <c r="E46" s="30" t="str">
        <f aca="false">IFERROR(INDEX('6. Indicateurs EQUIFILLES'!E:E,IFERROR(SMALL(IF(OR('6. Indicateurs EQUIFILLES'!K$6:K$18="En retard",'6. Indicateurs EQUIFILLES'!K$6:K$18="Non démarré"),ROW('6. Indicateurs EQUIFILLES'!K$6:K$18)),7),"")),"")</f>
        <v/>
      </c>
      <c r="F46" s="30" t="str">
        <f aca="false">IFERROR(INDEX('6. Indicateurs EQUIFILLES'!I:I,IFERROR(SMALL(IF(OR('6. Indicateurs EQUIFILLES'!K$6:K$18="En retard",'6. Indicateurs EQUIFILLES'!K$6:K$18="Non démarré"),ROW('6. Indicateurs EQUIFILLES'!K$6:K$18)),7),"")),"")</f>
        <v/>
      </c>
      <c r="G46" s="130" t="str">
        <f aca="false">IFERROR(INDEX('6. Indicateurs EQUIFILLES'!J:J,IFERROR(SMALL(IF(OR('6. Indicateurs EQUIFILLES'!K$6:K$18="En retard",'6. Indicateurs EQUIFILLES'!K$6:K$18="Non démarré"),ROW('6. Indicateurs EQUIFILLES'!K$6:K$18)),7),"")),"")</f>
        <v/>
      </c>
      <c r="H46" s="27" t="str">
        <f aca="false">IFERROR(INDEX('6. Indicateurs EQUIFILLES'!K:K,IFERROR(SMALL(IF(OR('6. Indicateurs EQUIFILLES'!K$6:K$18="En retard",'6. Indicateurs EQUIFILLES'!K$6:K$18="Non démarré"),ROW('6. Indicateurs EQUIFILLES'!K$6:K$18)),7),"")),"")</f>
        <v/>
      </c>
      <c r="I46" s="11" t="str">
        <f aca="false">IF(C46="","",IF(H46="Non démarré","Démarrer activités liées","Accélérer activités du Gantt liées à cet indicateur"))</f>
        <v/>
      </c>
    </row>
    <row r="47" customFormat="false" ht="24" hidden="false" customHeight="true" outlineLevel="0" collapsed="false">
      <c r="B47" s="126" t="s">
        <v>103</v>
      </c>
      <c r="C47" s="38" t="str">
        <f aca="false">IFERROR(INDEX('6. Indicateurs EQUIFILLES'!B:B,IFERROR(SMALL(IF(OR('6. Indicateurs EQUIFILLES'!K$6:K$18="En retard",'6. Indicateurs EQUIFILLES'!K$6:K$18="Non démarré"),ROW('6. Indicateurs EQUIFILLES'!K$6:K$18)),8),"")),"")</f>
        <v/>
      </c>
      <c r="D47" s="7" t="str">
        <f aca="false">IFERROR(INDEX('6. Indicateurs EQUIFILLES'!C:C,IFERROR(SMALL(IF(OR('6. Indicateurs EQUIFILLES'!K$6:K$18="En retard",'6. Indicateurs EQUIFILLES'!K$6:K$18="Non démarré"),ROW('6. Indicateurs EQUIFILLES'!K$6:K$18)),8),"")),"")</f>
        <v/>
      </c>
      <c r="E47" s="28" t="str">
        <f aca="false">IFERROR(INDEX('6. Indicateurs EQUIFILLES'!E:E,IFERROR(SMALL(IF(OR('6. Indicateurs EQUIFILLES'!K$6:K$18="En retard",'6. Indicateurs EQUIFILLES'!K$6:K$18="Non démarré"),ROW('6. Indicateurs EQUIFILLES'!K$6:K$18)),8),"")),"")</f>
        <v/>
      </c>
      <c r="F47" s="28" t="str">
        <f aca="false">IFERROR(INDEX('6. Indicateurs EQUIFILLES'!I:I,IFERROR(SMALL(IF(OR('6. Indicateurs EQUIFILLES'!K$6:K$18="En retard",'6. Indicateurs EQUIFILLES'!K$6:K$18="Non démarré"),ROW('6. Indicateurs EQUIFILLES'!K$6:K$18)),8),"")),"")</f>
        <v/>
      </c>
      <c r="G47" s="131" t="str">
        <f aca="false">IFERROR(INDEX('6. Indicateurs EQUIFILLES'!J:J,IFERROR(SMALL(IF(OR('6. Indicateurs EQUIFILLES'!K$6:K$18="En retard",'6. Indicateurs EQUIFILLES'!K$6:K$18="Non démarré"),ROW('6. Indicateurs EQUIFILLES'!K$6:K$18)),8),"")),"")</f>
        <v/>
      </c>
      <c r="H47" s="38" t="str">
        <f aca="false">IFERROR(INDEX('6. Indicateurs EQUIFILLES'!K:K,IFERROR(SMALL(IF(OR('6. Indicateurs EQUIFILLES'!K$6:K$18="En retard",'6. Indicateurs EQUIFILLES'!K$6:K$18="Non démarré"),ROW('6. Indicateurs EQUIFILLES'!K$6:K$18)),8),"")),"")</f>
        <v/>
      </c>
      <c r="I47" s="7" t="str">
        <f aca="false">IF(C47="","",IF(H47="Non démarré","Démarrer activités liées","Accélérer activités du Gantt liées à cet indicateur"))</f>
        <v/>
      </c>
    </row>
    <row r="48" customFormat="false" ht="24" hidden="false" customHeight="true" outlineLevel="0" collapsed="false">
      <c r="B48" s="128" t="s">
        <v>682</v>
      </c>
      <c r="C48" s="27" t="str">
        <f aca="false">IFERROR(INDEX('11. Indicateurs S2L'!B:B,IFERROR(SMALL(IF(OR('11. Indicateurs S2L'!K$6:K$28="En retard",'11. Indicateurs S2L'!K$6:K$28="Non démarré"),ROW('11. Indicateurs S2L'!K$6:K$28)),1),"")),"")</f>
        <v/>
      </c>
      <c r="D48" s="11" t="str">
        <f aca="false">IFERROR(INDEX('11. Indicateurs S2L'!C:C,IFERROR(SMALL(IF(OR('11. Indicateurs S2L'!K$6:K$28="En retard",'11. Indicateurs S2L'!K$6:K$28="Non démarré"),ROW('11. Indicateurs S2L'!K$6:K$28)),1),"")),"")</f>
        <v/>
      </c>
      <c r="E48" s="30" t="str">
        <f aca="false">IFERROR(INDEX('11. Indicateurs S2L'!E:E,IFERROR(SMALL(IF(OR('11. Indicateurs S2L'!K$6:K$28="En retard",'11. Indicateurs S2L'!K$6:K$28="Non démarré"),ROW('11. Indicateurs S2L'!K$6:K$28)),1),"")),"")</f>
        <v/>
      </c>
      <c r="F48" s="30" t="str">
        <f aca="false">IFERROR(INDEX('11. Indicateurs S2L'!I:I,IFERROR(SMALL(IF(OR('11. Indicateurs S2L'!K$6:K$28="En retard",'11. Indicateurs S2L'!K$6:K$28="Non démarré"),ROW('11. Indicateurs S2L'!K$6:K$28)),1),"")),"")</f>
        <v/>
      </c>
      <c r="G48" s="130" t="str">
        <f aca="false">IFERROR(INDEX('11. Indicateurs S2L'!J:J,IFERROR(SMALL(IF(OR('11. Indicateurs S2L'!K$6:K$28="En retard",'11. Indicateurs S2L'!K$6:K$28="Non démarré"),ROW('11. Indicateurs S2L'!K$6:K$28)),1),"")),"")</f>
        <v/>
      </c>
      <c r="H48" s="27" t="str">
        <f aca="false">IFERROR(INDEX('11. Indicateurs S2L'!K:K,IFERROR(SMALL(IF(OR('11. Indicateurs S2L'!K$6:K$28="En retard",'11. Indicateurs S2L'!K$6:K$28="Non démarré"),ROW('11. Indicateurs S2L'!K$6:K$28)),1),"")),"")</f>
        <v/>
      </c>
      <c r="I48" s="11" t="str">
        <f aca="false">IF(C48="","",IF(H48="Non démarré","Démarrer activités liées","Accélérer activités du Gantt liées à cet indicateur"))</f>
        <v/>
      </c>
    </row>
    <row r="49" customFormat="false" ht="24" hidden="false" customHeight="true" outlineLevel="0" collapsed="false">
      <c r="B49" s="128" t="s">
        <v>682</v>
      </c>
      <c r="C49" s="38" t="str">
        <f aca="false">IFERROR(INDEX('11. Indicateurs S2L'!B:B,IFERROR(SMALL(IF(OR('11. Indicateurs S2L'!K$6:K$28="En retard",'11. Indicateurs S2L'!K$6:K$28="Non démarré"),ROW('11. Indicateurs S2L'!K$6:K$28)),2),"")),"")</f>
        <v/>
      </c>
      <c r="D49" s="7" t="str">
        <f aca="false">IFERROR(INDEX('11. Indicateurs S2L'!C:C,IFERROR(SMALL(IF(OR('11. Indicateurs S2L'!K$6:K$28="En retard",'11. Indicateurs S2L'!K$6:K$28="Non démarré"),ROW('11. Indicateurs S2L'!K$6:K$28)),2),"")),"")</f>
        <v/>
      </c>
      <c r="E49" s="28" t="str">
        <f aca="false">IFERROR(INDEX('11. Indicateurs S2L'!E:E,IFERROR(SMALL(IF(OR('11. Indicateurs S2L'!K$6:K$28="En retard",'11. Indicateurs S2L'!K$6:K$28="Non démarré"),ROW('11. Indicateurs S2L'!K$6:K$28)),2),"")),"")</f>
        <v/>
      </c>
      <c r="F49" s="28" t="str">
        <f aca="false">IFERROR(INDEX('11. Indicateurs S2L'!I:I,IFERROR(SMALL(IF(OR('11. Indicateurs S2L'!K$6:K$28="En retard",'11. Indicateurs S2L'!K$6:K$28="Non démarré"),ROW('11. Indicateurs S2L'!K$6:K$28)),2),"")),"")</f>
        <v/>
      </c>
      <c r="G49" s="131" t="str">
        <f aca="false">IFERROR(INDEX('11. Indicateurs S2L'!J:J,IFERROR(SMALL(IF(OR('11. Indicateurs S2L'!K$6:K$28="En retard",'11. Indicateurs S2L'!K$6:K$28="Non démarré"),ROW('11. Indicateurs S2L'!K$6:K$28)),2),"")),"")</f>
        <v/>
      </c>
      <c r="H49" s="38" t="str">
        <f aca="false">IFERROR(INDEX('11. Indicateurs S2L'!K:K,IFERROR(SMALL(IF(OR('11. Indicateurs S2L'!K$6:K$28="En retard",'11. Indicateurs S2L'!K$6:K$28="Non démarré"),ROW('11. Indicateurs S2L'!K$6:K$28)),2),"")),"")</f>
        <v/>
      </c>
      <c r="I49" s="7" t="str">
        <f aca="false">IF(C49="","",IF(H49="Non démarré","Démarrer activités liées","Accélérer activités du Gantt liées à cet indicateur"))</f>
        <v/>
      </c>
    </row>
    <row r="50" customFormat="false" ht="24" hidden="false" customHeight="true" outlineLevel="0" collapsed="false">
      <c r="B50" s="128" t="s">
        <v>682</v>
      </c>
      <c r="C50" s="27" t="str">
        <f aca="false">IFERROR(INDEX('11. Indicateurs S2L'!B:B,IFERROR(SMALL(IF(OR('11. Indicateurs S2L'!K$6:K$28="En retard",'11. Indicateurs S2L'!K$6:K$28="Non démarré"),ROW('11. Indicateurs S2L'!K$6:K$28)),3),"")),"")</f>
        <v/>
      </c>
      <c r="D50" s="11" t="str">
        <f aca="false">IFERROR(INDEX('11. Indicateurs S2L'!C:C,IFERROR(SMALL(IF(OR('11. Indicateurs S2L'!K$6:K$28="En retard",'11. Indicateurs S2L'!K$6:K$28="Non démarré"),ROW('11. Indicateurs S2L'!K$6:K$28)),3),"")),"")</f>
        <v/>
      </c>
      <c r="E50" s="30" t="str">
        <f aca="false">IFERROR(INDEX('11. Indicateurs S2L'!E:E,IFERROR(SMALL(IF(OR('11. Indicateurs S2L'!K$6:K$28="En retard",'11. Indicateurs S2L'!K$6:K$28="Non démarré"),ROW('11. Indicateurs S2L'!K$6:K$28)),3),"")),"")</f>
        <v/>
      </c>
      <c r="F50" s="30" t="str">
        <f aca="false">IFERROR(INDEX('11. Indicateurs S2L'!I:I,IFERROR(SMALL(IF(OR('11. Indicateurs S2L'!K$6:K$28="En retard",'11. Indicateurs S2L'!K$6:K$28="Non démarré"),ROW('11. Indicateurs S2L'!K$6:K$28)),3),"")),"")</f>
        <v/>
      </c>
      <c r="G50" s="130" t="str">
        <f aca="false">IFERROR(INDEX('11. Indicateurs S2L'!J:J,IFERROR(SMALL(IF(OR('11. Indicateurs S2L'!K$6:K$28="En retard",'11. Indicateurs S2L'!K$6:K$28="Non démarré"),ROW('11. Indicateurs S2L'!K$6:K$28)),3),"")),"")</f>
        <v/>
      </c>
      <c r="H50" s="27" t="str">
        <f aca="false">IFERROR(INDEX('11. Indicateurs S2L'!K:K,IFERROR(SMALL(IF(OR('11. Indicateurs S2L'!K$6:K$28="En retard",'11. Indicateurs S2L'!K$6:K$28="Non démarré"),ROW('11. Indicateurs S2L'!K$6:K$28)),3),"")),"")</f>
        <v/>
      </c>
      <c r="I50" s="11" t="str">
        <f aca="false">IF(C50="","",IF(H50="Non démarré","Démarrer activités liées","Accélérer activités du Gantt liées à cet indicateur"))</f>
        <v/>
      </c>
    </row>
    <row r="51" customFormat="false" ht="24" hidden="false" customHeight="true" outlineLevel="0" collapsed="false">
      <c r="B51" s="128" t="s">
        <v>682</v>
      </c>
      <c r="C51" s="38" t="str">
        <f aca="false">IFERROR(INDEX('11. Indicateurs S2L'!B:B,IFERROR(SMALL(IF(OR('11. Indicateurs S2L'!K$6:K$28="En retard",'11. Indicateurs S2L'!K$6:K$28="Non démarré"),ROW('11. Indicateurs S2L'!K$6:K$28)),4),"")),"")</f>
        <v/>
      </c>
      <c r="D51" s="7" t="str">
        <f aca="false">IFERROR(INDEX('11. Indicateurs S2L'!C:C,IFERROR(SMALL(IF(OR('11. Indicateurs S2L'!K$6:K$28="En retard",'11. Indicateurs S2L'!K$6:K$28="Non démarré"),ROW('11. Indicateurs S2L'!K$6:K$28)),4),"")),"")</f>
        <v/>
      </c>
      <c r="E51" s="28" t="str">
        <f aca="false">IFERROR(INDEX('11. Indicateurs S2L'!E:E,IFERROR(SMALL(IF(OR('11. Indicateurs S2L'!K$6:K$28="En retard",'11. Indicateurs S2L'!K$6:K$28="Non démarré"),ROW('11. Indicateurs S2L'!K$6:K$28)),4),"")),"")</f>
        <v/>
      </c>
      <c r="F51" s="28" t="str">
        <f aca="false">IFERROR(INDEX('11. Indicateurs S2L'!I:I,IFERROR(SMALL(IF(OR('11. Indicateurs S2L'!K$6:K$28="En retard",'11. Indicateurs S2L'!K$6:K$28="Non démarré"),ROW('11. Indicateurs S2L'!K$6:K$28)),4),"")),"")</f>
        <v/>
      </c>
      <c r="G51" s="131" t="str">
        <f aca="false">IFERROR(INDEX('11. Indicateurs S2L'!J:J,IFERROR(SMALL(IF(OR('11. Indicateurs S2L'!K$6:K$28="En retard",'11. Indicateurs S2L'!K$6:K$28="Non démarré"),ROW('11. Indicateurs S2L'!K$6:K$28)),4),"")),"")</f>
        <v/>
      </c>
      <c r="H51" s="38" t="str">
        <f aca="false">IFERROR(INDEX('11. Indicateurs S2L'!K:K,IFERROR(SMALL(IF(OR('11. Indicateurs S2L'!K$6:K$28="En retard",'11. Indicateurs S2L'!K$6:K$28="Non démarré"),ROW('11. Indicateurs S2L'!K$6:K$28)),4),"")),"")</f>
        <v/>
      </c>
      <c r="I51" s="7" t="str">
        <f aca="false">IF(C51="","",IF(H51="Non démarré","Démarrer activités liées","Accélérer activités du Gantt liées à cet indicateur"))</f>
        <v/>
      </c>
    </row>
    <row r="52" customFormat="false" ht="24" hidden="false" customHeight="true" outlineLevel="0" collapsed="false">
      <c r="B52" s="128" t="s">
        <v>682</v>
      </c>
      <c r="C52" s="27" t="str">
        <f aca="false">IFERROR(INDEX('11. Indicateurs S2L'!B:B,IFERROR(SMALL(IF(OR('11. Indicateurs S2L'!K$6:K$28="En retard",'11. Indicateurs S2L'!K$6:K$28="Non démarré"),ROW('11. Indicateurs S2L'!K$6:K$28)),5),"")),"")</f>
        <v/>
      </c>
      <c r="D52" s="11" t="str">
        <f aca="false">IFERROR(INDEX('11. Indicateurs S2L'!C:C,IFERROR(SMALL(IF(OR('11. Indicateurs S2L'!K$6:K$28="En retard",'11. Indicateurs S2L'!K$6:K$28="Non démarré"),ROW('11. Indicateurs S2L'!K$6:K$28)),5),"")),"")</f>
        <v/>
      </c>
      <c r="E52" s="30" t="str">
        <f aca="false">IFERROR(INDEX('11. Indicateurs S2L'!E:E,IFERROR(SMALL(IF(OR('11. Indicateurs S2L'!K$6:K$28="En retard",'11. Indicateurs S2L'!K$6:K$28="Non démarré"),ROW('11. Indicateurs S2L'!K$6:K$28)),5),"")),"")</f>
        <v/>
      </c>
      <c r="F52" s="30" t="str">
        <f aca="false">IFERROR(INDEX('11. Indicateurs S2L'!I:I,IFERROR(SMALL(IF(OR('11. Indicateurs S2L'!K$6:K$28="En retard",'11. Indicateurs S2L'!K$6:K$28="Non démarré"),ROW('11. Indicateurs S2L'!K$6:K$28)),5),"")),"")</f>
        <v/>
      </c>
      <c r="G52" s="130" t="str">
        <f aca="false">IFERROR(INDEX('11. Indicateurs S2L'!J:J,IFERROR(SMALL(IF(OR('11. Indicateurs S2L'!K$6:K$28="En retard",'11. Indicateurs S2L'!K$6:K$28="Non démarré"),ROW('11. Indicateurs S2L'!K$6:K$28)),5),"")),"")</f>
        <v/>
      </c>
      <c r="H52" s="27" t="str">
        <f aca="false">IFERROR(INDEX('11. Indicateurs S2L'!K:K,IFERROR(SMALL(IF(OR('11. Indicateurs S2L'!K$6:K$28="En retard",'11. Indicateurs S2L'!K$6:K$28="Non démarré"),ROW('11. Indicateurs S2L'!K$6:K$28)),5),"")),"")</f>
        <v/>
      </c>
      <c r="I52" s="11" t="str">
        <f aca="false">IF(C52="","",IF(H52="Non démarré","Démarrer activités liées","Accélérer activités du Gantt liées à cet indicateur"))</f>
        <v/>
      </c>
    </row>
    <row r="53" customFormat="false" ht="24" hidden="false" customHeight="true" outlineLevel="0" collapsed="false">
      <c r="B53" s="128" t="s">
        <v>682</v>
      </c>
      <c r="C53" s="38" t="str">
        <f aca="false">IFERROR(INDEX('11. Indicateurs S2L'!B:B,IFERROR(SMALL(IF(OR('11. Indicateurs S2L'!K$6:K$28="En retard",'11. Indicateurs S2L'!K$6:K$28="Non démarré"),ROW('11. Indicateurs S2L'!K$6:K$28)),6),"")),"")</f>
        <v/>
      </c>
      <c r="D53" s="7" t="str">
        <f aca="false">IFERROR(INDEX('11. Indicateurs S2L'!C:C,IFERROR(SMALL(IF(OR('11. Indicateurs S2L'!K$6:K$28="En retard",'11. Indicateurs S2L'!K$6:K$28="Non démarré"),ROW('11. Indicateurs S2L'!K$6:K$28)),6),"")),"")</f>
        <v/>
      </c>
      <c r="E53" s="28" t="str">
        <f aca="false">IFERROR(INDEX('11. Indicateurs S2L'!E:E,IFERROR(SMALL(IF(OR('11. Indicateurs S2L'!K$6:K$28="En retard",'11. Indicateurs S2L'!K$6:K$28="Non démarré"),ROW('11. Indicateurs S2L'!K$6:K$28)),6),"")),"")</f>
        <v/>
      </c>
      <c r="F53" s="28" t="str">
        <f aca="false">IFERROR(INDEX('11. Indicateurs S2L'!I:I,IFERROR(SMALL(IF(OR('11. Indicateurs S2L'!K$6:K$28="En retard",'11. Indicateurs S2L'!K$6:K$28="Non démarré"),ROW('11. Indicateurs S2L'!K$6:K$28)),6),"")),"")</f>
        <v/>
      </c>
      <c r="G53" s="131" t="str">
        <f aca="false">IFERROR(INDEX('11. Indicateurs S2L'!J:J,IFERROR(SMALL(IF(OR('11. Indicateurs S2L'!K$6:K$28="En retard",'11. Indicateurs S2L'!K$6:K$28="Non démarré"),ROW('11. Indicateurs S2L'!K$6:K$28)),6),"")),"")</f>
        <v/>
      </c>
      <c r="H53" s="38" t="str">
        <f aca="false">IFERROR(INDEX('11. Indicateurs S2L'!K:K,IFERROR(SMALL(IF(OR('11. Indicateurs S2L'!K$6:K$28="En retard",'11. Indicateurs S2L'!K$6:K$28="Non démarré"),ROW('11. Indicateurs S2L'!K$6:K$28)),6),"")),"")</f>
        <v/>
      </c>
      <c r="I53" s="7" t="str">
        <f aca="false">IF(C53="","",IF(H53="Non démarré","Démarrer activités liées","Accélérer activités du Gantt liées à cet indicateur"))</f>
        <v/>
      </c>
    </row>
    <row r="54" customFormat="false" ht="24" hidden="false" customHeight="true" outlineLevel="0" collapsed="false">
      <c r="B54" s="128" t="s">
        <v>682</v>
      </c>
      <c r="C54" s="27" t="str">
        <f aca="false">IFERROR(INDEX('11. Indicateurs S2L'!B:B,IFERROR(SMALL(IF(OR('11. Indicateurs S2L'!K$6:K$28="En retard",'11. Indicateurs S2L'!K$6:K$28="Non démarré"),ROW('11. Indicateurs S2L'!K$6:K$28)),7),"")),"")</f>
        <v/>
      </c>
      <c r="D54" s="11" t="str">
        <f aca="false">IFERROR(INDEX('11. Indicateurs S2L'!C:C,IFERROR(SMALL(IF(OR('11. Indicateurs S2L'!K$6:K$28="En retard",'11. Indicateurs S2L'!K$6:K$28="Non démarré"),ROW('11. Indicateurs S2L'!K$6:K$28)),7),"")),"")</f>
        <v/>
      </c>
      <c r="E54" s="30" t="str">
        <f aca="false">IFERROR(INDEX('11. Indicateurs S2L'!E:E,IFERROR(SMALL(IF(OR('11. Indicateurs S2L'!K$6:K$28="En retard",'11. Indicateurs S2L'!K$6:K$28="Non démarré"),ROW('11. Indicateurs S2L'!K$6:K$28)),7),"")),"")</f>
        <v/>
      </c>
      <c r="F54" s="30" t="str">
        <f aca="false">IFERROR(INDEX('11. Indicateurs S2L'!I:I,IFERROR(SMALL(IF(OR('11. Indicateurs S2L'!K$6:K$28="En retard",'11. Indicateurs S2L'!K$6:K$28="Non démarré"),ROW('11. Indicateurs S2L'!K$6:K$28)),7),"")),"")</f>
        <v/>
      </c>
      <c r="G54" s="130" t="str">
        <f aca="false">IFERROR(INDEX('11. Indicateurs S2L'!J:J,IFERROR(SMALL(IF(OR('11. Indicateurs S2L'!K$6:K$28="En retard",'11. Indicateurs S2L'!K$6:K$28="Non démarré"),ROW('11. Indicateurs S2L'!K$6:K$28)),7),"")),"")</f>
        <v/>
      </c>
      <c r="H54" s="27" t="str">
        <f aca="false">IFERROR(INDEX('11. Indicateurs S2L'!K:K,IFERROR(SMALL(IF(OR('11. Indicateurs S2L'!K$6:K$28="En retard",'11. Indicateurs S2L'!K$6:K$28="Non démarré"),ROW('11. Indicateurs S2L'!K$6:K$28)),7),"")),"")</f>
        <v/>
      </c>
      <c r="I54" s="11" t="str">
        <f aca="false">IF(C54="","",IF(H54="Non démarré","Démarrer activités liées","Accélérer activités du Gantt liées à cet indicateur"))</f>
        <v/>
      </c>
    </row>
    <row r="55" customFormat="false" ht="24" hidden="false" customHeight="true" outlineLevel="0" collapsed="false">
      <c r="B55" s="128" t="s">
        <v>682</v>
      </c>
      <c r="C55" s="38" t="str">
        <f aca="false">IFERROR(INDEX('11. Indicateurs S2L'!B:B,IFERROR(SMALL(IF(OR('11. Indicateurs S2L'!K$6:K$28="En retard",'11. Indicateurs S2L'!K$6:K$28="Non démarré"),ROW('11. Indicateurs S2L'!K$6:K$28)),8),"")),"")</f>
        <v/>
      </c>
      <c r="D55" s="7" t="str">
        <f aca="false">IFERROR(INDEX('11. Indicateurs S2L'!C:C,IFERROR(SMALL(IF(OR('11. Indicateurs S2L'!K$6:K$28="En retard",'11. Indicateurs S2L'!K$6:K$28="Non démarré"),ROW('11. Indicateurs S2L'!K$6:K$28)),8),"")),"")</f>
        <v/>
      </c>
      <c r="E55" s="28" t="str">
        <f aca="false">IFERROR(INDEX('11. Indicateurs S2L'!E:E,IFERROR(SMALL(IF(OR('11. Indicateurs S2L'!K$6:K$28="En retard",'11. Indicateurs S2L'!K$6:K$28="Non démarré"),ROW('11. Indicateurs S2L'!K$6:K$28)),8),"")),"")</f>
        <v/>
      </c>
      <c r="F55" s="28" t="str">
        <f aca="false">IFERROR(INDEX('11. Indicateurs S2L'!I:I,IFERROR(SMALL(IF(OR('11. Indicateurs S2L'!K$6:K$28="En retard",'11. Indicateurs S2L'!K$6:K$28="Non démarré"),ROW('11. Indicateurs S2L'!K$6:K$28)),8),"")),"")</f>
        <v/>
      </c>
      <c r="G55" s="131" t="str">
        <f aca="false">IFERROR(INDEX('11. Indicateurs S2L'!J:J,IFERROR(SMALL(IF(OR('11. Indicateurs S2L'!K$6:K$28="En retard",'11. Indicateurs S2L'!K$6:K$28="Non démarré"),ROW('11. Indicateurs S2L'!K$6:K$28)),8),"")),"")</f>
        <v/>
      </c>
      <c r="H55" s="38" t="str">
        <f aca="false">IFERROR(INDEX('11. Indicateurs S2L'!K:K,IFERROR(SMALL(IF(OR('11. Indicateurs S2L'!K$6:K$28="En retard",'11. Indicateurs S2L'!K$6:K$28="Non démarré"),ROW('11. Indicateurs S2L'!K$6:K$28)),8),"")),"")</f>
        <v/>
      </c>
      <c r="I55" s="7" t="str">
        <f aca="false">IF(C55="","",IF(H55="Non démarré","Démarrer activités liées","Accélérer activités du Gantt liées à cet indicateur"))</f>
        <v/>
      </c>
    </row>
    <row r="58" customFormat="false" ht="24" hidden="false" customHeight="true" outlineLevel="0" collapsed="false">
      <c r="B58" s="25" t="s">
        <v>733</v>
      </c>
      <c r="C58" s="25"/>
      <c r="D58" s="25"/>
      <c r="E58" s="25"/>
      <c r="F58" s="25"/>
      <c r="G58" s="25"/>
      <c r="H58" s="25"/>
      <c r="I58" s="25"/>
      <c r="J58" s="25"/>
    </row>
    <row r="59" customFormat="false" ht="24" hidden="false" customHeight="true" outlineLevel="0" collapsed="false">
      <c r="B59" s="132" t="s">
        <v>734</v>
      </c>
      <c r="C59" s="132"/>
      <c r="D59" s="132"/>
      <c r="E59" s="132"/>
      <c r="F59" s="132"/>
      <c r="G59" s="132"/>
      <c r="H59" s="132"/>
      <c r="I59" s="132"/>
      <c r="J59" s="132"/>
    </row>
    <row r="60" customFormat="false" ht="24" hidden="false" customHeight="true" outlineLevel="0" collapsed="false">
      <c r="B60" s="133" t="s">
        <v>735</v>
      </c>
      <c r="C60" s="133"/>
      <c r="D60" s="133"/>
      <c r="E60" s="133"/>
      <c r="F60" s="133"/>
      <c r="G60" s="133"/>
      <c r="H60" s="133"/>
      <c r="I60" s="133"/>
      <c r="J60" s="133"/>
    </row>
    <row r="61" customFormat="false" ht="24" hidden="false" customHeight="true" outlineLevel="0" collapsed="false">
      <c r="B61" s="132" t="s">
        <v>736</v>
      </c>
      <c r="C61" s="132"/>
      <c r="D61" s="132"/>
      <c r="E61" s="132"/>
      <c r="F61" s="132"/>
      <c r="G61" s="132"/>
      <c r="H61" s="132"/>
      <c r="I61" s="132"/>
      <c r="J61" s="132"/>
    </row>
    <row r="62" customFormat="false" ht="24" hidden="false" customHeight="true" outlineLevel="0" collapsed="false">
      <c r="B62" s="133" t="s">
        <v>737</v>
      </c>
      <c r="C62" s="133"/>
      <c r="D62" s="133"/>
      <c r="E62" s="133"/>
      <c r="F62" s="133"/>
      <c r="G62" s="133"/>
      <c r="H62" s="133"/>
      <c r="I62" s="133"/>
      <c r="J62" s="133"/>
    </row>
    <row r="63" customFormat="false" ht="24" hidden="false" customHeight="true" outlineLevel="0" collapsed="false">
      <c r="B63" s="132" t="s">
        <v>738</v>
      </c>
      <c r="C63" s="132"/>
      <c r="D63" s="132"/>
      <c r="E63" s="132"/>
      <c r="F63" s="132"/>
      <c r="G63" s="132"/>
      <c r="H63" s="132"/>
      <c r="I63" s="132"/>
      <c r="J63" s="132"/>
    </row>
    <row r="64" customFormat="false" ht="24" hidden="false" customHeight="true" outlineLevel="0" collapsed="false">
      <c r="B64" s="133" t="s">
        <v>739</v>
      </c>
      <c r="C64" s="133"/>
      <c r="D64" s="133"/>
      <c r="E64" s="133"/>
      <c r="F64" s="133"/>
      <c r="G64" s="133"/>
      <c r="H64" s="133"/>
      <c r="I64" s="133"/>
      <c r="J64" s="133"/>
    </row>
    <row r="65" customFormat="false" ht="24" hidden="false" customHeight="true" outlineLevel="0" collapsed="false">
      <c r="B65" s="132" t="s">
        <v>740</v>
      </c>
      <c r="C65" s="132"/>
      <c r="D65" s="132"/>
      <c r="E65" s="132"/>
      <c r="F65" s="132"/>
      <c r="G65" s="132"/>
      <c r="H65" s="132"/>
      <c r="I65" s="132"/>
      <c r="J65" s="132"/>
    </row>
  </sheetData>
  <mergeCells count="25">
    <mergeCell ref="B2:J2"/>
    <mergeCell ref="B3:J3"/>
    <mergeCell ref="B5:J5"/>
    <mergeCell ref="B6:G6"/>
    <mergeCell ref="H6:J6"/>
    <mergeCell ref="B7:G7"/>
    <mergeCell ref="H7:J7"/>
    <mergeCell ref="B8:G8"/>
    <mergeCell ref="H8:J8"/>
    <mergeCell ref="B9:G9"/>
    <mergeCell ref="H9:J9"/>
    <mergeCell ref="B10:G10"/>
    <mergeCell ref="H10:J10"/>
    <mergeCell ref="B11:G11"/>
    <mergeCell ref="H11:J11"/>
    <mergeCell ref="B14:J14"/>
    <mergeCell ref="B38:J38"/>
    <mergeCell ref="B58:J58"/>
    <mergeCell ref="B59:J59"/>
    <mergeCell ref="B60:J60"/>
    <mergeCell ref="B61:J61"/>
    <mergeCell ref="B62:J62"/>
    <mergeCell ref="B63:J63"/>
    <mergeCell ref="B64:J64"/>
    <mergeCell ref="B65:J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6985"/>
    <pageSetUpPr fitToPage="false"/>
  </sheetPr>
  <dimension ref="B2:U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14"/>
    <col collapsed="false" customWidth="true" hidden="false" outlineLevel="0" max="4" min="4" style="1" width="18"/>
    <col collapsed="false" customWidth="true" hidden="false" outlineLevel="0" max="5" min="5" style="1" width="14"/>
    <col collapsed="false" customWidth="true" hidden="false" outlineLevel="0" max="8" min="6" style="1" width="16"/>
    <col collapsed="false" customWidth="true" hidden="false" outlineLevel="0" max="9" min="9" style="1" width="14"/>
    <col collapsed="false" customWidth="true" hidden="false" outlineLevel="0" max="10" min="10" style="1" width="10"/>
    <col collapsed="false" customWidth="true" hidden="false" outlineLevel="0" max="11" min="11" style="1" width="16"/>
    <col collapsed="false" customWidth="true" hidden="false" outlineLevel="0" max="12" min="12" style="1" width="9"/>
    <col collapsed="false" customWidth="true" hidden="false" outlineLevel="0" max="13" min="13" style="1" width="13"/>
    <col collapsed="false" customWidth="true" hidden="false" outlineLevel="0" max="14" min="14" style="1" width="20"/>
    <col collapsed="false" customWidth="true" hidden="false" outlineLevel="0" max="15" min="15" style="1" width="12"/>
    <col collapsed="false" customWidth="true" hidden="false" outlineLevel="0" max="16" min="16" style="1" width="14"/>
    <col collapsed="false" customWidth="true" hidden="false" outlineLevel="0" max="17" min="17" style="1" width="16"/>
    <col collapsed="false" customWidth="true" hidden="false" outlineLevel="0" max="19" min="18" style="1" width="12"/>
    <col collapsed="false" customWidth="true" hidden="false" outlineLevel="0" max="21" min="20" style="1" width="18"/>
  </cols>
  <sheetData>
    <row r="2" customFormat="false" ht="27.75" hidden="false" customHeight="true" outlineLevel="0" collapsed="false">
      <c r="B2" s="134" t="s">
        <v>741</v>
      </c>
      <c r="C2" s="134"/>
      <c r="D2" s="134"/>
      <c r="E2" s="134"/>
      <c r="F2" s="134"/>
      <c r="G2" s="134"/>
      <c r="H2" s="134"/>
      <c r="I2" s="134"/>
      <c r="J2" s="134"/>
      <c r="K2" s="134"/>
      <c r="L2" s="134"/>
      <c r="M2" s="134"/>
      <c r="N2" s="134"/>
    </row>
    <row r="3" customFormat="false" ht="36" hidden="false" customHeight="true" outlineLevel="0" collapsed="false">
      <c r="B3" s="135" t="s">
        <v>742</v>
      </c>
      <c r="C3" s="135"/>
      <c r="D3" s="135"/>
      <c r="E3" s="135"/>
      <c r="F3" s="135"/>
      <c r="G3" s="135"/>
      <c r="H3" s="135"/>
      <c r="I3" s="135"/>
      <c r="J3" s="135"/>
      <c r="K3" s="135"/>
      <c r="L3" s="135"/>
      <c r="M3" s="135"/>
      <c r="N3" s="135"/>
    </row>
    <row r="5" customFormat="false" ht="15" hidden="false" customHeight="true" outlineLevel="0" collapsed="false">
      <c r="B5" s="136" t="s">
        <v>743</v>
      </c>
      <c r="C5" s="136"/>
      <c r="D5" s="136"/>
      <c r="E5" s="136"/>
      <c r="F5" s="136"/>
      <c r="G5" s="136"/>
      <c r="H5" s="136"/>
      <c r="I5" s="136"/>
      <c r="J5" s="136"/>
      <c r="K5" s="136"/>
      <c r="L5" s="136"/>
      <c r="M5" s="136"/>
      <c r="N5" s="136"/>
    </row>
    <row r="6" customFormat="false" ht="18" hidden="false" customHeight="true" outlineLevel="0" collapsed="false">
      <c r="B6" s="137" t="s">
        <v>744</v>
      </c>
      <c r="C6" s="137"/>
      <c r="D6" s="137"/>
      <c r="E6" s="137"/>
      <c r="F6" s="137"/>
      <c r="G6" s="137"/>
      <c r="H6" s="137"/>
      <c r="I6" s="137"/>
      <c r="J6" s="137"/>
      <c r="K6" s="137"/>
      <c r="L6" s="137"/>
      <c r="M6" s="137"/>
      <c r="N6" s="137"/>
    </row>
    <row r="7" customFormat="false" ht="18" hidden="false" customHeight="true" outlineLevel="0" collapsed="false">
      <c r="B7" s="138" t="s">
        <v>745</v>
      </c>
      <c r="C7" s="138"/>
      <c r="D7" s="138"/>
      <c r="E7" s="138"/>
      <c r="F7" s="138"/>
      <c r="G7" s="138"/>
      <c r="H7" s="138"/>
      <c r="I7" s="138"/>
      <c r="J7" s="138"/>
      <c r="K7" s="138"/>
      <c r="L7" s="138"/>
      <c r="M7" s="138"/>
      <c r="N7" s="138"/>
    </row>
    <row r="8" customFormat="false" ht="18" hidden="false" customHeight="true" outlineLevel="0" collapsed="false">
      <c r="B8" s="137" t="s">
        <v>746</v>
      </c>
      <c r="C8" s="137"/>
      <c r="D8" s="137"/>
      <c r="E8" s="137"/>
      <c r="F8" s="137"/>
      <c r="G8" s="137"/>
      <c r="H8" s="137"/>
      <c r="I8" s="137"/>
      <c r="J8" s="137"/>
      <c r="K8" s="137"/>
      <c r="L8" s="137"/>
      <c r="M8" s="137"/>
      <c r="N8" s="137"/>
    </row>
    <row r="9" customFormat="false" ht="18" hidden="false" customHeight="true" outlineLevel="0" collapsed="false">
      <c r="B9" s="138" t="s">
        <v>747</v>
      </c>
      <c r="C9" s="138"/>
      <c r="D9" s="138"/>
      <c r="E9" s="138"/>
      <c r="F9" s="138"/>
      <c r="G9" s="138"/>
      <c r="H9" s="138"/>
      <c r="I9" s="138"/>
      <c r="J9" s="138"/>
      <c r="K9" s="138"/>
      <c r="L9" s="138"/>
      <c r="M9" s="138"/>
      <c r="N9" s="138"/>
    </row>
    <row r="10" customFormat="false" ht="30" hidden="false" customHeight="true" outlineLevel="0" collapsed="false">
      <c r="B10" s="139" t="s">
        <v>748</v>
      </c>
      <c r="C10" s="139"/>
      <c r="D10" s="139"/>
      <c r="E10" s="139"/>
      <c r="F10" s="139"/>
      <c r="G10" s="139"/>
      <c r="H10" s="139"/>
      <c r="I10" s="139"/>
      <c r="J10" s="139"/>
      <c r="K10" s="139"/>
      <c r="L10" s="139"/>
      <c r="M10" s="139"/>
      <c r="N10" s="139"/>
      <c r="O10" s="139"/>
      <c r="P10" s="139"/>
      <c r="Q10" s="139"/>
      <c r="R10" s="139"/>
      <c r="S10" s="139"/>
      <c r="T10" s="139"/>
      <c r="U10" s="139"/>
    </row>
    <row r="11" customFormat="false" ht="27.75" hidden="false" customHeight="true" outlineLevel="0" collapsed="false">
      <c r="B11" s="140" t="s">
        <v>749</v>
      </c>
      <c r="C11" s="140" t="s">
        <v>750</v>
      </c>
      <c r="D11" s="140" t="s">
        <v>751</v>
      </c>
      <c r="E11" s="140" t="s">
        <v>752</v>
      </c>
      <c r="F11" s="140" t="s">
        <v>753</v>
      </c>
      <c r="G11" s="140" t="s">
        <v>754</v>
      </c>
      <c r="H11" s="140" t="s">
        <v>755</v>
      </c>
      <c r="I11" s="140" t="s">
        <v>756</v>
      </c>
      <c r="J11" s="140" t="s">
        <v>757</v>
      </c>
      <c r="K11" s="140" t="s">
        <v>758</v>
      </c>
      <c r="L11" s="140" t="s">
        <v>759</v>
      </c>
      <c r="M11" s="140" t="s">
        <v>760</v>
      </c>
      <c r="N11" s="140" t="s">
        <v>761</v>
      </c>
      <c r="O11" s="140" t="s">
        <v>762</v>
      </c>
      <c r="P11" s="140" t="s">
        <v>763</v>
      </c>
      <c r="Q11" s="140" t="s">
        <v>764</v>
      </c>
      <c r="R11" s="140" t="s">
        <v>765</v>
      </c>
      <c r="S11" s="140" t="s">
        <v>766</v>
      </c>
      <c r="T11" s="140" t="s">
        <v>767</v>
      </c>
      <c r="U11" s="140" t="s">
        <v>768</v>
      </c>
    </row>
    <row r="12" customFormat="false" ht="31.5" hidden="false" customHeight="true" outlineLevel="0" collapsed="false">
      <c r="B12" s="141" t="s">
        <v>769</v>
      </c>
      <c r="C12" s="141" t="s">
        <v>770</v>
      </c>
      <c r="D12" s="141" t="s">
        <v>771</v>
      </c>
      <c r="E12" s="141" t="s">
        <v>772</v>
      </c>
      <c r="F12" s="141" t="s">
        <v>773</v>
      </c>
      <c r="G12" s="141" t="s">
        <v>774</v>
      </c>
      <c r="H12" s="141" t="s">
        <v>775</v>
      </c>
      <c r="I12" s="141" t="s">
        <v>776</v>
      </c>
      <c r="J12" s="141" t="s">
        <v>777</v>
      </c>
      <c r="K12" s="141" t="s">
        <v>778</v>
      </c>
      <c r="L12" s="141" t="s">
        <v>81</v>
      </c>
      <c r="M12" s="141" t="s">
        <v>779</v>
      </c>
      <c r="N12" s="141" t="s">
        <v>780</v>
      </c>
      <c r="O12" s="141" t="s">
        <v>781</v>
      </c>
      <c r="P12" s="141" t="s">
        <v>782</v>
      </c>
      <c r="Q12" s="141" t="s">
        <v>783</v>
      </c>
      <c r="R12" s="141" t="s">
        <v>784</v>
      </c>
      <c r="S12" s="141" t="s">
        <v>785</v>
      </c>
      <c r="T12" s="141" t="s">
        <v>786</v>
      </c>
      <c r="U12" s="141" t="s">
        <v>787</v>
      </c>
    </row>
    <row r="13" customFormat="false" ht="18" hidden="false" customHeight="true" outlineLevel="0" collapsed="false">
      <c r="B13" s="87"/>
      <c r="C13" s="87"/>
      <c r="D13" s="87"/>
      <c r="E13" s="142"/>
      <c r="F13" s="87"/>
      <c r="G13" s="87"/>
      <c r="H13" s="87"/>
      <c r="I13" s="143"/>
      <c r="J13" s="87"/>
      <c r="K13" s="87"/>
      <c r="L13" s="87"/>
      <c r="M13" s="87"/>
      <c r="N13" s="87"/>
      <c r="O13" s="87"/>
      <c r="P13" s="87"/>
      <c r="Q13" s="87"/>
      <c r="R13" s="144"/>
      <c r="S13" s="144"/>
      <c r="T13" s="87"/>
      <c r="U13" s="87"/>
    </row>
    <row r="14" customFormat="false" ht="18" hidden="false" customHeight="true" outlineLevel="0" collapsed="false">
      <c r="B14" s="7"/>
      <c r="C14" s="7"/>
      <c r="D14" s="7"/>
      <c r="E14" s="71"/>
      <c r="F14" s="7"/>
      <c r="G14" s="7"/>
      <c r="H14" s="7"/>
      <c r="I14" s="145"/>
      <c r="J14" s="7"/>
      <c r="K14" s="7"/>
      <c r="L14" s="7"/>
      <c r="M14" s="7"/>
      <c r="N14" s="7"/>
      <c r="O14" s="7"/>
      <c r="P14" s="7"/>
      <c r="Q14" s="7"/>
      <c r="R14" s="146"/>
      <c r="S14" s="146"/>
      <c r="T14" s="7"/>
      <c r="U14" s="7"/>
    </row>
    <row r="15" customFormat="false" ht="18" hidden="false" customHeight="true" outlineLevel="0" collapsed="false">
      <c r="B15" s="87"/>
      <c r="C15" s="87"/>
      <c r="D15" s="87"/>
      <c r="E15" s="142"/>
      <c r="F15" s="87"/>
      <c r="G15" s="87"/>
      <c r="H15" s="87"/>
      <c r="I15" s="143"/>
      <c r="J15" s="87"/>
      <c r="K15" s="87"/>
      <c r="L15" s="87"/>
      <c r="M15" s="87"/>
      <c r="N15" s="87"/>
      <c r="O15" s="87"/>
      <c r="P15" s="87"/>
      <c r="Q15" s="87"/>
      <c r="R15" s="144"/>
      <c r="S15" s="144"/>
      <c r="T15" s="87"/>
      <c r="U15" s="87"/>
    </row>
    <row r="16" customFormat="false" ht="18" hidden="false" customHeight="true" outlineLevel="0" collapsed="false">
      <c r="B16" s="7"/>
      <c r="C16" s="7"/>
      <c r="D16" s="7"/>
      <c r="E16" s="71"/>
      <c r="F16" s="7"/>
      <c r="G16" s="7"/>
      <c r="H16" s="7"/>
      <c r="I16" s="145"/>
      <c r="J16" s="7"/>
      <c r="K16" s="7"/>
      <c r="L16" s="7"/>
      <c r="M16" s="7"/>
      <c r="N16" s="7"/>
      <c r="O16" s="7"/>
      <c r="P16" s="7"/>
      <c r="Q16" s="7"/>
      <c r="R16" s="146"/>
      <c r="S16" s="146"/>
      <c r="T16" s="7"/>
      <c r="U16" s="7"/>
    </row>
    <row r="17" customFormat="false" ht="18" hidden="false" customHeight="true" outlineLevel="0" collapsed="false">
      <c r="B17" s="87"/>
      <c r="C17" s="87"/>
      <c r="D17" s="87"/>
      <c r="E17" s="142"/>
      <c r="F17" s="87"/>
      <c r="G17" s="87"/>
      <c r="H17" s="87"/>
      <c r="I17" s="143"/>
      <c r="J17" s="87"/>
      <c r="K17" s="87"/>
      <c r="L17" s="87"/>
      <c r="M17" s="87"/>
      <c r="N17" s="87"/>
      <c r="O17" s="87"/>
      <c r="P17" s="87"/>
      <c r="Q17" s="87"/>
      <c r="R17" s="144"/>
      <c r="S17" s="144"/>
      <c r="T17" s="87"/>
      <c r="U17" s="87"/>
    </row>
    <row r="18" customFormat="false" ht="18" hidden="false" customHeight="true" outlineLevel="0" collapsed="false">
      <c r="B18" s="7"/>
      <c r="C18" s="7"/>
      <c r="D18" s="7"/>
      <c r="E18" s="71"/>
      <c r="F18" s="7"/>
      <c r="G18" s="7"/>
      <c r="H18" s="7"/>
      <c r="I18" s="145"/>
      <c r="J18" s="7"/>
      <c r="K18" s="7"/>
      <c r="L18" s="7"/>
      <c r="M18" s="7"/>
      <c r="N18" s="7"/>
      <c r="O18" s="7"/>
      <c r="P18" s="7"/>
      <c r="Q18" s="7"/>
      <c r="R18" s="146"/>
      <c r="S18" s="146"/>
      <c r="T18" s="7"/>
      <c r="U18" s="7"/>
    </row>
    <row r="19" customFormat="false" ht="18" hidden="false" customHeight="true" outlineLevel="0" collapsed="false">
      <c r="B19" s="87"/>
      <c r="C19" s="87"/>
      <c r="D19" s="87"/>
      <c r="E19" s="142"/>
      <c r="F19" s="87"/>
      <c r="G19" s="87"/>
      <c r="H19" s="87"/>
      <c r="I19" s="143"/>
      <c r="J19" s="87"/>
      <c r="K19" s="87"/>
      <c r="L19" s="87"/>
      <c r="M19" s="87"/>
      <c r="N19" s="87"/>
      <c r="O19" s="87"/>
      <c r="P19" s="87"/>
      <c r="Q19" s="87"/>
      <c r="R19" s="144"/>
      <c r="S19" s="144"/>
      <c r="T19" s="87"/>
      <c r="U19" s="87"/>
    </row>
    <row r="20" customFormat="false" ht="18" hidden="false" customHeight="true" outlineLevel="0" collapsed="false">
      <c r="B20" s="7"/>
      <c r="C20" s="7"/>
      <c r="D20" s="7"/>
      <c r="E20" s="71"/>
      <c r="F20" s="7"/>
      <c r="G20" s="7"/>
      <c r="H20" s="7"/>
      <c r="I20" s="145"/>
      <c r="J20" s="7"/>
      <c r="K20" s="7"/>
      <c r="L20" s="7"/>
      <c r="M20" s="7"/>
      <c r="N20" s="7"/>
      <c r="O20" s="7"/>
      <c r="P20" s="7"/>
      <c r="Q20" s="7"/>
      <c r="R20" s="146"/>
      <c r="S20" s="146"/>
      <c r="T20" s="7"/>
      <c r="U20" s="7"/>
    </row>
    <row r="21" customFormat="false" ht="18" hidden="false" customHeight="true" outlineLevel="0" collapsed="false">
      <c r="B21" s="87"/>
      <c r="C21" s="87"/>
      <c r="D21" s="87"/>
      <c r="E21" s="142"/>
      <c r="F21" s="87"/>
      <c r="G21" s="87"/>
      <c r="H21" s="87"/>
      <c r="I21" s="143"/>
      <c r="J21" s="87"/>
      <c r="K21" s="87"/>
      <c r="L21" s="87"/>
      <c r="M21" s="87"/>
      <c r="N21" s="87"/>
      <c r="O21" s="87"/>
      <c r="P21" s="87"/>
      <c r="Q21" s="87"/>
      <c r="R21" s="144"/>
      <c r="S21" s="144"/>
      <c r="T21" s="87"/>
      <c r="U21" s="87"/>
    </row>
    <row r="22" customFormat="false" ht="18" hidden="false" customHeight="true" outlineLevel="0" collapsed="false">
      <c r="B22" s="7"/>
      <c r="C22" s="7"/>
      <c r="D22" s="7"/>
      <c r="E22" s="71"/>
      <c r="F22" s="7"/>
      <c r="G22" s="7"/>
      <c r="H22" s="7"/>
      <c r="I22" s="145"/>
      <c r="J22" s="7"/>
      <c r="K22" s="7"/>
      <c r="L22" s="7"/>
      <c r="M22" s="7"/>
      <c r="N22" s="7"/>
      <c r="O22" s="7"/>
      <c r="P22" s="7"/>
      <c r="Q22" s="7"/>
      <c r="R22" s="146"/>
      <c r="S22" s="146"/>
      <c r="T22" s="7"/>
      <c r="U22" s="7"/>
    </row>
    <row r="23" customFormat="false" ht="18" hidden="false" customHeight="true" outlineLevel="0" collapsed="false">
      <c r="B23" s="87"/>
      <c r="C23" s="87"/>
      <c r="D23" s="87"/>
      <c r="E23" s="142"/>
      <c r="F23" s="87"/>
      <c r="G23" s="87"/>
      <c r="H23" s="87"/>
      <c r="I23" s="143"/>
      <c r="J23" s="87"/>
      <c r="K23" s="87"/>
      <c r="L23" s="87"/>
      <c r="M23" s="87"/>
      <c r="N23" s="87"/>
      <c r="O23" s="87"/>
      <c r="P23" s="87"/>
      <c r="Q23" s="87"/>
      <c r="R23" s="144"/>
      <c r="S23" s="144"/>
      <c r="T23" s="87"/>
      <c r="U23" s="87"/>
    </row>
    <row r="24" customFormat="false" ht="18" hidden="false" customHeight="true" outlineLevel="0" collapsed="false">
      <c r="B24" s="7"/>
      <c r="C24" s="7"/>
      <c r="D24" s="7"/>
      <c r="E24" s="71"/>
      <c r="F24" s="7"/>
      <c r="G24" s="7"/>
      <c r="H24" s="7"/>
      <c r="I24" s="145"/>
      <c r="J24" s="7"/>
      <c r="K24" s="7"/>
      <c r="L24" s="7"/>
      <c r="M24" s="7"/>
      <c r="N24" s="7"/>
      <c r="O24" s="7"/>
      <c r="P24" s="7"/>
      <c r="Q24" s="7"/>
      <c r="R24" s="146"/>
      <c r="S24" s="146"/>
      <c r="T24" s="7"/>
      <c r="U24" s="7"/>
    </row>
    <row r="25" customFormat="false" ht="18" hidden="false" customHeight="true" outlineLevel="0" collapsed="false">
      <c r="B25" s="87"/>
      <c r="C25" s="87"/>
      <c r="D25" s="87"/>
      <c r="E25" s="142"/>
      <c r="F25" s="87"/>
      <c r="G25" s="87"/>
      <c r="H25" s="87"/>
      <c r="I25" s="143"/>
      <c r="J25" s="87"/>
      <c r="K25" s="87"/>
      <c r="L25" s="87"/>
      <c r="M25" s="87"/>
      <c r="N25" s="87"/>
      <c r="O25" s="87"/>
      <c r="P25" s="87"/>
      <c r="Q25" s="87"/>
      <c r="R25" s="144"/>
      <c r="S25" s="144"/>
      <c r="T25" s="87"/>
      <c r="U25" s="87"/>
    </row>
    <row r="26" customFormat="false" ht="18" hidden="false" customHeight="true" outlineLevel="0" collapsed="false">
      <c r="B26" s="7"/>
      <c r="C26" s="7"/>
      <c r="D26" s="7"/>
      <c r="E26" s="71"/>
      <c r="F26" s="7"/>
      <c r="G26" s="7"/>
      <c r="H26" s="7"/>
      <c r="I26" s="145"/>
      <c r="J26" s="7"/>
      <c r="K26" s="7"/>
      <c r="L26" s="7"/>
      <c r="M26" s="7"/>
      <c r="N26" s="7"/>
      <c r="O26" s="7"/>
      <c r="P26" s="7"/>
      <c r="Q26" s="7"/>
      <c r="R26" s="146"/>
      <c r="S26" s="146"/>
      <c r="T26" s="7"/>
      <c r="U26" s="7"/>
    </row>
    <row r="27" customFormat="false" ht="18" hidden="false" customHeight="true" outlineLevel="0" collapsed="false">
      <c r="B27" s="87"/>
      <c r="C27" s="87"/>
      <c r="D27" s="87"/>
      <c r="E27" s="142"/>
      <c r="F27" s="87"/>
      <c r="G27" s="87"/>
      <c r="H27" s="87"/>
      <c r="I27" s="143"/>
      <c r="J27" s="87"/>
      <c r="K27" s="87"/>
      <c r="L27" s="87"/>
      <c r="M27" s="87"/>
      <c r="N27" s="87"/>
      <c r="O27" s="87"/>
      <c r="P27" s="87"/>
      <c r="Q27" s="87"/>
      <c r="R27" s="144"/>
      <c r="S27" s="144"/>
      <c r="T27" s="87"/>
      <c r="U27" s="87"/>
    </row>
    <row r="28" customFormat="false" ht="18" hidden="false" customHeight="true" outlineLevel="0" collapsed="false">
      <c r="B28" s="7"/>
      <c r="C28" s="7"/>
      <c r="D28" s="7"/>
      <c r="E28" s="71"/>
      <c r="F28" s="7"/>
      <c r="G28" s="7"/>
      <c r="H28" s="7"/>
      <c r="I28" s="145"/>
      <c r="J28" s="7"/>
      <c r="K28" s="7"/>
      <c r="L28" s="7"/>
      <c r="M28" s="7"/>
      <c r="N28" s="7"/>
      <c r="O28" s="7"/>
      <c r="P28" s="7"/>
      <c r="Q28" s="7"/>
      <c r="R28" s="146"/>
      <c r="S28" s="146"/>
      <c r="T28" s="7"/>
      <c r="U28" s="7"/>
    </row>
    <row r="29" customFormat="false" ht="18" hidden="false" customHeight="true" outlineLevel="0" collapsed="false">
      <c r="B29" s="87"/>
      <c r="C29" s="87"/>
      <c r="D29" s="87"/>
      <c r="E29" s="142"/>
      <c r="F29" s="87"/>
      <c r="G29" s="87"/>
      <c r="H29" s="87"/>
      <c r="I29" s="143"/>
      <c r="J29" s="87"/>
      <c r="K29" s="87"/>
      <c r="L29" s="87"/>
      <c r="M29" s="87"/>
      <c r="N29" s="87"/>
      <c r="O29" s="87"/>
      <c r="P29" s="87"/>
      <c r="Q29" s="87"/>
      <c r="R29" s="144"/>
      <c r="S29" s="144"/>
      <c r="T29" s="87"/>
      <c r="U29" s="87"/>
    </row>
    <row r="30" customFormat="false" ht="18" hidden="false" customHeight="true" outlineLevel="0" collapsed="false">
      <c r="B30" s="7"/>
      <c r="C30" s="7"/>
      <c r="D30" s="7"/>
      <c r="E30" s="71"/>
      <c r="F30" s="7"/>
      <c r="G30" s="7"/>
      <c r="H30" s="7"/>
      <c r="I30" s="145"/>
      <c r="J30" s="7"/>
      <c r="K30" s="7"/>
      <c r="L30" s="7"/>
      <c r="M30" s="7"/>
      <c r="N30" s="7"/>
      <c r="O30" s="7"/>
      <c r="P30" s="7"/>
      <c r="Q30" s="7"/>
      <c r="R30" s="146"/>
      <c r="S30" s="146"/>
      <c r="T30" s="7"/>
      <c r="U30" s="7"/>
    </row>
    <row r="31" customFormat="false" ht="18" hidden="false" customHeight="true" outlineLevel="0" collapsed="false">
      <c r="B31" s="87"/>
      <c r="C31" s="87"/>
      <c r="D31" s="87"/>
      <c r="E31" s="142"/>
      <c r="F31" s="87"/>
      <c r="G31" s="87"/>
      <c r="H31" s="87"/>
      <c r="I31" s="143"/>
      <c r="J31" s="87"/>
      <c r="K31" s="87"/>
      <c r="L31" s="87"/>
      <c r="M31" s="87"/>
      <c r="N31" s="87"/>
      <c r="O31" s="87"/>
      <c r="P31" s="87"/>
      <c r="Q31" s="87"/>
      <c r="R31" s="144"/>
      <c r="S31" s="144"/>
      <c r="T31" s="87"/>
      <c r="U31" s="87"/>
    </row>
    <row r="32" customFormat="false" ht="18" hidden="false" customHeight="true" outlineLevel="0" collapsed="false">
      <c r="B32" s="7"/>
      <c r="C32" s="7"/>
      <c r="D32" s="7"/>
      <c r="E32" s="71"/>
      <c r="F32" s="7"/>
      <c r="G32" s="7"/>
      <c r="H32" s="7"/>
      <c r="I32" s="145"/>
      <c r="J32" s="7"/>
      <c r="K32" s="7"/>
      <c r="L32" s="7"/>
      <c r="M32" s="7"/>
      <c r="N32" s="7"/>
      <c r="O32" s="7"/>
      <c r="P32" s="7"/>
      <c r="Q32" s="7"/>
      <c r="R32" s="146"/>
      <c r="S32" s="146"/>
      <c r="T32" s="7"/>
      <c r="U32" s="7"/>
    </row>
    <row r="33" customFormat="false" ht="18" hidden="false" customHeight="true" outlineLevel="0" collapsed="false">
      <c r="B33" s="87"/>
      <c r="C33" s="87"/>
      <c r="D33" s="87"/>
      <c r="E33" s="142"/>
      <c r="F33" s="87"/>
      <c r="G33" s="87"/>
      <c r="H33" s="87"/>
      <c r="I33" s="143"/>
      <c r="J33" s="87"/>
      <c r="K33" s="87"/>
      <c r="L33" s="87"/>
      <c r="M33" s="87"/>
      <c r="N33" s="87"/>
      <c r="O33" s="87"/>
      <c r="P33" s="87"/>
      <c r="Q33" s="87"/>
      <c r="R33" s="144"/>
      <c r="S33" s="144"/>
      <c r="T33" s="87"/>
      <c r="U33" s="87"/>
    </row>
    <row r="34" customFormat="false" ht="18" hidden="false" customHeight="true" outlineLevel="0" collapsed="false">
      <c r="B34" s="7"/>
      <c r="C34" s="7"/>
      <c r="D34" s="7"/>
      <c r="E34" s="71"/>
      <c r="F34" s="7"/>
      <c r="G34" s="7"/>
      <c r="H34" s="7"/>
      <c r="I34" s="145"/>
      <c r="J34" s="7"/>
      <c r="K34" s="7"/>
      <c r="L34" s="7"/>
      <c r="M34" s="7"/>
      <c r="N34" s="7"/>
      <c r="O34" s="7"/>
      <c r="P34" s="7"/>
      <c r="Q34" s="7"/>
      <c r="R34" s="146"/>
      <c r="S34" s="146"/>
      <c r="T34" s="7"/>
      <c r="U34" s="7"/>
    </row>
    <row r="35" customFormat="false" ht="18" hidden="false" customHeight="true" outlineLevel="0" collapsed="false">
      <c r="B35" s="87"/>
      <c r="C35" s="87"/>
      <c r="D35" s="87"/>
      <c r="E35" s="142"/>
      <c r="F35" s="87"/>
      <c r="G35" s="87"/>
      <c r="H35" s="87"/>
      <c r="I35" s="143"/>
      <c r="J35" s="87"/>
      <c r="K35" s="87"/>
      <c r="L35" s="87"/>
      <c r="M35" s="87"/>
      <c r="N35" s="87"/>
      <c r="O35" s="87"/>
      <c r="P35" s="87"/>
      <c r="Q35" s="87"/>
      <c r="R35" s="144"/>
      <c r="S35" s="144"/>
      <c r="T35" s="87"/>
      <c r="U35" s="87"/>
    </row>
    <row r="36" customFormat="false" ht="18" hidden="false" customHeight="true" outlineLevel="0" collapsed="false">
      <c r="B36" s="7"/>
      <c r="C36" s="7"/>
      <c r="D36" s="7"/>
      <c r="E36" s="71"/>
      <c r="F36" s="7"/>
      <c r="G36" s="7"/>
      <c r="H36" s="7"/>
      <c r="I36" s="145"/>
      <c r="J36" s="7"/>
      <c r="K36" s="7"/>
      <c r="L36" s="7"/>
      <c r="M36" s="7"/>
      <c r="N36" s="7"/>
      <c r="O36" s="7"/>
      <c r="P36" s="7"/>
      <c r="Q36" s="7"/>
      <c r="R36" s="146"/>
      <c r="S36" s="146"/>
      <c r="T36" s="7"/>
      <c r="U36" s="7"/>
    </row>
    <row r="37" customFormat="false" ht="18" hidden="false" customHeight="true" outlineLevel="0" collapsed="false">
      <c r="B37" s="87"/>
      <c r="C37" s="87"/>
      <c r="D37" s="87"/>
      <c r="E37" s="142"/>
      <c r="F37" s="87"/>
      <c r="G37" s="87"/>
      <c r="H37" s="87"/>
      <c r="I37" s="143"/>
      <c r="J37" s="87"/>
      <c r="K37" s="87"/>
      <c r="L37" s="87"/>
      <c r="M37" s="87"/>
      <c r="N37" s="87"/>
      <c r="O37" s="87"/>
      <c r="P37" s="87"/>
      <c r="Q37" s="87"/>
      <c r="R37" s="144"/>
      <c r="S37" s="144"/>
      <c r="T37" s="87"/>
      <c r="U37" s="87"/>
    </row>
    <row r="38" customFormat="false" ht="18" hidden="false" customHeight="true" outlineLevel="0" collapsed="false">
      <c r="B38" s="7"/>
      <c r="C38" s="7"/>
      <c r="D38" s="7"/>
      <c r="E38" s="71"/>
      <c r="F38" s="7"/>
      <c r="G38" s="7"/>
      <c r="H38" s="7"/>
      <c r="I38" s="145"/>
      <c r="J38" s="7"/>
      <c r="K38" s="7"/>
      <c r="L38" s="7"/>
      <c r="M38" s="7"/>
      <c r="N38" s="7"/>
      <c r="O38" s="7"/>
      <c r="P38" s="7"/>
      <c r="Q38" s="7"/>
      <c r="R38" s="146"/>
      <c r="S38" s="146"/>
      <c r="T38" s="7"/>
      <c r="U38" s="7"/>
    </row>
    <row r="39" customFormat="false" ht="18" hidden="false" customHeight="true" outlineLevel="0" collapsed="false">
      <c r="B39" s="87"/>
      <c r="C39" s="87"/>
      <c r="D39" s="87"/>
      <c r="E39" s="142"/>
      <c r="F39" s="87"/>
      <c r="G39" s="87"/>
      <c r="H39" s="87"/>
      <c r="I39" s="143"/>
      <c r="J39" s="87"/>
      <c r="K39" s="87"/>
      <c r="L39" s="87"/>
      <c r="M39" s="87"/>
      <c r="N39" s="87"/>
      <c r="O39" s="87"/>
      <c r="P39" s="87"/>
      <c r="Q39" s="87"/>
      <c r="R39" s="144"/>
      <c r="S39" s="144"/>
      <c r="T39" s="87"/>
      <c r="U39" s="87"/>
    </row>
    <row r="40" customFormat="false" ht="18" hidden="false" customHeight="true" outlineLevel="0" collapsed="false">
      <c r="B40" s="7"/>
      <c r="C40" s="7"/>
      <c r="D40" s="7"/>
      <c r="E40" s="71"/>
      <c r="F40" s="7"/>
      <c r="G40" s="7"/>
      <c r="H40" s="7"/>
      <c r="I40" s="145"/>
      <c r="J40" s="7"/>
      <c r="K40" s="7"/>
      <c r="L40" s="7"/>
      <c r="M40" s="7"/>
      <c r="N40" s="7"/>
      <c r="O40" s="7"/>
      <c r="P40" s="7"/>
      <c r="Q40" s="7"/>
      <c r="R40" s="146"/>
      <c r="S40" s="146"/>
      <c r="T40" s="7"/>
      <c r="U40" s="7"/>
    </row>
    <row r="41" customFormat="false" ht="18" hidden="false" customHeight="true" outlineLevel="0" collapsed="false">
      <c r="B41" s="87"/>
      <c r="C41" s="87"/>
      <c r="D41" s="87"/>
      <c r="E41" s="142"/>
      <c r="F41" s="87"/>
      <c r="G41" s="87"/>
      <c r="H41" s="87"/>
      <c r="I41" s="143"/>
      <c r="J41" s="87"/>
      <c r="K41" s="87"/>
      <c r="L41" s="87"/>
      <c r="M41" s="87"/>
      <c r="N41" s="87"/>
      <c r="O41" s="87"/>
      <c r="P41" s="87"/>
      <c r="Q41" s="87"/>
      <c r="R41" s="144"/>
      <c r="S41" s="144"/>
      <c r="T41" s="87"/>
      <c r="U41" s="87"/>
    </row>
    <row r="42" customFormat="false" ht="18" hidden="false" customHeight="true" outlineLevel="0" collapsed="false">
      <c r="B42" s="7"/>
      <c r="C42" s="7"/>
      <c r="D42" s="7"/>
      <c r="E42" s="71"/>
      <c r="F42" s="7"/>
      <c r="G42" s="7"/>
      <c r="H42" s="7"/>
      <c r="I42" s="145"/>
      <c r="J42" s="7"/>
      <c r="K42" s="7"/>
      <c r="L42" s="7"/>
      <c r="M42" s="7"/>
      <c r="N42" s="7"/>
      <c r="O42" s="7"/>
      <c r="P42" s="7"/>
      <c r="Q42" s="7"/>
      <c r="R42" s="146"/>
      <c r="S42" s="146"/>
      <c r="T42" s="7"/>
      <c r="U42" s="7"/>
    </row>
    <row r="43" customFormat="false" ht="18" hidden="false" customHeight="true" outlineLevel="0" collapsed="false">
      <c r="B43" s="87"/>
      <c r="C43" s="87"/>
      <c r="D43" s="87"/>
      <c r="E43" s="142"/>
      <c r="F43" s="87"/>
      <c r="G43" s="87"/>
      <c r="H43" s="87"/>
      <c r="I43" s="143"/>
      <c r="J43" s="87"/>
      <c r="K43" s="87"/>
      <c r="L43" s="87"/>
      <c r="M43" s="87"/>
      <c r="N43" s="87"/>
      <c r="O43" s="87"/>
      <c r="P43" s="87"/>
      <c r="Q43" s="87"/>
      <c r="R43" s="144"/>
      <c r="S43" s="144"/>
      <c r="T43" s="87"/>
      <c r="U43" s="87"/>
    </row>
    <row r="44" customFormat="false" ht="18" hidden="false" customHeight="true" outlineLevel="0" collapsed="false">
      <c r="B44" s="7"/>
      <c r="C44" s="7"/>
      <c r="D44" s="7"/>
      <c r="E44" s="71"/>
      <c r="F44" s="7"/>
      <c r="G44" s="7"/>
      <c r="H44" s="7"/>
      <c r="I44" s="145"/>
      <c r="J44" s="7"/>
      <c r="K44" s="7"/>
      <c r="L44" s="7"/>
      <c r="M44" s="7"/>
      <c r="N44" s="7"/>
      <c r="O44" s="7"/>
      <c r="P44" s="7"/>
      <c r="Q44" s="7"/>
      <c r="R44" s="146"/>
      <c r="S44" s="146"/>
      <c r="T44" s="7"/>
      <c r="U44" s="7"/>
    </row>
    <row r="45" customFormat="false" ht="18" hidden="false" customHeight="true" outlineLevel="0" collapsed="false">
      <c r="B45" s="87"/>
      <c r="C45" s="87"/>
      <c r="D45" s="87"/>
      <c r="E45" s="142"/>
      <c r="F45" s="87"/>
      <c r="G45" s="87"/>
      <c r="H45" s="87"/>
      <c r="I45" s="143"/>
      <c r="J45" s="87"/>
      <c r="K45" s="87"/>
      <c r="L45" s="87"/>
      <c r="M45" s="87"/>
      <c r="N45" s="87"/>
      <c r="O45" s="87"/>
      <c r="P45" s="87"/>
      <c r="Q45" s="87"/>
      <c r="R45" s="144"/>
      <c r="S45" s="144"/>
      <c r="T45" s="87"/>
      <c r="U45" s="87"/>
    </row>
    <row r="46" customFormat="false" ht="18" hidden="false" customHeight="true" outlineLevel="0" collapsed="false">
      <c r="B46" s="7"/>
      <c r="C46" s="7"/>
      <c r="D46" s="7"/>
      <c r="E46" s="71"/>
      <c r="F46" s="7"/>
      <c r="G46" s="7"/>
      <c r="H46" s="7"/>
      <c r="I46" s="145"/>
      <c r="J46" s="7"/>
      <c r="K46" s="7"/>
      <c r="L46" s="7"/>
      <c r="M46" s="7"/>
      <c r="N46" s="7"/>
      <c r="O46" s="7"/>
      <c r="P46" s="7"/>
      <c r="Q46" s="7"/>
      <c r="R46" s="146"/>
      <c r="S46" s="146"/>
      <c r="T46" s="7"/>
      <c r="U46" s="7"/>
    </row>
    <row r="47" customFormat="false" ht="18" hidden="false" customHeight="true" outlineLevel="0" collapsed="false">
      <c r="B47" s="87"/>
      <c r="C47" s="87"/>
      <c r="D47" s="87"/>
      <c r="E47" s="142"/>
      <c r="F47" s="87"/>
      <c r="G47" s="87"/>
      <c r="H47" s="87"/>
      <c r="I47" s="143"/>
      <c r="J47" s="87"/>
      <c r="K47" s="87"/>
      <c r="L47" s="87"/>
      <c r="M47" s="87"/>
      <c r="N47" s="87"/>
      <c r="O47" s="87"/>
      <c r="P47" s="87"/>
      <c r="Q47" s="87"/>
      <c r="R47" s="144"/>
      <c r="S47" s="144"/>
      <c r="T47" s="87"/>
      <c r="U47" s="87"/>
    </row>
    <row r="48" customFormat="false" ht="18" hidden="false" customHeight="true" outlineLevel="0" collapsed="false">
      <c r="B48" s="7"/>
      <c r="C48" s="7"/>
      <c r="D48" s="7"/>
      <c r="E48" s="71"/>
      <c r="F48" s="7"/>
      <c r="G48" s="7"/>
      <c r="H48" s="7"/>
      <c r="I48" s="145"/>
      <c r="J48" s="7"/>
      <c r="K48" s="7"/>
      <c r="L48" s="7"/>
      <c r="M48" s="7"/>
      <c r="N48" s="7"/>
      <c r="O48" s="7"/>
      <c r="P48" s="7"/>
      <c r="Q48" s="7"/>
      <c r="R48" s="146"/>
      <c r="S48" s="146"/>
      <c r="T48" s="7"/>
      <c r="U48" s="7"/>
    </row>
    <row r="49" customFormat="false" ht="18" hidden="false" customHeight="true" outlineLevel="0" collapsed="false">
      <c r="B49" s="87"/>
      <c r="C49" s="87"/>
      <c r="D49" s="87"/>
      <c r="E49" s="142"/>
      <c r="F49" s="87"/>
      <c r="G49" s="87"/>
      <c r="H49" s="87"/>
      <c r="I49" s="143"/>
      <c r="J49" s="87"/>
      <c r="K49" s="87"/>
      <c r="L49" s="87"/>
      <c r="M49" s="87"/>
      <c r="N49" s="87"/>
      <c r="O49" s="87"/>
      <c r="P49" s="87"/>
      <c r="Q49" s="87"/>
      <c r="R49" s="144"/>
      <c r="S49" s="144"/>
      <c r="T49" s="87"/>
      <c r="U49" s="87"/>
    </row>
    <row r="50" customFormat="false" ht="18" hidden="false" customHeight="true" outlineLevel="0" collapsed="false">
      <c r="B50" s="7"/>
      <c r="C50" s="7"/>
      <c r="D50" s="7"/>
      <c r="E50" s="71"/>
      <c r="F50" s="7"/>
      <c r="G50" s="7"/>
      <c r="H50" s="7"/>
      <c r="I50" s="145"/>
      <c r="J50" s="7"/>
      <c r="K50" s="7"/>
      <c r="L50" s="7"/>
      <c r="M50" s="7"/>
      <c r="N50" s="7"/>
      <c r="O50" s="7"/>
      <c r="P50" s="7"/>
      <c r="Q50" s="7"/>
      <c r="R50" s="146"/>
      <c r="S50" s="146"/>
      <c r="T50" s="7"/>
      <c r="U50" s="7"/>
    </row>
    <row r="51" customFormat="false" ht="18" hidden="false" customHeight="true" outlineLevel="0" collapsed="false">
      <c r="B51" s="87"/>
      <c r="C51" s="87"/>
      <c r="D51" s="87"/>
      <c r="E51" s="142"/>
      <c r="F51" s="87"/>
      <c r="G51" s="87"/>
      <c r="H51" s="87"/>
      <c r="I51" s="143"/>
      <c r="J51" s="87"/>
      <c r="K51" s="87"/>
      <c r="L51" s="87"/>
      <c r="M51" s="87"/>
      <c r="N51" s="87"/>
      <c r="O51" s="87"/>
      <c r="P51" s="87"/>
      <c r="Q51" s="87"/>
      <c r="R51" s="144"/>
      <c r="S51" s="144"/>
      <c r="T51" s="87"/>
      <c r="U51" s="87"/>
    </row>
    <row r="52" customFormat="false" ht="18" hidden="false" customHeight="true" outlineLevel="0" collapsed="false">
      <c r="B52" s="7"/>
      <c r="C52" s="7"/>
      <c r="D52" s="7"/>
      <c r="E52" s="71"/>
      <c r="F52" s="7"/>
      <c r="G52" s="7"/>
      <c r="H52" s="7"/>
      <c r="I52" s="145"/>
      <c r="J52" s="7"/>
      <c r="K52" s="7"/>
      <c r="L52" s="7"/>
      <c r="M52" s="7"/>
      <c r="N52" s="7"/>
      <c r="O52" s="7"/>
      <c r="P52" s="7"/>
      <c r="Q52" s="7"/>
      <c r="R52" s="146"/>
      <c r="S52" s="146"/>
      <c r="T52" s="7"/>
      <c r="U52" s="7"/>
    </row>
    <row r="53" customFormat="false" ht="18" hidden="false" customHeight="true" outlineLevel="0" collapsed="false">
      <c r="B53" s="87"/>
      <c r="C53" s="87"/>
      <c r="D53" s="87"/>
      <c r="E53" s="142"/>
      <c r="F53" s="87"/>
      <c r="G53" s="87"/>
      <c r="H53" s="87"/>
      <c r="I53" s="143"/>
      <c r="J53" s="87"/>
      <c r="K53" s="87"/>
      <c r="L53" s="87"/>
      <c r="M53" s="87"/>
      <c r="N53" s="87"/>
      <c r="O53" s="87"/>
      <c r="P53" s="87"/>
      <c r="Q53" s="87"/>
      <c r="R53" s="144"/>
      <c r="S53" s="144"/>
      <c r="T53" s="87"/>
      <c r="U53" s="87"/>
    </row>
    <row r="54" customFormat="false" ht="18" hidden="false" customHeight="true" outlineLevel="0" collapsed="false">
      <c r="B54" s="7"/>
      <c r="C54" s="7"/>
      <c r="D54" s="7"/>
      <c r="E54" s="71"/>
      <c r="F54" s="7"/>
      <c r="G54" s="7"/>
      <c r="H54" s="7"/>
      <c r="I54" s="145"/>
      <c r="J54" s="7"/>
      <c r="K54" s="7"/>
      <c r="L54" s="7"/>
      <c r="M54" s="7"/>
      <c r="N54" s="7"/>
      <c r="O54" s="7"/>
      <c r="P54" s="7"/>
      <c r="Q54" s="7"/>
      <c r="R54" s="146"/>
      <c r="S54" s="146"/>
      <c r="T54" s="7"/>
      <c r="U54" s="7"/>
    </row>
    <row r="55" customFormat="false" ht="18" hidden="false" customHeight="true" outlineLevel="0" collapsed="false">
      <c r="B55" s="87"/>
      <c r="C55" s="87"/>
      <c r="D55" s="87"/>
      <c r="E55" s="142"/>
      <c r="F55" s="87"/>
      <c r="G55" s="87"/>
      <c r="H55" s="87"/>
      <c r="I55" s="143"/>
      <c r="J55" s="87"/>
      <c r="K55" s="87"/>
      <c r="L55" s="87"/>
      <c r="M55" s="87"/>
      <c r="N55" s="87"/>
      <c r="O55" s="87"/>
      <c r="P55" s="87"/>
      <c r="Q55" s="87"/>
      <c r="R55" s="144"/>
      <c r="S55" s="144"/>
      <c r="T55" s="87"/>
      <c r="U55" s="87"/>
    </row>
    <row r="56" customFormat="false" ht="18" hidden="false" customHeight="true" outlineLevel="0" collapsed="false">
      <c r="B56" s="7"/>
      <c r="C56" s="7"/>
      <c r="D56" s="7"/>
      <c r="E56" s="71"/>
      <c r="F56" s="7"/>
      <c r="G56" s="7"/>
      <c r="H56" s="7"/>
      <c r="I56" s="145"/>
      <c r="J56" s="7"/>
      <c r="K56" s="7"/>
      <c r="L56" s="7"/>
      <c r="M56" s="7"/>
      <c r="N56" s="7"/>
      <c r="O56" s="7"/>
      <c r="P56" s="7"/>
      <c r="Q56" s="7"/>
      <c r="R56" s="146"/>
      <c r="S56" s="146"/>
      <c r="T56" s="7"/>
      <c r="U56" s="7"/>
    </row>
    <row r="57" customFormat="false" ht="18" hidden="false" customHeight="true" outlineLevel="0" collapsed="false">
      <c r="B57" s="87"/>
      <c r="C57" s="87"/>
      <c r="D57" s="87"/>
      <c r="E57" s="142"/>
      <c r="F57" s="87"/>
      <c r="G57" s="87"/>
      <c r="H57" s="87"/>
      <c r="I57" s="143"/>
      <c r="J57" s="87"/>
      <c r="K57" s="87"/>
      <c r="L57" s="87"/>
      <c r="M57" s="87"/>
      <c r="N57" s="87"/>
      <c r="O57" s="87"/>
      <c r="P57" s="87"/>
      <c r="Q57" s="87"/>
      <c r="R57" s="144"/>
      <c r="S57" s="144"/>
      <c r="T57" s="87"/>
      <c r="U57" s="87"/>
    </row>
    <row r="58" customFormat="false" ht="18" hidden="false" customHeight="true" outlineLevel="0" collapsed="false">
      <c r="B58" s="7"/>
      <c r="C58" s="7"/>
      <c r="D58" s="7"/>
      <c r="E58" s="71"/>
      <c r="F58" s="7"/>
      <c r="G58" s="7"/>
      <c r="H58" s="7"/>
      <c r="I58" s="145"/>
      <c r="J58" s="7"/>
      <c r="K58" s="7"/>
      <c r="L58" s="7"/>
      <c r="M58" s="7"/>
      <c r="N58" s="7"/>
      <c r="O58" s="7"/>
      <c r="P58" s="7"/>
      <c r="Q58" s="7"/>
      <c r="R58" s="146"/>
      <c r="S58" s="146"/>
      <c r="T58" s="7"/>
      <c r="U58" s="7"/>
    </row>
    <row r="59" customFormat="false" ht="18" hidden="false" customHeight="true" outlineLevel="0" collapsed="false">
      <c r="B59" s="87"/>
      <c r="C59" s="87"/>
      <c r="D59" s="87"/>
      <c r="E59" s="142"/>
      <c r="F59" s="87"/>
      <c r="G59" s="87"/>
      <c r="H59" s="87"/>
      <c r="I59" s="143"/>
      <c r="J59" s="87"/>
      <c r="K59" s="87"/>
      <c r="L59" s="87"/>
      <c r="M59" s="87"/>
      <c r="N59" s="87"/>
      <c r="O59" s="87"/>
      <c r="P59" s="87"/>
      <c r="Q59" s="87"/>
      <c r="R59" s="144"/>
      <c r="S59" s="144"/>
      <c r="T59" s="87"/>
      <c r="U59" s="87"/>
    </row>
    <row r="60" customFormat="false" ht="18" hidden="false" customHeight="true" outlineLevel="0" collapsed="false">
      <c r="B60" s="7"/>
      <c r="C60" s="7"/>
      <c r="D60" s="7"/>
      <c r="E60" s="71"/>
      <c r="F60" s="7"/>
      <c r="G60" s="7"/>
      <c r="H60" s="7"/>
      <c r="I60" s="145"/>
      <c r="J60" s="7"/>
      <c r="K60" s="7"/>
      <c r="L60" s="7"/>
      <c r="M60" s="7"/>
      <c r="N60" s="7"/>
      <c r="O60" s="7"/>
      <c r="P60" s="7"/>
      <c r="Q60" s="7"/>
      <c r="R60" s="146"/>
      <c r="S60" s="146"/>
      <c r="T60" s="7"/>
      <c r="U60" s="7"/>
    </row>
    <row r="61" customFormat="false" ht="18" hidden="false" customHeight="true" outlineLevel="0" collapsed="false">
      <c r="B61" s="87"/>
      <c r="C61" s="87"/>
      <c r="D61" s="87"/>
      <c r="E61" s="142"/>
      <c r="F61" s="87"/>
      <c r="G61" s="87"/>
      <c r="H61" s="87"/>
      <c r="I61" s="143"/>
      <c r="J61" s="87"/>
      <c r="K61" s="87"/>
      <c r="L61" s="87"/>
      <c r="M61" s="87"/>
      <c r="N61" s="87"/>
      <c r="O61" s="87"/>
      <c r="P61" s="87"/>
      <c r="Q61" s="87"/>
      <c r="R61" s="144"/>
      <c r="S61" s="144"/>
      <c r="T61" s="87"/>
      <c r="U61" s="87"/>
    </row>
    <row r="62" customFormat="false" ht="18" hidden="false" customHeight="true" outlineLevel="0" collapsed="false">
      <c r="B62" s="7"/>
      <c r="C62" s="7"/>
      <c r="D62" s="7"/>
      <c r="E62" s="71"/>
      <c r="F62" s="7"/>
      <c r="G62" s="7"/>
      <c r="H62" s="7"/>
      <c r="I62" s="145"/>
      <c r="J62" s="7"/>
      <c r="K62" s="7"/>
      <c r="L62" s="7"/>
      <c r="M62" s="7"/>
      <c r="N62" s="7"/>
      <c r="O62" s="7"/>
      <c r="P62" s="7"/>
      <c r="Q62" s="7"/>
      <c r="R62" s="146"/>
      <c r="S62" s="146"/>
      <c r="T62" s="7"/>
      <c r="U62" s="7"/>
    </row>
    <row r="63" customFormat="false" ht="18" hidden="false" customHeight="true" outlineLevel="0" collapsed="false">
      <c r="B63" s="87"/>
      <c r="C63" s="87"/>
      <c r="D63" s="87"/>
      <c r="E63" s="142"/>
      <c r="F63" s="87"/>
      <c r="G63" s="87"/>
      <c r="H63" s="87"/>
      <c r="I63" s="143"/>
      <c r="J63" s="87"/>
      <c r="K63" s="87"/>
      <c r="L63" s="87"/>
      <c r="M63" s="87"/>
      <c r="N63" s="87"/>
      <c r="O63" s="87"/>
      <c r="P63" s="87"/>
      <c r="Q63" s="87"/>
      <c r="R63" s="144"/>
      <c r="S63" s="144"/>
      <c r="T63" s="87"/>
      <c r="U63" s="87"/>
    </row>
    <row r="64" customFormat="false" ht="18" hidden="false" customHeight="true" outlineLevel="0" collapsed="false">
      <c r="B64" s="7"/>
      <c r="C64" s="7"/>
      <c r="D64" s="7"/>
      <c r="E64" s="71"/>
      <c r="F64" s="7"/>
      <c r="G64" s="7"/>
      <c r="H64" s="7"/>
      <c r="I64" s="145"/>
      <c r="J64" s="7"/>
      <c r="K64" s="7"/>
      <c r="L64" s="7"/>
      <c r="M64" s="7"/>
      <c r="N64" s="7"/>
      <c r="O64" s="7"/>
      <c r="P64" s="7"/>
      <c r="Q64" s="7"/>
      <c r="R64" s="146"/>
      <c r="S64" s="146"/>
      <c r="T64" s="7"/>
      <c r="U64" s="7"/>
    </row>
    <row r="65" customFormat="false" ht="18" hidden="false" customHeight="true" outlineLevel="0" collapsed="false">
      <c r="B65" s="87"/>
      <c r="C65" s="87"/>
      <c r="D65" s="87"/>
      <c r="E65" s="142"/>
      <c r="F65" s="87"/>
      <c r="G65" s="87"/>
      <c r="H65" s="87"/>
      <c r="I65" s="143"/>
      <c r="J65" s="87"/>
      <c r="K65" s="87"/>
      <c r="L65" s="87"/>
      <c r="M65" s="87"/>
      <c r="N65" s="87"/>
      <c r="O65" s="87"/>
      <c r="P65" s="87"/>
      <c r="Q65" s="87"/>
      <c r="R65" s="144"/>
      <c r="S65" s="144"/>
      <c r="T65" s="87"/>
      <c r="U65" s="87"/>
    </row>
    <row r="66" customFormat="false" ht="18" hidden="false" customHeight="true" outlineLevel="0" collapsed="false">
      <c r="B66" s="7"/>
      <c r="C66" s="7"/>
      <c r="D66" s="7"/>
      <c r="E66" s="71"/>
      <c r="F66" s="7"/>
      <c r="G66" s="7"/>
      <c r="H66" s="7"/>
      <c r="I66" s="145"/>
      <c r="J66" s="7"/>
      <c r="K66" s="7"/>
      <c r="L66" s="7"/>
      <c r="M66" s="7"/>
      <c r="N66" s="7"/>
      <c r="O66" s="7"/>
      <c r="P66" s="7"/>
      <c r="Q66" s="7"/>
      <c r="R66" s="146"/>
      <c r="S66" s="146"/>
      <c r="T66" s="7"/>
      <c r="U66" s="7"/>
    </row>
    <row r="67" customFormat="false" ht="18" hidden="false" customHeight="true" outlineLevel="0" collapsed="false">
      <c r="B67" s="87"/>
      <c r="C67" s="87"/>
      <c r="D67" s="87"/>
      <c r="E67" s="142"/>
      <c r="F67" s="87"/>
      <c r="G67" s="87"/>
      <c r="H67" s="87"/>
      <c r="I67" s="143"/>
      <c r="J67" s="87"/>
      <c r="K67" s="87"/>
      <c r="L67" s="87"/>
      <c r="M67" s="87"/>
      <c r="N67" s="87"/>
      <c r="O67" s="87"/>
      <c r="P67" s="87"/>
      <c r="Q67" s="87"/>
      <c r="R67" s="144"/>
      <c r="S67" s="144"/>
      <c r="T67" s="87"/>
      <c r="U67" s="87"/>
    </row>
    <row r="68" customFormat="false" ht="18" hidden="false" customHeight="true" outlineLevel="0" collapsed="false">
      <c r="B68" s="7"/>
      <c r="C68" s="7"/>
      <c r="D68" s="7"/>
      <c r="E68" s="71"/>
      <c r="F68" s="7"/>
      <c r="G68" s="7"/>
      <c r="H68" s="7"/>
      <c r="I68" s="145"/>
      <c r="J68" s="7"/>
      <c r="K68" s="7"/>
      <c r="L68" s="7"/>
      <c r="M68" s="7"/>
      <c r="N68" s="7"/>
      <c r="O68" s="7"/>
      <c r="P68" s="7"/>
      <c r="Q68" s="7"/>
      <c r="R68" s="146"/>
      <c r="S68" s="146"/>
      <c r="T68" s="7"/>
      <c r="U68" s="7"/>
    </row>
    <row r="69" customFormat="false" ht="18" hidden="false" customHeight="true" outlineLevel="0" collapsed="false">
      <c r="B69" s="87"/>
      <c r="C69" s="87"/>
      <c r="D69" s="87"/>
      <c r="E69" s="142"/>
      <c r="F69" s="87"/>
      <c r="G69" s="87"/>
      <c r="H69" s="87"/>
      <c r="I69" s="143"/>
      <c r="J69" s="87"/>
      <c r="K69" s="87"/>
      <c r="L69" s="87"/>
      <c r="M69" s="87"/>
      <c r="N69" s="87"/>
      <c r="O69" s="87"/>
      <c r="P69" s="87"/>
      <c r="Q69" s="87"/>
      <c r="R69" s="144"/>
      <c r="S69" s="144"/>
      <c r="T69" s="87"/>
      <c r="U69" s="87"/>
    </row>
    <row r="70" customFormat="false" ht="18" hidden="false" customHeight="true" outlineLevel="0" collapsed="false">
      <c r="B70" s="7"/>
      <c r="C70" s="7"/>
      <c r="D70" s="7"/>
      <c r="E70" s="71"/>
      <c r="F70" s="7"/>
      <c r="G70" s="7"/>
      <c r="H70" s="7"/>
      <c r="I70" s="145"/>
      <c r="J70" s="7"/>
      <c r="K70" s="7"/>
      <c r="L70" s="7"/>
      <c r="M70" s="7"/>
      <c r="N70" s="7"/>
      <c r="O70" s="7"/>
      <c r="P70" s="7"/>
      <c r="Q70" s="7"/>
      <c r="R70" s="146"/>
      <c r="S70" s="146"/>
      <c r="T70" s="7"/>
      <c r="U70" s="7"/>
    </row>
    <row r="71" customFormat="false" ht="18" hidden="false" customHeight="true" outlineLevel="0" collapsed="false">
      <c r="B71" s="87"/>
      <c r="C71" s="87"/>
      <c r="D71" s="87"/>
      <c r="E71" s="142"/>
      <c r="F71" s="87"/>
      <c r="G71" s="87"/>
      <c r="H71" s="87"/>
      <c r="I71" s="143"/>
      <c r="J71" s="87"/>
      <c r="K71" s="87"/>
      <c r="L71" s="87"/>
      <c r="M71" s="87"/>
      <c r="N71" s="87"/>
      <c r="O71" s="87"/>
      <c r="P71" s="87"/>
      <c r="Q71" s="87"/>
      <c r="R71" s="144"/>
      <c r="S71" s="144"/>
      <c r="T71" s="87"/>
      <c r="U71" s="87"/>
    </row>
    <row r="72" customFormat="false" ht="18" hidden="false" customHeight="true" outlineLevel="0" collapsed="false">
      <c r="B72" s="7"/>
      <c r="C72" s="7"/>
      <c r="D72" s="7"/>
      <c r="E72" s="71"/>
      <c r="F72" s="7"/>
      <c r="G72" s="7"/>
      <c r="H72" s="7"/>
      <c r="I72" s="145"/>
      <c r="J72" s="7"/>
      <c r="K72" s="7"/>
      <c r="L72" s="7"/>
      <c r="M72" s="7"/>
      <c r="N72" s="7"/>
      <c r="O72" s="7"/>
      <c r="P72" s="7"/>
      <c r="Q72" s="7"/>
      <c r="R72" s="146"/>
      <c r="S72" s="146"/>
      <c r="T72" s="7"/>
      <c r="U72" s="7"/>
    </row>
    <row r="73" customFormat="false" ht="18" hidden="false" customHeight="true" outlineLevel="0" collapsed="false">
      <c r="B73" s="87"/>
      <c r="C73" s="87"/>
      <c r="D73" s="87"/>
      <c r="E73" s="142"/>
      <c r="F73" s="87"/>
      <c r="G73" s="87"/>
      <c r="H73" s="87"/>
      <c r="I73" s="143"/>
      <c r="J73" s="87"/>
      <c r="K73" s="87"/>
      <c r="L73" s="87"/>
      <c r="M73" s="87"/>
      <c r="N73" s="87"/>
      <c r="O73" s="87"/>
      <c r="P73" s="87"/>
      <c r="Q73" s="87"/>
      <c r="R73" s="144"/>
      <c r="S73" s="144"/>
      <c r="T73" s="87"/>
      <c r="U73" s="87"/>
    </row>
    <row r="74" customFormat="false" ht="18" hidden="false" customHeight="true" outlineLevel="0" collapsed="false">
      <c r="B74" s="7"/>
      <c r="C74" s="7"/>
      <c r="D74" s="7"/>
      <c r="E74" s="71"/>
      <c r="F74" s="7"/>
      <c r="G74" s="7"/>
      <c r="H74" s="7"/>
      <c r="I74" s="145"/>
      <c r="J74" s="7"/>
      <c r="K74" s="7"/>
      <c r="L74" s="7"/>
      <c r="M74" s="7"/>
      <c r="N74" s="7"/>
      <c r="O74" s="7"/>
      <c r="P74" s="7"/>
      <c r="Q74" s="7"/>
      <c r="R74" s="146"/>
      <c r="S74" s="146"/>
      <c r="T74" s="7"/>
      <c r="U74" s="7"/>
    </row>
    <row r="75" customFormat="false" ht="18" hidden="false" customHeight="true" outlineLevel="0" collapsed="false">
      <c r="B75" s="87"/>
      <c r="C75" s="87"/>
      <c r="D75" s="87"/>
      <c r="E75" s="142"/>
      <c r="F75" s="87"/>
      <c r="G75" s="87"/>
      <c r="H75" s="87"/>
      <c r="I75" s="143"/>
      <c r="J75" s="87"/>
      <c r="K75" s="87"/>
      <c r="L75" s="87"/>
      <c r="M75" s="87"/>
      <c r="N75" s="87"/>
      <c r="O75" s="87"/>
      <c r="P75" s="87"/>
      <c r="Q75" s="87"/>
      <c r="R75" s="144"/>
      <c r="S75" s="144"/>
      <c r="T75" s="87"/>
      <c r="U75" s="87"/>
    </row>
    <row r="76" customFormat="false" ht="18" hidden="false" customHeight="true" outlineLevel="0" collapsed="false">
      <c r="B76" s="7"/>
      <c r="C76" s="7"/>
      <c r="D76" s="7"/>
      <c r="E76" s="71"/>
      <c r="F76" s="7"/>
      <c r="G76" s="7"/>
      <c r="H76" s="7"/>
      <c r="I76" s="145"/>
      <c r="J76" s="7"/>
      <c r="K76" s="7"/>
      <c r="L76" s="7"/>
      <c r="M76" s="7"/>
      <c r="N76" s="7"/>
      <c r="O76" s="7"/>
      <c r="P76" s="7"/>
      <c r="Q76" s="7"/>
      <c r="R76" s="146"/>
      <c r="S76" s="146"/>
      <c r="T76" s="7"/>
      <c r="U76" s="7"/>
    </row>
    <row r="77" customFormat="false" ht="18" hidden="false" customHeight="true" outlineLevel="0" collapsed="false">
      <c r="B77" s="87"/>
      <c r="C77" s="87"/>
      <c r="D77" s="87"/>
      <c r="E77" s="142"/>
      <c r="F77" s="87"/>
      <c r="G77" s="87"/>
      <c r="H77" s="87"/>
      <c r="I77" s="143"/>
      <c r="J77" s="87"/>
      <c r="K77" s="87"/>
      <c r="L77" s="87"/>
      <c r="M77" s="87"/>
      <c r="N77" s="87"/>
      <c r="O77" s="87"/>
      <c r="P77" s="87"/>
      <c r="Q77" s="87"/>
      <c r="R77" s="144"/>
      <c r="S77" s="144"/>
      <c r="T77" s="87"/>
      <c r="U77" s="87"/>
    </row>
    <row r="78" customFormat="false" ht="18" hidden="false" customHeight="true" outlineLevel="0" collapsed="false">
      <c r="B78" s="7"/>
      <c r="C78" s="7"/>
      <c r="D78" s="7"/>
      <c r="E78" s="71"/>
      <c r="F78" s="7"/>
      <c r="G78" s="7"/>
      <c r="H78" s="7"/>
      <c r="I78" s="145"/>
      <c r="J78" s="7"/>
      <c r="K78" s="7"/>
      <c r="L78" s="7"/>
      <c r="M78" s="7"/>
      <c r="N78" s="7"/>
      <c r="O78" s="7"/>
      <c r="P78" s="7"/>
      <c r="Q78" s="7"/>
      <c r="R78" s="146"/>
      <c r="S78" s="146"/>
      <c r="T78" s="7"/>
      <c r="U78" s="7"/>
    </row>
    <row r="79" customFormat="false" ht="18" hidden="false" customHeight="true" outlineLevel="0" collapsed="false">
      <c r="B79" s="87"/>
      <c r="C79" s="87"/>
      <c r="D79" s="87"/>
      <c r="E79" s="142"/>
      <c r="F79" s="87"/>
      <c r="G79" s="87"/>
      <c r="H79" s="87"/>
      <c r="I79" s="143"/>
      <c r="J79" s="87"/>
      <c r="K79" s="87"/>
      <c r="L79" s="87"/>
      <c r="M79" s="87"/>
      <c r="N79" s="87"/>
      <c r="O79" s="87"/>
      <c r="P79" s="87"/>
      <c r="Q79" s="87"/>
      <c r="R79" s="144"/>
      <c r="S79" s="144"/>
      <c r="T79" s="87"/>
      <c r="U79" s="87"/>
    </row>
    <row r="80" customFormat="false" ht="18" hidden="false" customHeight="true" outlineLevel="0" collapsed="false">
      <c r="B80" s="7"/>
      <c r="C80" s="7"/>
      <c r="D80" s="7"/>
      <c r="E80" s="71"/>
      <c r="F80" s="7"/>
      <c r="G80" s="7"/>
      <c r="H80" s="7"/>
      <c r="I80" s="145"/>
      <c r="J80" s="7"/>
      <c r="K80" s="7"/>
      <c r="L80" s="7"/>
      <c r="M80" s="7"/>
      <c r="N80" s="7"/>
      <c r="O80" s="7"/>
      <c r="P80" s="7"/>
      <c r="Q80" s="7"/>
      <c r="R80" s="146"/>
      <c r="S80" s="146"/>
      <c r="T80" s="7"/>
      <c r="U80" s="7"/>
    </row>
    <row r="81" customFormat="false" ht="18" hidden="false" customHeight="true" outlineLevel="0" collapsed="false">
      <c r="B81" s="87"/>
      <c r="C81" s="87"/>
      <c r="D81" s="87"/>
      <c r="E81" s="142"/>
      <c r="F81" s="87"/>
      <c r="G81" s="87"/>
      <c r="H81" s="87"/>
      <c r="I81" s="143"/>
      <c r="J81" s="87"/>
      <c r="K81" s="87"/>
      <c r="L81" s="87"/>
      <c r="M81" s="87"/>
      <c r="N81" s="87"/>
      <c r="O81" s="87"/>
      <c r="P81" s="87"/>
      <c r="Q81" s="87"/>
      <c r="R81" s="144"/>
      <c r="S81" s="144"/>
      <c r="T81" s="87"/>
      <c r="U81" s="87"/>
    </row>
    <row r="82" customFormat="false" ht="18" hidden="false" customHeight="true" outlineLevel="0" collapsed="false">
      <c r="B82" s="7"/>
      <c r="C82" s="7"/>
      <c r="D82" s="7"/>
      <c r="E82" s="71"/>
      <c r="F82" s="7"/>
      <c r="G82" s="7"/>
      <c r="H82" s="7"/>
      <c r="I82" s="145"/>
      <c r="J82" s="7"/>
      <c r="K82" s="7"/>
      <c r="L82" s="7"/>
      <c r="M82" s="7"/>
      <c r="N82" s="7"/>
      <c r="O82" s="7"/>
      <c r="P82" s="7"/>
      <c r="Q82" s="7"/>
      <c r="R82" s="146"/>
      <c r="S82" s="146"/>
      <c r="T82" s="7"/>
      <c r="U82" s="7"/>
    </row>
    <row r="83" customFormat="false" ht="18" hidden="false" customHeight="true" outlineLevel="0" collapsed="false">
      <c r="B83" s="87"/>
      <c r="C83" s="87"/>
      <c r="D83" s="87"/>
      <c r="E83" s="142"/>
      <c r="F83" s="87"/>
      <c r="G83" s="87"/>
      <c r="H83" s="87"/>
      <c r="I83" s="143"/>
      <c r="J83" s="87"/>
      <c r="K83" s="87"/>
      <c r="L83" s="87"/>
      <c r="M83" s="87"/>
      <c r="N83" s="87"/>
      <c r="O83" s="87"/>
      <c r="P83" s="87"/>
      <c r="Q83" s="87"/>
      <c r="R83" s="144"/>
      <c r="S83" s="144"/>
      <c r="T83" s="87"/>
      <c r="U83" s="87"/>
    </row>
    <row r="84" customFormat="false" ht="18" hidden="false" customHeight="true" outlineLevel="0" collapsed="false">
      <c r="B84" s="7"/>
      <c r="C84" s="7"/>
      <c r="D84" s="7"/>
      <c r="E84" s="71"/>
      <c r="F84" s="7"/>
      <c r="G84" s="7"/>
      <c r="H84" s="7"/>
      <c r="I84" s="145"/>
      <c r="J84" s="7"/>
      <c r="K84" s="7"/>
      <c r="L84" s="7"/>
      <c r="M84" s="7"/>
      <c r="N84" s="7"/>
      <c r="O84" s="7"/>
      <c r="P84" s="7"/>
      <c r="Q84" s="7"/>
      <c r="R84" s="146"/>
      <c r="S84" s="146"/>
      <c r="T84" s="7"/>
      <c r="U84" s="7"/>
    </row>
    <row r="85" customFormat="false" ht="18" hidden="false" customHeight="true" outlineLevel="0" collapsed="false">
      <c r="B85" s="87"/>
      <c r="C85" s="87"/>
      <c r="D85" s="87"/>
      <c r="E85" s="142"/>
      <c r="F85" s="87"/>
      <c r="G85" s="87"/>
      <c r="H85" s="87"/>
      <c r="I85" s="143"/>
      <c r="J85" s="87"/>
      <c r="K85" s="87"/>
      <c r="L85" s="87"/>
      <c r="M85" s="87"/>
      <c r="N85" s="87"/>
      <c r="O85" s="87"/>
      <c r="P85" s="87"/>
      <c r="Q85" s="87"/>
      <c r="R85" s="144"/>
      <c r="S85" s="144"/>
      <c r="T85" s="87"/>
      <c r="U85" s="87"/>
    </row>
    <row r="86" customFormat="false" ht="18" hidden="false" customHeight="true" outlineLevel="0" collapsed="false">
      <c r="B86" s="7"/>
      <c r="C86" s="7"/>
      <c r="D86" s="7"/>
      <c r="E86" s="71"/>
      <c r="F86" s="7"/>
      <c r="G86" s="7"/>
      <c r="H86" s="7"/>
      <c r="I86" s="145"/>
      <c r="J86" s="7"/>
      <c r="K86" s="7"/>
      <c r="L86" s="7"/>
      <c r="M86" s="7"/>
      <c r="N86" s="7"/>
      <c r="O86" s="7"/>
      <c r="P86" s="7"/>
      <c r="Q86" s="7"/>
      <c r="R86" s="146"/>
      <c r="S86" s="146"/>
      <c r="T86" s="7"/>
      <c r="U86" s="7"/>
    </row>
    <row r="87" customFormat="false" ht="18" hidden="false" customHeight="true" outlineLevel="0" collapsed="false">
      <c r="B87" s="87"/>
      <c r="C87" s="87"/>
      <c r="D87" s="87"/>
      <c r="E87" s="142"/>
      <c r="F87" s="87"/>
      <c r="G87" s="87"/>
      <c r="H87" s="87"/>
      <c r="I87" s="143"/>
      <c r="J87" s="87"/>
      <c r="K87" s="87"/>
      <c r="L87" s="87"/>
      <c r="M87" s="87"/>
      <c r="N87" s="87"/>
      <c r="O87" s="87"/>
      <c r="P87" s="87"/>
      <c r="Q87" s="87"/>
      <c r="R87" s="144"/>
      <c r="S87" s="144"/>
      <c r="T87" s="87"/>
      <c r="U87" s="87"/>
    </row>
    <row r="88" customFormat="false" ht="18" hidden="false" customHeight="true" outlineLevel="0" collapsed="false">
      <c r="B88" s="7"/>
      <c r="C88" s="7"/>
      <c r="D88" s="7"/>
      <c r="E88" s="71"/>
      <c r="F88" s="7"/>
      <c r="G88" s="7"/>
      <c r="H88" s="7"/>
      <c r="I88" s="145"/>
      <c r="J88" s="7"/>
      <c r="K88" s="7"/>
      <c r="L88" s="7"/>
      <c r="M88" s="7"/>
      <c r="N88" s="7"/>
      <c r="O88" s="7"/>
      <c r="P88" s="7"/>
      <c r="Q88" s="7"/>
      <c r="R88" s="146"/>
      <c r="S88" s="146"/>
      <c r="T88" s="7"/>
      <c r="U88" s="7"/>
    </row>
    <row r="89" customFormat="false" ht="18" hidden="false" customHeight="true" outlineLevel="0" collapsed="false">
      <c r="B89" s="87"/>
      <c r="C89" s="87"/>
      <c r="D89" s="87"/>
      <c r="E89" s="142"/>
      <c r="F89" s="87"/>
      <c r="G89" s="87"/>
      <c r="H89" s="87"/>
      <c r="I89" s="143"/>
      <c r="J89" s="87"/>
      <c r="K89" s="87"/>
      <c r="L89" s="87"/>
      <c r="M89" s="87"/>
      <c r="N89" s="87"/>
      <c r="O89" s="87"/>
      <c r="P89" s="87"/>
      <c r="Q89" s="87"/>
      <c r="R89" s="144"/>
      <c r="S89" s="144"/>
      <c r="T89" s="87"/>
      <c r="U89" s="87"/>
    </row>
    <row r="90" customFormat="false" ht="18" hidden="false" customHeight="true" outlineLevel="0" collapsed="false">
      <c r="B90" s="7"/>
      <c r="C90" s="7"/>
      <c r="D90" s="7"/>
      <c r="E90" s="71"/>
      <c r="F90" s="7"/>
      <c r="G90" s="7"/>
      <c r="H90" s="7"/>
      <c r="I90" s="145"/>
      <c r="J90" s="7"/>
      <c r="K90" s="7"/>
      <c r="L90" s="7"/>
      <c r="M90" s="7"/>
      <c r="N90" s="7"/>
      <c r="O90" s="7"/>
      <c r="P90" s="7"/>
      <c r="Q90" s="7"/>
      <c r="R90" s="146"/>
      <c r="S90" s="146"/>
      <c r="T90" s="7"/>
      <c r="U90" s="7"/>
    </row>
    <row r="91" customFormat="false" ht="18" hidden="false" customHeight="true" outlineLevel="0" collapsed="false">
      <c r="B91" s="87"/>
      <c r="C91" s="87"/>
      <c r="D91" s="87"/>
      <c r="E91" s="142"/>
      <c r="F91" s="87"/>
      <c r="G91" s="87"/>
      <c r="H91" s="87"/>
      <c r="I91" s="143"/>
      <c r="J91" s="87"/>
      <c r="K91" s="87"/>
      <c r="L91" s="87"/>
      <c r="M91" s="87"/>
      <c r="N91" s="87"/>
      <c r="O91" s="87"/>
      <c r="P91" s="87"/>
      <c r="Q91" s="87"/>
      <c r="R91" s="144"/>
      <c r="S91" s="144"/>
      <c r="T91" s="87"/>
      <c r="U91" s="87"/>
    </row>
    <row r="92" customFormat="false" ht="18" hidden="false" customHeight="true" outlineLevel="0" collapsed="false">
      <c r="B92" s="7"/>
      <c r="C92" s="7"/>
      <c r="D92" s="7"/>
      <c r="E92" s="71"/>
      <c r="F92" s="7"/>
      <c r="G92" s="7"/>
      <c r="H92" s="7"/>
      <c r="I92" s="145"/>
      <c r="J92" s="7"/>
      <c r="K92" s="7"/>
      <c r="L92" s="7"/>
      <c r="M92" s="7"/>
      <c r="N92" s="7"/>
      <c r="O92" s="7"/>
      <c r="P92" s="7"/>
      <c r="Q92" s="7"/>
      <c r="R92" s="146"/>
      <c r="S92" s="146"/>
      <c r="T92" s="7"/>
      <c r="U92" s="7"/>
    </row>
    <row r="93" customFormat="false" ht="18" hidden="false" customHeight="true" outlineLevel="0" collapsed="false">
      <c r="B93" s="87"/>
      <c r="C93" s="87"/>
      <c r="D93" s="87"/>
      <c r="E93" s="142"/>
      <c r="F93" s="87"/>
      <c r="G93" s="87"/>
      <c r="H93" s="87"/>
      <c r="I93" s="143"/>
      <c r="J93" s="87"/>
      <c r="K93" s="87"/>
      <c r="L93" s="87"/>
      <c r="M93" s="87"/>
      <c r="N93" s="87"/>
      <c r="O93" s="87"/>
      <c r="P93" s="87"/>
      <c r="Q93" s="87"/>
      <c r="R93" s="144"/>
      <c r="S93" s="144"/>
      <c r="T93" s="87"/>
      <c r="U93" s="87"/>
    </row>
    <row r="94" customFormat="false" ht="18" hidden="false" customHeight="true" outlineLevel="0" collapsed="false">
      <c r="B94" s="7"/>
      <c r="C94" s="7"/>
      <c r="D94" s="7"/>
      <c r="E94" s="71"/>
      <c r="F94" s="7"/>
      <c r="G94" s="7"/>
      <c r="H94" s="7"/>
      <c r="I94" s="145"/>
      <c r="J94" s="7"/>
      <c r="K94" s="7"/>
      <c r="L94" s="7"/>
      <c r="M94" s="7"/>
      <c r="N94" s="7"/>
      <c r="O94" s="7"/>
      <c r="P94" s="7"/>
      <c r="Q94" s="7"/>
      <c r="R94" s="146"/>
      <c r="S94" s="146"/>
      <c r="T94" s="7"/>
      <c r="U94" s="7"/>
    </row>
    <row r="95" customFormat="false" ht="18" hidden="false" customHeight="true" outlineLevel="0" collapsed="false">
      <c r="B95" s="87"/>
      <c r="C95" s="87"/>
      <c r="D95" s="87"/>
      <c r="E95" s="142"/>
      <c r="F95" s="87"/>
      <c r="G95" s="87"/>
      <c r="H95" s="87"/>
      <c r="I95" s="143"/>
      <c r="J95" s="87"/>
      <c r="K95" s="87"/>
      <c r="L95" s="87"/>
      <c r="M95" s="87"/>
      <c r="N95" s="87"/>
      <c r="O95" s="87"/>
      <c r="P95" s="87"/>
      <c r="Q95" s="87"/>
      <c r="R95" s="144"/>
      <c r="S95" s="144"/>
      <c r="T95" s="87"/>
      <c r="U95" s="87"/>
    </row>
    <row r="96" customFormat="false" ht="18" hidden="false" customHeight="true" outlineLevel="0" collapsed="false">
      <c r="B96" s="7"/>
      <c r="C96" s="7"/>
      <c r="D96" s="7"/>
      <c r="E96" s="71"/>
      <c r="F96" s="7"/>
      <c r="G96" s="7"/>
      <c r="H96" s="7"/>
      <c r="I96" s="145"/>
      <c r="J96" s="7"/>
      <c r="K96" s="7"/>
      <c r="L96" s="7"/>
      <c r="M96" s="7"/>
      <c r="N96" s="7"/>
      <c r="O96" s="7"/>
      <c r="P96" s="7"/>
      <c r="Q96" s="7"/>
      <c r="R96" s="146"/>
      <c r="S96" s="146"/>
      <c r="T96" s="7"/>
      <c r="U96" s="7"/>
    </row>
    <row r="97" customFormat="false" ht="18" hidden="false" customHeight="true" outlineLevel="0" collapsed="false">
      <c r="B97" s="87"/>
      <c r="C97" s="87"/>
      <c r="D97" s="87"/>
      <c r="E97" s="142"/>
      <c r="F97" s="87"/>
      <c r="G97" s="87"/>
      <c r="H97" s="87"/>
      <c r="I97" s="143"/>
      <c r="J97" s="87"/>
      <c r="K97" s="87"/>
      <c r="L97" s="87"/>
      <c r="M97" s="87"/>
      <c r="N97" s="87"/>
      <c r="O97" s="87"/>
      <c r="P97" s="87"/>
      <c r="Q97" s="87"/>
      <c r="R97" s="144"/>
      <c r="S97" s="144"/>
      <c r="T97" s="87"/>
      <c r="U97" s="87"/>
    </row>
    <row r="98" customFormat="false" ht="18" hidden="false" customHeight="true" outlineLevel="0" collapsed="false">
      <c r="B98" s="7"/>
      <c r="C98" s="7"/>
      <c r="D98" s="7"/>
      <c r="E98" s="71"/>
      <c r="F98" s="7"/>
      <c r="G98" s="7"/>
      <c r="H98" s="7"/>
      <c r="I98" s="145"/>
      <c r="J98" s="7"/>
      <c r="K98" s="7"/>
      <c r="L98" s="7"/>
      <c r="M98" s="7"/>
      <c r="N98" s="7"/>
      <c r="O98" s="7"/>
      <c r="P98" s="7"/>
      <c r="Q98" s="7"/>
      <c r="R98" s="146"/>
      <c r="S98" s="146"/>
      <c r="T98" s="7"/>
      <c r="U98" s="7"/>
    </row>
    <row r="99" customFormat="false" ht="18" hidden="false" customHeight="true" outlineLevel="0" collapsed="false">
      <c r="B99" s="87"/>
      <c r="C99" s="87"/>
      <c r="D99" s="87"/>
      <c r="E99" s="142"/>
      <c r="F99" s="87"/>
      <c r="G99" s="87"/>
      <c r="H99" s="87"/>
      <c r="I99" s="143"/>
      <c r="J99" s="87"/>
      <c r="K99" s="87"/>
      <c r="L99" s="87"/>
      <c r="M99" s="87"/>
      <c r="N99" s="87"/>
      <c r="O99" s="87"/>
      <c r="P99" s="87"/>
      <c r="Q99" s="87"/>
      <c r="R99" s="144"/>
      <c r="S99" s="144"/>
      <c r="T99" s="87"/>
      <c r="U99" s="87"/>
    </row>
    <row r="100" customFormat="false" ht="18" hidden="false" customHeight="true" outlineLevel="0" collapsed="false">
      <c r="B100" s="7"/>
      <c r="C100" s="7"/>
      <c r="D100" s="7"/>
      <c r="E100" s="71"/>
      <c r="F100" s="7"/>
      <c r="G100" s="7"/>
      <c r="H100" s="7"/>
      <c r="I100" s="145"/>
      <c r="J100" s="7"/>
      <c r="K100" s="7"/>
      <c r="L100" s="7"/>
      <c r="M100" s="7"/>
      <c r="N100" s="7"/>
      <c r="O100" s="7"/>
      <c r="P100" s="7"/>
      <c r="Q100" s="7"/>
      <c r="R100" s="146"/>
      <c r="S100" s="146"/>
      <c r="T100" s="7"/>
      <c r="U100" s="7"/>
    </row>
    <row r="101" customFormat="false" ht="18" hidden="false" customHeight="true" outlineLevel="0" collapsed="false">
      <c r="B101" s="87"/>
      <c r="C101" s="87"/>
      <c r="D101" s="87"/>
      <c r="E101" s="142"/>
      <c r="F101" s="87"/>
      <c r="G101" s="87"/>
      <c r="H101" s="87"/>
      <c r="I101" s="143"/>
      <c r="J101" s="87"/>
      <c r="K101" s="87"/>
      <c r="L101" s="87"/>
      <c r="M101" s="87"/>
      <c r="N101" s="87"/>
      <c r="O101" s="87"/>
      <c r="P101" s="87"/>
      <c r="Q101" s="87"/>
      <c r="R101" s="144"/>
      <c r="S101" s="144"/>
      <c r="T101" s="87"/>
      <c r="U101" s="87"/>
    </row>
    <row r="102" customFormat="false" ht="18" hidden="false" customHeight="true" outlineLevel="0" collapsed="false">
      <c r="B102" s="7"/>
      <c r="C102" s="7"/>
      <c r="D102" s="7"/>
      <c r="E102" s="71"/>
      <c r="F102" s="7"/>
      <c r="G102" s="7"/>
      <c r="H102" s="7"/>
      <c r="I102" s="145"/>
      <c r="J102" s="7"/>
      <c r="K102" s="7"/>
      <c r="L102" s="7"/>
      <c r="M102" s="7"/>
      <c r="N102" s="7"/>
      <c r="O102" s="7"/>
      <c r="P102" s="7"/>
      <c r="Q102" s="7"/>
      <c r="R102" s="146"/>
      <c r="S102" s="146"/>
      <c r="T102" s="7"/>
      <c r="U102" s="7"/>
    </row>
    <row r="103" customFormat="false" ht="18" hidden="false" customHeight="true" outlineLevel="0" collapsed="false">
      <c r="B103" s="87"/>
      <c r="C103" s="87"/>
      <c r="D103" s="87"/>
      <c r="E103" s="142"/>
      <c r="F103" s="87"/>
      <c r="G103" s="87"/>
      <c r="H103" s="87"/>
      <c r="I103" s="143"/>
      <c r="J103" s="87"/>
      <c r="K103" s="87"/>
      <c r="L103" s="87"/>
      <c r="M103" s="87"/>
      <c r="N103" s="87"/>
      <c r="O103" s="87"/>
      <c r="P103" s="87"/>
      <c r="Q103" s="87"/>
      <c r="R103" s="144"/>
      <c r="S103" s="144"/>
      <c r="T103" s="87"/>
      <c r="U103" s="87"/>
    </row>
    <row r="104" customFormat="false" ht="18" hidden="false" customHeight="true" outlineLevel="0" collapsed="false">
      <c r="B104" s="7"/>
      <c r="C104" s="7"/>
      <c r="D104" s="7"/>
      <c r="E104" s="71"/>
      <c r="F104" s="7"/>
      <c r="G104" s="7"/>
      <c r="H104" s="7"/>
      <c r="I104" s="145"/>
      <c r="J104" s="7"/>
      <c r="K104" s="7"/>
      <c r="L104" s="7"/>
      <c r="M104" s="7"/>
      <c r="N104" s="7"/>
      <c r="O104" s="7"/>
      <c r="P104" s="7"/>
      <c r="Q104" s="7"/>
      <c r="R104" s="146"/>
      <c r="S104" s="146"/>
      <c r="T104" s="7"/>
      <c r="U104" s="7"/>
    </row>
    <row r="105" customFormat="false" ht="18" hidden="false" customHeight="true" outlineLevel="0" collapsed="false">
      <c r="B105" s="87"/>
      <c r="C105" s="87"/>
      <c r="D105" s="87"/>
      <c r="E105" s="142"/>
      <c r="F105" s="87"/>
      <c r="G105" s="87"/>
      <c r="H105" s="87"/>
      <c r="I105" s="143"/>
      <c r="J105" s="87"/>
      <c r="K105" s="87"/>
      <c r="L105" s="87"/>
      <c r="M105" s="87"/>
      <c r="N105" s="87"/>
      <c r="O105" s="87"/>
      <c r="P105" s="87"/>
      <c r="Q105" s="87"/>
      <c r="R105" s="144"/>
      <c r="S105" s="144"/>
      <c r="T105" s="87"/>
      <c r="U105" s="87"/>
    </row>
    <row r="106" customFormat="false" ht="18" hidden="false" customHeight="true" outlineLevel="0" collapsed="false">
      <c r="B106" s="7"/>
      <c r="C106" s="7"/>
      <c r="D106" s="7"/>
      <c r="E106" s="71"/>
      <c r="F106" s="7"/>
      <c r="G106" s="7"/>
      <c r="H106" s="7"/>
      <c r="I106" s="145"/>
      <c r="J106" s="7"/>
      <c r="K106" s="7"/>
      <c r="L106" s="7"/>
      <c r="M106" s="7"/>
      <c r="N106" s="7"/>
      <c r="O106" s="7"/>
      <c r="P106" s="7"/>
      <c r="Q106" s="7"/>
      <c r="R106" s="146"/>
      <c r="S106" s="146"/>
      <c r="T106" s="7"/>
      <c r="U106" s="7"/>
    </row>
    <row r="107" customFormat="false" ht="18" hidden="false" customHeight="true" outlineLevel="0" collapsed="false">
      <c r="B107" s="87"/>
      <c r="C107" s="87"/>
      <c r="D107" s="87"/>
      <c r="E107" s="142"/>
      <c r="F107" s="87"/>
      <c r="G107" s="87"/>
      <c r="H107" s="87"/>
      <c r="I107" s="143"/>
      <c r="J107" s="87"/>
      <c r="K107" s="87"/>
      <c r="L107" s="87"/>
      <c r="M107" s="87"/>
      <c r="N107" s="87"/>
      <c r="O107" s="87"/>
      <c r="P107" s="87"/>
      <c r="Q107" s="87"/>
      <c r="R107" s="144"/>
      <c r="S107" s="144"/>
      <c r="T107" s="87"/>
      <c r="U107" s="87"/>
    </row>
    <row r="108" customFormat="false" ht="18" hidden="false" customHeight="true" outlineLevel="0" collapsed="false">
      <c r="B108" s="7"/>
      <c r="C108" s="7"/>
      <c r="D108" s="7"/>
      <c r="E108" s="71"/>
      <c r="F108" s="7"/>
      <c r="G108" s="7"/>
      <c r="H108" s="7"/>
      <c r="I108" s="145"/>
      <c r="J108" s="7"/>
      <c r="K108" s="7"/>
      <c r="L108" s="7"/>
      <c r="M108" s="7"/>
      <c r="N108" s="7"/>
      <c r="O108" s="7"/>
      <c r="P108" s="7"/>
      <c r="Q108" s="7"/>
      <c r="R108" s="146"/>
      <c r="S108" s="146"/>
      <c r="T108" s="7"/>
      <c r="U108" s="7"/>
    </row>
    <row r="109" customFormat="false" ht="18" hidden="false" customHeight="true" outlineLevel="0" collapsed="false">
      <c r="B109" s="87"/>
      <c r="C109" s="87"/>
      <c r="D109" s="87"/>
      <c r="E109" s="142"/>
      <c r="F109" s="87"/>
      <c r="G109" s="87"/>
      <c r="H109" s="87"/>
      <c r="I109" s="143"/>
      <c r="J109" s="87"/>
      <c r="K109" s="87"/>
      <c r="L109" s="87"/>
      <c r="M109" s="87"/>
      <c r="N109" s="87"/>
      <c r="O109" s="87"/>
      <c r="P109" s="87"/>
      <c r="Q109" s="87"/>
      <c r="R109" s="144"/>
      <c r="S109" s="144"/>
      <c r="T109" s="87"/>
      <c r="U109" s="87"/>
    </row>
    <row r="110" customFormat="false" ht="18" hidden="false" customHeight="true" outlineLevel="0" collapsed="false">
      <c r="B110" s="7"/>
      <c r="C110" s="7"/>
      <c r="D110" s="7"/>
      <c r="E110" s="71"/>
      <c r="F110" s="7"/>
      <c r="G110" s="7"/>
      <c r="H110" s="7"/>
      <c r="I110" s="145"/>
      <c r="J110" s="7"/>
      <c r="K110" s="7"/>
      <c r="L110" s="7"/>
      <c r="M110" s="7"/>
      <c r="N110" s="7"/>
      <c r="O110" s="7"/>
      <c r="P110" s="7"/>
      <c r="Q110" s="7"/>
      <c r="R110" s="146"/>
      <c r="S110" s="146"/>
      <c r="T110" s="7"/>
      <c r="U110" s="7"/>
    </row>
    <row r="111" customFormat="false" ht="18" hidden="false" customHeight="true" outlineLevel="0" collapsed="false">
      <c r="B111" s="87"/>
      <c r="C111" s="87"/>
      <c r="D111" s="87"/>
      <c r="E111" s="142"/>
      <c r="F111" s="87"/>
      <c r="G111" s="87"/>
      <c r="H111" s="87"/>
      <c r="I111" s="143"/>
      <c r="J111" s="87"/>
      <c r="K111" s="87"/>
      <c r="L111" s="87"/>
      <c r="M111" s="87"/>
      <c r="N111" s="87"/>
      <c r="O111" s="87"/>
      <c r="P111" s="87"/>
      <c r="Q111" s="87"/>
      <c r="R111" s="144"/>
      <c r="S111" s="144"/>
      <c r="T111" s="87"/>
      <c r="U111" s="87"/>
    </row>
    <row r="112" customFormat="false" ht="18" hidden="false" customHeight="true" outlineLevel="0" collapsed="false">
      <c r="B112" s="7"/>
      <c r="C112" s="7"/>
      <c r="D112" s="7"/>
      <c r="E112" s="71"/>
      <c r="F112" s="7"/>
      <c r="G112" s="7"/>
      <c r="H112" s="7"/>
      <c r="I112" s="145"/>
      <c r="J112" s="7"/>
      <c r="K112" s="7"/>
      <c r="L112" s="7"/>
      <c r="M112" s="7"/>
      <c r="N112" s="7"/>
      <c r="O112" s="7"/>
      <c r="P112" s="7"/>
      <c r="Q112" s="7"/>
      <c r="R112" s="146"/>
      <c r="S112" s="146"/>
      <c r="T112" s="7"/>
      <c r="U112" s="7"/>
    </row>
    <row r="113" customFormat="false" ht="18" hidden="false" customHeight="true" outlineLevel="0" collapsed="false">
      <c r="B113" s="87"/>
      <c r="C113" s="87"/>
      <c r="D113" s="87"/>
      <c r="E113" s="142"/>
      <c r="F113" s="87"/>
      <c r="G113" s="87"/>
      <c r="H113" s="87"/>
      <c r="I113" s="143"/>
      <c r="J113" s="87"/>
      <c r="K113" s="87"/>
      <c r="L113" s="87"/>
      <c r="M113" s="87"/>
      <c r="N113" s="87"/>
      <c r="O113" s="87"/>
      <c r="P113" s="87"/>
      <c r="Q113" s="87"/>
      <c r="R113" s="144"/>
      <c r="S113" s="144"/>
      <c r="T113" s="87"/>
      <c r="U113" s="87"/>
    </row>
    <row r="114" customFormat="false" ht="18" hidden="false" customHeight="true" outlineLevel="0" collapsed="false">
      <c r="B114" s="7"/>
      <c r="C114" s="7"/>
      <c r="D114" s="7"/>
      <c r="E114" s="71"/>
      <c r="F114" s="7"/>
      <c r="G114" s="7"/>
      <c r="H114" s="7"/>
      <c r="I114" s="145"/>
      <c r="J114" s="7"/>
      <c r="K114" s="7"/>
      <c r="L114" s="7"/>
      <c r="M114" s="7"/>
      <c r="N114" s="7"/>
      <c r="O114" s="7"/>
      <c r="P114" s="7"/>
      <c r="Q114" s="7"/>
      <c r="R114" s="146"/>
      <c r="S114" s="146"/>
      <c r="T114" s="7"/>
      <c r="U114" s="7"/>
    </row>
    <row r="115" customFormat="false" ht="18" hidden="false" customHeight="true" outlineLevel="0" collapsed="false">
      <c r="B115" s="87"/>
      <c r="C115" s="87"/>
      <c r="D115" s="87"/>
      <c r="E115" s="142"/>
      <c r="F115" s="87"/>
      <c r="G115" s="87"/>
      <c r="H115" s="87"/>
      <c r="I115" s="143"/>
      <c r="J115" s="87"/>
      <c r="K115" s="87"/>
      <c r="L115" s="87"/>
      <c r="M115" s="87"/>
      <c r="N115" s="87"/>
      <c r="O115" s="87"/>
      <c r="P115" s="87"/>
      <c r="Q115" s="87"/>
      <c r="R115" s="144"/>
      <c r="S115" s="144"/>
      <c r="T115" s="87"/>
      <c r="U115" s="87"/>
    </row>
    <row r="116" customFormat="false" ht="18" hidden="false" customHeight="true" outlineLevel="0" collapsed="false">
      <c r="B116" s="7"/>
      <c r="C116" s="7"/>
      <c r="D116" s="7"/>
      <c r="E116" s="71"/>
      <c r="F116" s="7"/>
      <c r="G116" s="7"/>
      <c r="H116" s="7"/>
      <c r="I116" s="145"/>
      <c r="J116" s="7"/>
      <c r="K116" s="7"/>
      <c r="L116" s="7"/>
      <c r="M116" s="7"/>
      <c r="N116" s="7"/>
      <c r="O116" s="7"/>
      <c r="P116" s="7"/>
      <c r="Q116" s="7"/>
      <c r="R116" s="146"/>
      <c r="S116" s="146"/>
      <c r="T116" s="7"/>
      <c r="U116" s="7"/>
    </row>
    <row r="117" customFormat="false" ht="18" hidden="false" customHeight="true" outlineLevel="0" collapsed="false">
      <c r="B117" s="87"/>
      <c r="C117" s="87"/>
      <c r="D117" s="87"/>
      <c r="E117" s="142"/>
      <c r="F117" s="87"/>
      <c r="G117" s="87"/>
      <c r="H117" s="87"/>
      <c r="I117" s="143"/>
      <c r="J117" s="87"/>
      <c r="K117" s="87"/>
      <c r="L117" s="87"/>
      <c r="M117" s="87"/>
      <c r="N117" s="87"/>
      <c r="O117" s="87"/>
      <c r="P117" s="87"/>
      <c r="Q117" s="87"/>
      <c r="R117" s="144"/>
      <c r="S117" s="144"/>
      <c r="T117" s="87"/>
      <c r="U117" s="87"/>
    </row>
    <row r="118" customFormat="false" ht="18" hidden="false" customHeight="true" outlineLevel="0" collapsed="false">
      <c r="B118" s="7"/>
      <c r="C118" s="7"/>
      <c r="D118" s="7"/>
      <c r="E118" s="71"/>
      <c r="F118" s="7"/>
      <c r="G118" s="7"/>
      <c r="H118" s="7"/>
      <c r="I118" s="145"/>
      <c r="J118" s="7"/>
      <c r="K118" s="7"/>
      <c r="L118" s="7"/>
      <c r="M118" s="7"/>
      <c r="N118" s="7"/>
      <c r="O118" s="7"/>
      <c r="P118" s="7"/>
      <c r="Q118" s="7"/>
      <c r="R118" s="146"/>
      <c r="S118" s="146"/>
      <c r="T118" s="7"/>
      <c r="U118" s="7"/>
    </row>
    <row r="119" customFormat="false" ht="18" hidden="false" customHeight="true" outlineLevel="0" collapsed="false">
      <c r="B119" s="87"/>
      <c r="C119" s="87"/>
      <c r="D119" s="87"/>
      <c r="E119" s="142"/>
      <c r="F119" s="87"/>
      <c r="G119" s="87"/>
      <c r="H119" s="87"/>
      <c r="I119" s="143"/>
      <c r="J119" s="87"/>
      <c r="K119" s="87"/>
      <c r="L119" s="87"/>
      <c r="M119" s="87"/>
      <c r="N119" s="87"/>
      <c r="O119" s="87"/>
      <c r="P119" s="87"/>
      <c r="Q119" s="87"/>
      <c r="R119" s="144"/>
      <c r="S119" s="144"/>
      <c r="T119" s="87"/>
      <c r="U119" s="87"/>
    </row>
    <row r="120" customFormat="false" ht="18" hidden="false" customHeight="true" outlineLevel="0" collapsed="false">
      <c r="B120" s="7"/>
      <c r="C120" s="7"/>
      <c r="D120" s="7"/>
      <c r="E120" s="71"/>
      <c r="F120" s="7"/>
      <c r="G120" s="7"/>
      <c r="H120" s="7"/>
      <c r="I120" s="145"/>
      <c r="J120" s="7"/>
      <c r="K120" s="7"/>
      <c r="L120" s="7"/>
      <c r="M120" s="7"/>
      <c r="N120" s="7"/>
      <c r="O120" s="7"/>
      <c r="P120" s="7"/>
      <c r="Q120" s="7"/>
      <c r="R120" s="146"/>
      <c r="S120" s="146"/>
      <c r="T120" s="7"/>
      <c r="U120" s="7"/>
    </row>
    <row r="121" customFormat="false" ht="18" hidden="false" customHeight="true" outlineLevel="0" collapsed="false">
      <c r="B121" s="87"/>
      <c r="C121" s="87"/>
      <c r="D121" s="87"/>
      <c r="E121" s="142"/>
      <c r="F121" s="87"/>
      <c r="G121" s="87"/>
      <c r="H121" s="87"/>
      <c r="I121" s="143"/>
      <c r="J121" s="87"/>
      <c r="K121" s="87"/>
      <c r="L121" s="87"/>
      <c r="M121" s="87"/>
      <c r="N121" s="87"/>
      <c r="O121" s="87"/>
      <c r="P121" s="87"/>
      <c r="Q121" s="87"/>
      <c r="R121" s="144"/>
      <c r="S121" s="144"/>
      <c r="T121" s="87"/>
      <c r="U121" s="87"/>
    </row>
    <row r="122" customFormat="false" ht="18" hidden="false" customHeight="true" outlineLevel="0" collapsed="false">
      <c r="B122" s="7"/>
      <c r="C122" s="7"/>
      <c r="D122" s="7"/>
      <c r="E122" s="71"/>
      <c r="F122" s="7"/>
      <c r="G122" s="7"/>
      <c r="H122" s="7"/>
      <c r="I122" s="145"/>
      <c r="J122" s="7"/>
      <c r="K122" s="7"/>
      <c r="L122" s="7"/>
      <c r="M122" s="7"/>
      <c r="N122" s="7"/>
      <c r="O122" s="7"/>
      <c r="P122" s="7"/>
      <c r="Q122" s="7"/>
      <c r="R122" s="146"/>
      <c r="S122" s="146"/>
      <c r="T122" s="7"/>
      <c r="U122" s="7"/>
    </row>
    <row r="123" customFormat="false" ht="18" hidden="false" customHeight="true" outlineLevel="0" collapsed="false">
      <c r="B123" s="87"/>
      <c r="C123" s="87"/>
      <c r="D123" s="87"/>
      <c r="E123" s="142"/>
      <c r="F123" s="87"/>
      <c r="G123" s="87"/>
      <c r="H123" s="87"/>
      <c r="I123" s="143"/>
      <c r="J123" s="87"/>
      <c r="K123" s="87"/>
      <c r="L123" s="87"/>
      <c r="M123" s="87"/>
      <c r="N123" s="87"/>
      <c r="O123" s="87"/>
      <c r="P123" s="87"/>
      <c r="Q123" s="87"/>
      <c r="R123" s="144"/>
      <c r="S123" s="144"/>
      <c r="T123" s="87"/>
      <c r="U123" s="87"/>
    </row>
    <row r="124" customFormat="false" ht="18" hidden="false" customHeight="true" outlineLevel="0" collapsed="false">
      <c r="B124" s="7"/>
      <c r="C124" s="7"/>
      <c r="D124" s="7"/>
      <c r="E124" s="71"/>
      <c r="F124" s="7"/>
      <c r="G124" s="7"/>
      <c r="H124" s="7"/>
      <c r="I124" s="145"/>
      <c r="J124" s="7"/>
      <c r="K124" s="7"/>
      <c r="L124" s="7"/>
      <c r="M124" s="7"/>
      <c r="N124" s="7"/>
      <c r="O124" s="7"/>
      <c r="P124" s="7"/>
      <c r="Q124" s="7"/>
      <c r="R124" s="146"/>
      <c r="S124" s="146"/>
      <c r="T124" s="7"/>
      <c r="U124" s="7"/>
    </row>
    <row r="125" customFormat="false" ht="18" hidden="false" customHeight="true" outlineLevel="0" collapsed="false">
      <c r="B125" s="87"/>
      <c r="C125" s="87"/>
      <c r="D125" s="87"/>
      <c r="E125" s="142"/>
      <c r="F125" s="87"/>
      <c r="G125" s="87"/>
      <c r="H125" s="87"/>
      <c r="I125" s="143"/>
      <c r="J125" s="87"/>
      <c r="K125" s="87"/>
      <c r="L125" s="87"/>
      <c r="M125" s="87"/>
      <c r="N125" s="87"/>
      <c r="O125" s="87"/>
      <c r="P125" s="87"/>
      <c r="Q125" s="87"/>
      <c r="R125" s="144"/>
      <c r="S125" s="144"/>
      <c r="T125" s="87"/>
      <c r="U125" s="87"/>
    </row>
    <row r="126" customFormat="false" ht="18" hidden="false" customHeight="true" outlineLevel="0" collapsed="false">
      <c r="B126" s="7"/>
      <c r="C126" s="7"/>
      <c r="D126" s="7"/>
      <c r="E126" s="71"/>
      <c r="F126" s="7"/>
      <c r="G126" s="7"/>
      <c r="H126" s="7"/>
      <c r="I126" s="145"/>
      <c r="J126" s="7"/>
      <c r="K126" s="7"/>
      <c r="L126" s="7"/>
      <c r="M126" s="7"/>
      <c r="N126" s="7"/>
      <c r="O126" s="7"/>
      <c r="P126" s="7"/>
      <c r="Q126" s="7"/>
      <c r="R126" s="146"/>
      <c r="S126" s="146"/>
      <c r="T126" s="7"/>
      <c r="U126" s="7"/>
    </row>
    <row r="127" customFormat="false" ht="18" hidden="false" customHeight="true" outlineLevel="0" collapsed="false">
      <c r="B127" s="87"/>
      <c r="C127" s="87"/>
      <c r="D127" s="87"/>
      <c r="E127" s="142"/>
      <c r="F127" s="87"/>
      <c r="G127" s="87"/>
      <c r="H127" s="87"/>
      <c r="I127" s="143"/>
      <c r="J127" s="87"/>
      <c r="K127" s="87"/>
      <c r="L127" s="87"/>
      <c r="M127" s="87"/>
      <c r="N127" s="87"/>
      <c r="O127" s="87"/>
      <c r="P127" s="87"/>
      <c r="Q127" s="87"/>
      <c r="R127" s="144"/>
      <c r="S127" s="144"/>
      <c r="T127" s="87"/>
      <c r="U127" s="87"/>
    </row>
    <row r="128" customFormat="false" ht="18" hidden="false" customHeight="true" outlineLevel="0" collapsed="false">
      <c r="B128" s="7"/>
      <c r="C128" s="7"/>
      <c r="D128" s="7"/>
      <c r="E128" s="71"/>
      <c r="F128" s="7"/>
      <c r="G128" s="7"/>
      <c r="H128" s="7"/>
      <c r="I128" s="145"/>
      <c r="J128" s="7"/>
      <c r="K128" s="7"/>
      <c r="L128" s="7"/>
      <c r="M128" s="7"/>
      <c r="N128" s="7"/>
      <c r="O128" s="7"/>
      <c r="P128" s="7"/>
      <c r="Q128" s="7"/>
      <c r="R128" s="146"/>
      <c r="S128" s="146"/>
      <c r="T128" s="7"/>
      <c r="U128" s="7"/>
    </row>
    <row r="129" customFormat="false" ht="18" hidden="false" customHeight="true" outlineLevel="0" collapsed="false">
      <c r="B129" s="87"/>
      <c r="C129" s="87"/>
      <c r="D129" s="87"/>
      <c r="E129" s="142"/>
      <c r="F129" s="87"/>
      <c r="G129" s="87"/>
      <c r="H129" s="87"/>
      <c r="I129" s="143"/>
      <c r="J129" s="87"/>
      <c r="K129" s="87"/>
      <c r="L129" s="87"/>
      <c r="M129" s="87"/>
      <c r="N129" s="87"/>
      <c r="O129" s="87"/>
      <c r="P129" s="87"/>
      <c r="Q129" s="87"/>
      <c r="R129" s="144"/>
      <c r="S129" s="144"/>
      <c r="T129" s="87"/>
      <c r="U129" s="87"/>
    </row>
    <row r="130" customFormat="false" ht="18" hidden="false" customHeight="true" outlineLevel="0" collapsed="false">
      <c r="B130" s="7"/>
      <c r="C130" s="7"/>
      <c r="D130" s="7"/>
      <c r="E130" s="71"/>
      <c r="F130" s="7"/>
      <c r="G130" s="7"/>
      <c r="H130" s="7"/>
      <c r="I130" s="145"/>
      <c r="J130" s="7"/>
      <c r="K130" s="7"/>
      <c r="L130" s="7"/>
      <c r="M130" s="7"/>
      <c r="N130" s="7"/>
      <c r="O130" s="7"/>
      <c r="P130" s="7"/>
      <c r="Q130" s="7"/>
      <c r="R130" s="146"/>
      <c r="S130" s="146"/>
      <c r="T130" s="7"/>
      <c r="U130" s="7"/>
    </row>
    <row r="131" customFormat="false" ht="18" hidden="false" customHeight="true" outlineLevel="0" collapsed="false">
      <c r="B131" s="87"/>
      <c r="C131" s="87"/>
      <c r="D131" s="87"/>
      <c r="E131" s="142"/>
      <c r="F131" s="87"/>
      <c r="G131" s="87"/>
      <c r="H131" s="87"/>
      <c r="I131" s="143"/>
      <c r="J131" s="87"/>
      <c r="K131" s="87"/>
      <c r="L131" s="87"/>
      <c r="M131" s="87"/>
      <c r="N131" s="87"/>
      <c r="O131" s="87"/>
      <c r="P131" s="87"/>
      <c r="Q131" s="87"/>
      <c r="R131" s="144"/>
      <c r="S131" s="144"/>
      <c r="T131" s="87"/>
      <c r="U131" s="87"/>
    </row>
    <row r="132" customFormat="false" ht="18" hidden="false" customHeight="true" outlineLevel="0" collapsed="false">
      <c r="B132" s="7"/>
      <c r="C132" s="7"/>
      <c r="D132" s="7"/>
      <c r="E132" s="71"/>
      <c r="F132" s="7"/>
      <c r="G132" s="7"/>
      <c r="H132" s="7"/>
      <c r="I132" s="145"/>
      <c r="J132" s="7"/>
      <c r="K132" s="7"/>
      <c r="L132" s="7"/>
      <c r="M132" s="7"/>
      <c r="N132" s="7"/>
      <c r="O132" s="7"/>
      <c r="P132" s="7"/>
      <c r="Q132" s="7"/>
      <c r="R132" s="146"/>
      <c r="S132" s="146"/>
      <c r="T132" s="7"/>
      <c r="U132" s="7"/>
    </row>
    <row r="133" customFormat="false" ht="18" hidden="false" customHeight="true" outlineLevel="0" collapsed="false">
      <c r="B133" s="87"/>
      <c r="C133" s="87"/>
      <c r="D133" s="87"/>
      <c r="E133" s="142"/>
      <c r="F133" s="87"/>
      <c r="G133" s="87"/>
      <c r="H133" s="87"/>
      <c r="I133" s="143"/>
      <c r="J133" s="87"/>
      <c r="K133" s="87"/>
      <c r="L133" s="87"/>
      <c r="M133" s="87"/>
      <c r="N133" s="87"/>
      <c r="O133" s="87"/>
      <c r="P133" s="87"/>
      <c r="Q133" s="87"/>
      <c r="R133" s="144"/>
      <c r="S133" s="144"/>
      <c r="T133" s="87"/>
      <c r="U133" s="87"/>
    </row>
    <row r="134" customFormat="false" ht="18" hidden="false" customHeight="true" outlineLevel="0" collapsed="false">
      <c r="B134" s="7"/>
      <c r="C134" s="7"/>
      <c r="D134" s="7"/>
      <c r="E134" s="71"/>
      <c r="F134" s="7"/>
      <c r="G134" s="7"/>
      <c r="H134" s="7"/>
      <c r="I134" s="145"/>
      <c r="J134" s="7"/>
      <c r="K134" s="7"/>
      <c r="L134" s="7"/>
      <c r="M134" s="7"/>
      <c r="N134" s="7"/>
      <c r="O134" s="7"/>
      <c r="P134" s="7"/>
      <c r="Q134" s="7"/>
      <c r="R134" s="146"/>
      <c r="S134" s="146"/>
      <c r="T134" s="7"/>
      <c r="U134" s="7"/>
    </row>
    <row r="135" customFormat="false" ht="18" hidden="false" customHeight="true" outlineLevel="0" collapsed="false">
      <c r="B135" s="87"/>
      <c r="C135" s="87"/>
      <c r="D135" s="87"/>
      <c r="E135" s="142"/>
      <c r="F135" s="87"/>
      <c r="G135" s="87"/>
      <c r="H135" s="87"/>
      <c r="I135" s="143"/>
      <c r="J135" s="87"/>
      <c r="K135" s="87"/>
      <c r="L135" s="87"/>
      <c r="M135" s="87"/>
      <c r="N135" s="87"/>
      <c r="O135" s="87"/>
      <c r="P135" s="87"/>
      <c r="Q135" s="87"/>
      <c r="R135" s="144"/>
      <c r="S135" s="144"/>
      <c r="T135" s="87"/>
      <c r="U135" s="87"/>
    </row>
    <row r="136" customFormat="false" ht="18" hidden="false" customHeight="true" outlineLevel="0" collapsed="false">
      <c r="B136" s="7"/>
      <c r="C136" s="7"/>
      <c r="D136" s="7"/>
      <c r="E136" s="71"/>
      <c r="F136" s="7"/>
      <c r="G136" s="7"/>
      <c r="H136" s="7"/>
      <c r="I136" s="145"/>
      <c r="J136" s="7"/>
      <c r="K136" s="7"/>
      <c r="L136" s="7"/>
      <c r="M136" s="7"/>
      <c r="N136" s="7"/>
      <c r="O136" s="7"/>
      <c r="P136" s="7"/>
      <c r="Q136" s="7"/>
      <c r="R136" s="146"/>
      <c r="S136" s="146"/>
      <c r="T136" s="7"/>
      <c r="U136" s="7"/>
    </row>
    <row r="137" customFormat="false" ht="18" hidden="false" customHeight="true" outlineLevel="0" collapsed="false">
      <c r="B137" s="87"/>
      <c r="C137" s="87"/>
      <c r="D137" s="87"/>
      <c r="E137" s="142"/>
      <c r="F137" s="87"/>
      <c r="G137" s="87"/>
      <c r="H137" s="87"/>
      <c r="I137" s="143"/>
      <c r="J137" s="87"/>
      <c r="K137" s="87"/>
      <c r="L137" s="87"/>
      <c r="M137" s="87"/>
      <c r="N137" s="87"/>
      <c r="O137" s="87"/>
      <c r="P137" s="87"/>
      <c r="Q137" s="87"/>
      <c r="R137" s="144"/>
      <c r="S137" s="144"/>
      <c r="T137" s="87"/>
      <c r="U137" s="87"/>
    </row>
    <row r="138" customFormat="false" ht="18" hidden="false" customHeight="true" outlineLevel="0" collapsed="false">
      <c r="B138" s="7"/>
      <c r="C138" s="7"/>
      <c r="D138" s="7"/>
      <c r="E138" s="71"/>
      <c r="F138" s="7"/>
      <c r="G138" s="7"/>
      <c r="H138" s="7"/>
      <c r="I138" s="145"/>
      <c r="J138" s="7"/>
      <c r="K138" s="7"/>
      <c r="L138" s="7"/>
      <c r="M138" s="7"/>
      <c r="N138" s="7"/>
      <c r="O138" s="7"/>
      <c r="P138" s="7"/>
      <c r="Q138" s="7"/>
      <c r="R138" s="146"/>
      <c r="S138" s="146"/>
      <c r="T138" s="7"/>
      <c r="U138" s="7"/>
    </row>
    <row r="139" customFormat="false" ht="18" hidden="false" customHeight="true" outlineLevel="0" collapsed="false">
      <c r="B139" s="87"/>
      <c r="C139" s="87"/>
      <c r="D139" s="87"/>
      <c r="E139" s="142"/>
      <c r="F139" s="87"/>
      <c r="G139" s="87"/>
      <c r="H139" s="87"/>
      <c r="I139" s="143"/>
      <c r="J139" s="87"/>
      <c r="K139" s="87"/>
      <c r="L139" s="87"/>
      <c r="M139" s="87"/>
      <c r="N139" s="87"/>
      <c r="O139" s="87"/>
      <c r="P139" s="87"/>
      <c r="Q139" s="87"/>
      <c r="R139" s="144"/>
      <c r="S139" s="144"/>
      <c r="T139" s="87"/>
      <c r="U139" s="87"/>
    </row>
    <row r="140" customFormat="false" ht="18" hidden="false" customHeight="true" outlineLevel="0" collapsed="false">
      <c r="B140" s="7"/>
      <c r="C140" s="7"/>
      <c r="D140" s="7"/>
      <c r="E140" s="71"/>
      <c r="F140" s="7"/>
      <c r="G140" s="7"/>
      <c r="H140" s="7"/>
      <c r="I140" s="145"/>
      <c r="J140" s="7"/>
      <c r="K140" s="7"/>
      <c r="L140" s="7"/>
      <c r="M140" s="7"/>
      <c r="N140" s="7"/>
      <c r="O140" s="7"/>
      <c r="P140" s="7"/>
      <c r="Q140" s="7"/>
      <c r="R140" s="146"/>
      <c r="S140" s="146"/>
      <c r="T140" s="7"/>
      <c r="U140" s="7"/>
    </row>
    <row r="141" customFormat="false" ht="18" hidden="false" customHeight="true" outlineLevel="0" collapsed="false">
      <c r="B141" s="87"/>
      <c r="C141" s="87"/>
      <c r="D141" s="87"/>
      <c r="E141" s="142"/>
      <c r="F141" s="87"/>
      <c r="G141" s="87"/>
      <c r="H141" s="87"/>
      <c r="I141" s="143"/>
      <c r="J141" s="87"/>
      <c r="K141" s="87"/>
      <c r="L141" s="87"/>
      <c r="M141" s="87"/>
      <c r="N141" s="87"/>
      <c r="O141" s="87"/>
      <c r="P141" s="87"/>
      <c r="Q141" s="87"/>
      <c r="R141" s="144"/>
      <c r="S141" s="144"/>
      <c r="T141" s="87"/>
      <c r="U141" s="87"/>
    </row>
    <row r="142" customFormat="false" ht="18" hidden="false" customHeight="true" outlineLevel="0" collapsed="false">
      <c r="B142" s="7"/>
      <c r="C142" s="7"/>
      <c r="D142" s="7"/>
      <c r="E142" s="71"/>
      <c r="F142" s="7"/>
      <c r="G142" s="7"/>
      <c r="H142" s="7"/>
      <c r="I142" s="145"/>
      <c r="J142" s="7"/>
      <c r="K142" s="7"/>
      <c r="L142" s="7"/>
      <c r="M142" s="7"/>
      <c r="N142" s="7"/>
      <c r="O142" s="7"/>
      <c r="P142" s="7"/>
      <c r="Q142" s="7"/>
      <c r="R142" s="146"/>
      <c r="S142" s="146"/>
      <c r="T142" s="7"/>
      <c r="U142" s="7"/>
    </row>
    <row r="143" customFormat="false" ht="18" hidden="false" customHeight="true" outlineLevel="0" collapsed="false">
      <c r="B143" s="87"/>
      <c r="C143" s="87"/>
      <c r="D143" s="87"/>
      <c r="E143" s="142"/>
      <c r="F143" s="87"/>
      <c r="G143" s="87"/>
      <c r="H143" s="87"/>
      <c r="I143" s="143"/>
      <c r="J143" s="87"/>
      <c r="K143" s="87"/>
      <c r="L143" s="87"/>
      <c r="M143" s="87"/>
      <c r="N143" s="87"/>
      <c r="O143" s="87"/>
      <c r="P143" s="87"/>
      <c r="Q143" s="87"/>
      <c r="R143" s="144"/>
      <c r="S143" s="144"/>
      <c r="T143" s="87"/>
      <c r="U143" s="87"/>
    </row>
    <row r="144" customFormat="false" ht="18" hidden="false" customHeight="true" outlineLevel="0" collapsed="false">
      <c r="B144" s="7"/>
      <c r="C144" s="7"/>
      <c r="D144" s="7"/>
      <c r="E144" s="71"/>
      <c r="F144" s="7"/>
      <c r="G144" s="7"/>
      <c r="H144" s="7"/>
      <c r="I144" s="145"/>
      <c r="J144" s="7"/>
      <c r="K144" s="7"/>
      <c r="L144" s="7"/>
      <c r="M144" s="7"/>
      <c r="N144" s="7"/>
      <c r="O144" s="7"/>
      <c r="P144" s="7"/>
      <c r="Q144" s="7"/>
      <c r="R144" s="146"/>
      <c r="S144" s="146"/>
      <c r="T144" s="7"/>
      <c r="U144" s="7"/>
    </row>
    <row r="145" customFormat="false" ht="18" hidden="false" customHeight="true" outlineLevel="0" collapsed="false">
      <c r="B145" s="87"/>
      <c r="C145" s="87"/>
      <c r="D145" s="87"/>
      <c r="E145" s="142"/>
      <c r="F145" s="87"/>
      <c r="G145" s="87"/>
      <c r="H145" s="87"/>
      <c r="I145" s="143"/>
      <c r="J145" s="87"/>
      <c r="K145" s="87"/>
      <c r="L145" s="87"/>
      <c r="M145" s="87"/>
      <c r="N145" s="87"/>
      <c r="O145" s="87"/>
      <c r="P145" s="87"/>
      <c r="Q145" s="87"/>
      <c r="R145" s="144"/>
      <c r="S145" s="144"/>
      <c r="T145" s="87"/>
      <c r="U145" s="87"/>
    </row>
    <row r="146" customFormat="false" ht="18" hidden="false" customHeight="true" outlineLevel="0" collapsed="false">
      <c r="B146" s="7"/>
      <c r="C146" s="7"/>
      <c r="D146" s="7"/>
      <c r="E146" s="71"/>
      <c r="F146" s="7"/>
      <c r="G146" s="7"/>
      <c r="H146" s="7"/>
      <c r="I146" s="145"/>
      <c r="J146" s="7"/>
      <c r="K146" s="7"/>
      <c r="L146" s="7"/>
      <c r="M146" s="7"/>
      <c r="N146" s="7"/>
      <c r="O146" s="7"/>
      <c r="P146" s="7"/>
      <c r="Q146" s="7"/>
      <c r="R146" s="146"/>
      <c r="S146" s="146"/>
      <c r="T146" s="7"/>
      <c r="U146" s="7"/>
    </row>
    <row r="147" customFormat="false" ht="18" hidden="false" customHeight="true" outlineLevel="0" collapsed="false">
      <c r="B147" s="87"/>
      <c r="C147" s="87"/>
      <c r="D147" s="87"/>
      <c r="E147" s="142"/>
      <c r="F147" s="87"/>
      <c r="G147" s="87"/>
      <c r="H147" s="87"/>
      <c r="I147" s="143"/>
      <c r="J147" s="87"/>
      <c r="K147" s="87"/>
      <c r="L147" s="87"/>
      <c r="M147" s="87"/>
      <c r="N147" s="87"/>
      <c r="O147" s="87"/>
      <c r="P147" s="87"/>
      <c r="Q147" s="87"/>
      <c r="R147" s="144"/>
      <c r="S147" s="144"/>
      <c r="T147" s="87"/>
      <c r="U147" s="87"/>
    </row>
    <row r="148" customFormat="false" ht="18" hidden="false" customHeight="true" outlineLevel="0" collapsed="false">
      <c r="B148" s="7"/>
      <c r="C148" s="7"/>
      <c r="D148" s="7"/>
      <c r="E148" s="71"/>
      <c r="F148" s="7"/>
      <c r="G148" s="7"/>
      <c r="H148" s="7"/>
      <c r="I148" s="145"/>
      <c r="J148" s="7"/>
      <c r="K148" s="7"/>
      <c r="L148" s="7"/>
      <c r="M148" s="7"/>
      <c r="N148" s="7"/>
      <c r="O148" s="7"/>
      <c r="P148" s="7"/>
      <c r="Q148" s="7"/>
      <c r="R148" s="146"/>
      <c r="S148" s="146"/>
      <c r="T148" s="7"/>
      <c r="U148" s="7"/>
    </row>
    <row r="149" customFormat="false" ht="18" hidden="false" customHeight="true" outlineLevel="0" collapsed="false">
      <c r="B149" s="87"/>
      <c r="C149" s="87"/>
      <c r="D149" s="87"/>
      <c r="E149" s="142"/>
      <c r="F149" s="87"/>
      <c r="G149" s="87"/>
      <c r="H149" s="87"/>
      <c r="I149" s="143"/>
      <c r="J149" s="87"/>
      <c r="K149" s="87"/>
      <c r="L149" s="87"/>
      <c r="M149" s="87"/>
      <c r="N149" s="87"/>
      <c r="O149" s="87"/>
      <c r="P149" s="87"/>
      <c r="Q149" s="87"/>
      <c r="R149" s="144"/>
      <c r="S149" s="144"/>
      <c r="T149" s="87"/>
      <c r="U149" s="87"/>
    </row>
    <row r="150" customFormat="false" ht="18" hidden="false" customHeight="true" outlineLevel="0" collapsed="false">
      <c r="B150" s="7"/>
      <c r="C150" s="7"/>
      <c r="D150" s="7"/>
      <c r="E150" s="71"/>
      <c r="F150" s="7"/>
      <c r="G150" s="7"/>
      <c r="H150" s="7"/>
      <c r="I150" s="145"/>
      <c r="J150" s="7"/>
      <c r="K150" s="7"/>
      <c r="L150" s="7"/>
      <c r="M150" s="7"/>
      <c r="N150" s="7"/>
      <c r="O150" s="7"/>
      <c r="P150" s="7"/>
      <c r="Q150" s="7"/>
      <c r="R150" s="146"/>
      <c r="S150" s="146"/>
      <c r="T150" s="7"/>
      <c r="U150" s="7"/>
    </row>
    <row r="151" customFormat="false" ht="18" hidden="false" customHeight="true" outlineLevel="0" collapsed="false">
      <c r="B151" s="87"/>
      <c r="C151" s="87"/>
      <c r="D151" s="87"/>
      <c r="E151" s="142"/>
      <c r="F151" s="87"/>
      <c r="G151" s="87"/>
      <c r="H151" s="87"/>
      <c r="I151" s="143"/>
      <c r="J151" s="87"/>
      <c r="K151" s="87"/>
      <c r="L151" s="87"/>
      <c r="M151" s="87"/>
      <c r="N151" s="87"/>
      <c r="O151" s="87"/>
      <c r="P151" s="87"/>
      <c r="Q151" s="87"/>
      <c r="R151" s="144"/>
      <c r="S151" s="144"/>
      <c r="T151" s="87"/>
      <c r="U151" s="87"/>
    </row>
    <row r="152" customFormat="false" ht="18" hidden="false" customHeight="true" outlineLevel="0" collapsed="false">
      <c r="B152" s="7"/>
      <c r="C152" s="7"/>
      <c r="D152" s="7"/>
      <c r="E152" s="71"/>
      <c r="F152" s="7"/>
      <c r="G152" s="7"/>
      <c r="H152" s="7"/>
      <c r="I152" s="145"/>
      <c r="J152" s="7"/>
      <c r="K152" s="7"/>
      <c r="L152" s="7"/>
      <c r="M152" s="7"/>
      <c r="N152" s="7"/>
      <c r="O152" s="7"/>
      <c r="P152" s="7"/>
      <c r="Q152" s="7"/>
      <c r="R152" s="146"/>
      <c r="S152" s="146"/>
      <c r="T152" s="7"/>
      <c r="U152" s="7"/>
    </row>
    <row r="153" customFormat="false" ht="18" hidden="false" customHeight="true" outlineLevel="0" collapsed="false">
      <c r="B153" s="87"/>
      <c r="C153" s="87"/>
      <c r="D153" s="87"/>
      <c r="E153" s="142"/>
      <c r="F153" s="87"/>
      <c r="G153" s="87"/>
      <c r="H153" s="87"/>
      <c r="I153" s="143"/>
      <c r="J153" s="87"/>
      <c r="K153" s="87"/>
      <c r="L153" s="87"/>
      <c r="M153" s="87"/>
      <c r="N153" s="87"/>
      <c r="O153" s="87"/>
      <c r="P153" s="87"/>
      <c r="Q153" s="87"/>
      <c r="R153" s="144"/>
      <c r="S153" s="144"/>
      <c r="T153" s="87"/>
      <c r="U153" s="87"/>
    </row>
    <row r="154" customFormat="false" ht="18" hidden="false" customHeight="true" outlineLevel="0" collapsed="false">
      <c r="B154" s="7"/>
      <c r="C154" s="7"/>
      <c r="D154" s="7"/>
      <c r="E154" s="71"/>
      <c r="F154" s="7"/>
      <c r="G154" s="7"/>
      <c r="H154" s="7"/>
      <c r="I154" s="145"/>
      <c r="J154" s="7"/>
      <c r="K154" s="7"/>
      <c r="L154" s="7"/>
      <c r="M154" s="7"/>
      <c r="N154" s="7"/>
      <c r="O154" s="7"/>
      <c r="P154" s="7"/>
      <c r="Q154" s="7"/>
      <c r="R154" s="146"/>
      <c r="S154" s="146"/>
      <c r="T154" s="7"/>
      <c r="U154" s="7"/>
    </row>
    <row r="155" customFormat="false" ht="18" hidden="false" customHeight="true" outlineLevel="0" collapsed="false">
      <c r="B155" s="87"/>
      <c r="C155" s="87"/>
      <c r="D155" s="87"/>
      <c r="E155" s="142"/>
      <c r="F155" s="87"/>
      <c r="G155" s="87"/>
      <c r="H155" s="87"/>
      <c r="I155" s="143"/>
      <c r="J155" s="87"/>
      <c r="K155" s="87"/>
      <c r="L155" s="87"/>
      <c r="M155" s="87"/>
      <c r="N155" s="87"/>
      <c r="O155" s="87"/>
      <c r="P155" s="87"/>
      <c r="Q155" s="87"/>
      <c r="R155" s="144"/>
      <c r="S155" s="144"/>
      <c r="T155" s="87"/>
      <c r="U155" s="87"/>
    </row>
    <row r="156" customFormat="false" ht="18" hidden="false" customHeight="true" outlineLevel="0" collapsed="false">
      <c r="B156" s="7"/>
      <c r="C156" s="7"/>
      <c r="D156" s="7"/>
      <c r="E156" s="71"/>
      <c r="F156" s="7"/>
      <c r="G156" s="7"/>
      <c r="H156" s="7"/>
      <c r="I156" s="145"/>
      <c r="J156" s="7"/>
      <c r="K156" s="7"/>
      <c r="L156" s="7"/>
      <c r="M156" s="7"/>
      <c r="N156" s="7"/>
      <c r="O156" s="7"/>
      <c r="P156" s="7"/>
      <c r="Q156" s="7"/>
      <c r="R156" s="146"/>
      <c r="S156" s="146"/>
      <c r="T156" s="7"/>
      <c r="U156" s="7"/>
    </row>
    <row r="157" customFormat="false" ht="18" hidden="false" customHeight="true" outlineLevel="0" collapsed="false">
      <c r="B157" s="87"/>
      <c r="C157" s="87"/>
      <c r="D157" s="87"/>
      <c r="E157" s="142"/>
      <c r="F157" s="87"/>
      <c r="G157" s="87"/>
      <c r="H157" s="87"/>
      <c r="I157" s="143"/>
      <c r="J157" s="87"/>
      <c r="K157" s="87"/>
      <c r="L157" s="87"/>
      <c r="M157" s="87"/>
      <c r="N157" s="87"/>
      <c r="O157" s="87"/>
      <c r="P157" s="87"/>
      <c r="Q157" s="87"/>
      <c r="R157" s="144"/>
      <c r="S157" s="144"/>
      <c r="T157" s="87"/>
      <c r="U157" s="87"/>
    </row>
    <row r="158" customFormat="false" ht="18" hidden="false" customHeight="true" outlineLevel="0" collapsed="false">
      <c r="B158" s="7"/>
      <c r="C158" s="7"/>
      <c r="D158" s="7"/>
      <c r="E158" s="71"/>
      <c r="F158" s="7"/>
      <c r="G158" s="7"/>
      <c r="H158" s="7"/>
      <c r="I158" s="145"/>
      <c r="J158" s="7"/>
      <c r="K158" s="7"/>
      <c r="L158" s="7"/>
      <c r="M158" s="7"/>
      <c r="N158" s="7"/>
      <c r="O158" s="7"/>
      <c r="P158" s="7"/>
      <c r="Q158" s="7"/>
      <c r="R158" s="146"/>
      <c r="S158" s="146"/>
      <c r="T158" s="7"/>
      <c r="U158" s="7"/>
    </row>
    <row r="159" customFormat="false" ht="18" hidden="false" customHeight="true" outlineLevel="0" collapsed="false">
      <c r="B159" s="87"/>
      <c r="C159" s="87"/>
      <c r="D159" s="87"/>
      <c r="E159" s="142"/>
      <c r="F159" s="87"/>
      <c r="G159" s="87"/>
      <c r="H159" s="87"/>
      <c r="I159" s="143"/>
      <c r="J159" s="87"/>
      <c r="K159" s="87"/>
      <c r="L159" s="87"/>
      <c r="M159" s="87"/>
      <c r="N159" s="87"/>
      <c r="O159" s="87"/>
      <c r="P159" s="87"/>
      <c r="Q159" s="87"/>
      <c r="R159" s="144"/>
      <c r="S159" s="144"/>
      <c r="T159" s="87"/>
      <c r="U159" s="87"/>
    </row>
    <row r="160" customFormat="false" ht="18" hidden="false" customHeight="true" outlineLevel="0" collapsed="false">
      <c r="B160" s="7"/>
      <c r="C160" s="7"/>
      <c r="D160" s="7"/>
      <c r="E160" s="71"/>
      <c r="F160" s="7"/>
      <c r="G160" s="7"/>
      <c r="H160" s="7"/>
      <c r="I160" s="145"/>
      <c r="J160" s="7"/>
      <c r="K160" s="7"/>
      <c r="L160" s="7"/>
      <c r="M160" s="7"/>
      <c r="N160" s="7"/>
      <c r="O160" s="7"/>
      <c r="P160" s="7"/>
      <c r="Q160" s="7"/>
      <c r="R160" s="146"/>
      <c r="S160" s="146"/>
      <c r="T160" s="7"/>
      <c r="U160" s="7"/>
    </row>
    <row r="161" customFormat="false" ht="18" hidden="false" customHeight="true" outlineLevel="0" collapsed="false">
      <c r="B161" s="87"/>
      <c r="C161" s="87"/>
      <c r="D161" s="87"/>
      <c r="E161" s="142"/>
      <c r="F161" s="87"/>
      <c r="G161" s="87"/>
      <c r="H161" s="87"/>
      <c r="I161" s="143"/>
      <c r="J161" s="87"/>
      <c r="K161" s="87"/>
      <c r="L161" s="87"/>
      <c r="M161" s="87"/>
      <c r="N161" s="87"/>
      <c r="O161" s="87"/>
      <c r="P161" s="87"/>
      <c r="Q161" s="87"/>
      <c r="R161" s="144"/>
      <c r="S161" s="144"/>
      <c r="T161" s="87"/>
      <c r="U161" s="87"/>
    </row>
    <row r="162" customFormat="false" ht="18" hidden="false" customHeight="true" outlineLevel="0" collapsed="false">
      <c r="B162" s="7"/>
      <c r="C162" s="7"/>
      <c r="D162" s="7"/>
      <c r="E162" s="71"/>
      <c r="F162" s="7"/>
      <c r="G162" s="7"/>
      <c r="H162" s="7"/>
      <c r="I162" s="145"/>
      <c r="J162" s="7"/>
      <c r="K162" s="7"/>
      <c r="L162" s="7"/>
      <c r="M162" s="7"/>
      <c r="N162" s="7"/>
      <c r="O162" s="7"/>
      <c r="P162" s="7"/>
      <c r="Q162" s="7"/>
      <c r="R162" s="146"/>
      <c r="S162" s="146"/>
      <c r="T162" s="7"/>
      <c r="U162" s="7"/>
    </row>
    <row r="163" customFormat="false" ht="18" hidden="false" customHeight="true" outlineLevel="0" collapsed="false">
      <c r="B163" s="87"/>
      <c r="C163" s="87"/>
      <c r="D163" s="87"/>
      <c r="E163" s="142"/>
      <c r="F163" s="87"/>
      <c r="G163" s="87"/>
      <c r="H163" s="87"/>
      <c r="I163" s="143"/>
      <c r="J163" s="87"/>
      <c r="K163" s="87"/>
      <c r="L163" s="87"/>
      <c r="M163" s="87"/>
      <c r="N163" s="87"/>
      <c r="O163" s="87"/>
      <c r="P163" s="87"/>
      <c r="Q163" s="87"/>
      <c r="R163" s="144"/>
      <c r="S163" s="144"/>
      <c r="T163" s="87"/>
      <c r="U163" s="87"/>
    </row>
    <row r="164" customFormat="false" ht="18" hidden="false" customHeight="true" outlineLevel="0" collapsed="false">
      <c r="B164" s="7"/>
      <c r="C164" s="7"/>
      <c r="D164" s="7"/>
      <c r="E164" s="71"/>
      <c r="F164" s="7"/>
      <c r="G164" s="7"/>
      <c r="H164" s="7"/>
      <c r="I164" s="145"/>
      <c r="J164" s="7"/>
      <c r="K164" s="7"/>
      <c r="L164" s="7"/>
      <c r="M164" s="7"/>
      <c r="N164" s="7"/>
      <c r="O164" s="7"/>
      <c r="P164" s="7"/>
      <c r="Q164" s="7"/>
      <c r="R164" s="146"/>
      <c r="S164" s="146"/>
      <c r="T164" s="7"/>
      <c r="U164" s="7"/>
    </row>
    <row r="165" customFormat="false" ht="18" hidden="false" customHeight="true" outlineLevel="0" collapsed="false">
      <c r="B165" s="87"/>
      <c r="C165" s="87"/>
      <c r="D165" s="87"/>
      <c r="E165" s="142"/>
      <c r="F165" s="87"/>
      <c r="G165" s="87"/>
      <c r="H165" s="87"/>
      <c r="I165" s="143"/>
      <c r="J165" s="87"/>
      <c r="K165" s="87"/>
      <c r="L165" s="87"/>
      <c r="M165" s="87"/>
      <c r="N165" s="87"/>
      <c r="O165" s="87"/>
      <c r="P165" s="87"/>
      <c r="Q165" s="87"/>
      <c r="R165" s="144"/>
      <c r="S165" s="144"/>
      <c r="T165" s="87"/>
      <c r="U165" s="87"/>
    </row>
    <row r="166" customFormat="false" ht="18" hidden="false" customHeight="true" outlineLevel="0" collapsed="false">
      <c r="B166" s="7"/>
      <c r="C166" s="7"/>
      <c r="D166" s="7"/>
      <c r="E166" s="71"/>
      <c r="F166" s="7"/>
      <c r="G166" s="7"/>
      <c r="H166" s="7"/>
      <c r="I166" s="145"/>
      <c r="J166" s="7"/>
      <c r="K166" s="7"/>
      <c r="L166" s="7"/>
      <c r="M166" s="7"/>
      <c r="N166" s="7"/>
      <c r="O166" s="7"/>
      <c r="P166" s="7"/>
      <c r="Q166" s="7"/>
      <c r="R166" s="146"/>
      <c r="S166" s="146"/>
      <c r="T166" s="7"/>
      <c r="U166" s="7"/>
    </row>
    <row r="167" customFormat="false" ht="18" hidden="false" customHeight="true" outlineLevel="0" collapsed="false">
      <c r="B167" s="87"/>
      <c r="C167" s="87"/>
      <c r="D167" s="87"/>
      <c r="E167" s="142"/>
      <c r="F167" s="87"/>
      <c r="G167" s="87"/>
      <c r="H167" s="87"/>
      <c r="I167" s="143"/>
      <c r="J167" s="87"/>
      <c r="K167" s="87"/>
      <c r="L167" s="87"/>
      <c r="M167" s="87"/>
      <c r="N167" s="87"/>
      <c r="O167" s="87"/>
      <c r="P167" s="87"/>
      <c r="Q167" s="87"/>
      <c r="R167" s="144"/>
      <c r="S167" s="144"/>
      <c r="T167" s="87"/>
      <c r="U167" s="87"/>
    </row>
    <row r="168" customFormat="false" ht="18" hidden="false" customHeight="true" outlineLevel="0" collapsed="false">
      <c r="B168" s="7"/>
      <c r="C168" s="7"/>
      <c r="D168" s="7"/>
      <c r="E168" s="71"/>
      <c r="F168" s="7"/>
      <c r="G168" s="7"/>
      <c r="H168" s="7"/>
      <c r="I168" s="145"/>
      <c r="J168" s="7"/>
      <c r="K168" s="7"/>
      <c r="L168" s="7"/>
      <c r="M168" s="7"/>
      <c r="N168" s="7"/>
      <c r="O168" s="7"/>
      <c r="P168" s="7"/>
      <c r="Q168" s="7"/>
      <c r="R168" s="146"/>
      <c r="S168" s="146"/>
      <c r="T168" s="7"/>
      <c r="U168" s="7"/>
    </row>
    <row r="169" customFormat="false" ht="18" hidden="false" customHeight="true" outlineLevel="0" collapsed="false">
      <c r="B169" s="87"/>
      <c r="C169" s="87"/>
      <c r="D169" s="87"/>
      <c r="E169" s="142"/>
      <c r="F169" s="87"/>
      <c r="G169" s="87"/>
      <c r="H169" s="87"/>
      <c r="I169" s="143"/>
      <c r="J169" s="87"/>
      <c r="K169" s="87"/>
      <c r="L169" s="87"/>
      <c r="M169" s="87"/>
      <c r="N169" s="87"/>
      <c r="O169" s="87"/>
      <c r="P169" s="87"/>
      <c r="Q169" s="87"/>
      <c r="R169" s="144"/>
      <c r="S169" s="144"/>
      <c r="T169" s="87"/>
      <c r="U169" s="87"/>
    </row>
    <row r="170" customFormat="false" ht="18" hidden="false" customHeight="true" outlineLevel="0" collapsed="false">
      <c r="B170" s="7"/>
      <c r="C170" s="7"/>
      <c r="D170" s="7"/>
      <c r="E170" s="71"/>
      <c r="F170" s="7"/>
      <c r="G170" s="7"/>
      <c r="H170" s="7"/>
      <c r="I170" s="145"/>
      <c r="J170" s="7"/>
      <c r="K170" s="7"/>
      <c r="L170" s="7"/>
      <c r="M170" s="7"/>
      <c r="N170" s="7"/>
      <c r="O170" s="7"/>
      <c r="P170" s="7"/>
      <c r="Q170" s="7"/>
      <c r="R170" s="146"/>
      <c r="S170" s="146"/>
      <c r="T170" s="7"/>
      <c r="U170" s="7"/>
    </row>
    <row r="171" customFormat="false" ht="18" hidden="false" customHeight="true" outlineLevel="0" collapsed="false">
      <c r="B171" s="87"/>
      <c r="C171" s="87"/>
      <c r="D171" s="87"/>
      <c r="E171" s="142"/>
      <c r="F171" s="87"/>
      <c r="G171" s="87"/>
      <c r="H171" s="87"/>
      <c r="I171" s="143"/>
      <c r="J171" s="87"/>
      <c r="K171" s="87"/>
      <c r="L171" s="87"/>
      <c r="M171" s="87"/>
      <c r="N171" s="87"/>
      <c r="O171" s="87"/>
      <c r="P171" s="87"/>
      <c r="Q171" s="87"/>
      <c r="R171" s="144"/>
      <c r="S171" s="144"/>
      <c r="T171" s="87"/>
      <c r="U171" s="87"/>
    </row>
    <row r="172" customFormat="false" ht="18" hidden="false" customHeight="true" outlineLevel="0" collapsed="false">
      <c r="B172" s="7"/>
      <c r="C172" s="7"/>
      <c r="D172" s="7"/>
      <c r="E172" s="71"/>
      <c r="F172" s="7"/>
      <c r="G172" s="7"/>
      <c r="H172" s="7"/>
      <c r="I172" s="145"/>
      <c r="J172" s="7"/>
      <c r="K172" s="7"/>
      <c r="L172" s="7"/>
      <c r="M172" s="7"/>
      <c r="N172" s="7"/>
      <c r="O172" s="7"/>
      <c r="P172" s="7"/>
      <c r="Q172" s="7"/>
      <c r="R172" s="146"/>
      <c r="S172" s="146"/>
      <c r="T172" s="7"/>
      <c r="U172" s="7"/>
    </row>
    <row r="173" customFormat="false" ht="18" hidden="false" customHeight="true" outlineLevel="0" collapsed="false">
      <c r="B173" s="87"/>
      <c r="C173" s="87"/>
      <c r="D173" s="87"/>
      <c r="E173" s="142"/>
      <c r="F173" s="87"/>
      <c r="G173" s="87"/>
      <c r="H173" s="87"/>
      <c r="I173" s="143"/>
      <c r="J173" s="87"/>
      <c r="K173" s="87"/>
      <c r="L173" s="87"/>
      <c r="M173" s="87"/>
      <c r="N173" s="87"/>
      <c r="O173" s="87"/>
      <c r="P173" s="87"/>
      <c r="Q173" s="87"/>
      <c r="R173" s="144"/>
      <c r="S173" s="144"/>
      <c r="T173" s="87"/>
      <c r="U173" s="87"/>
    </row>
    <row r="174" customFormat="false" ht="18" hidden="false" customHeight="true" outlineLevel="0" collapsed="false">
      <c r="B174" s="7"/>
      <c r="C174" s="7"/>
      <c r="D174" s="7"/>
      <c r="E174" s="71"/>
      <c r="F174" s="7"/>
      <c r="G174" s="7"/>
      <c r="H174" s="7"/>
      <c r="I174" s="145"/>
      <c r="J174" s="7"/>
      <c r="K174" s="7"/>
      <c r="L174" s="7"/>
      <c r="M174" s="7"/>
      <c r="N174" s="7"/>
      <c r="O174" s="7"/>
      <c r="P174" s="7"/>
      <c r="Q174" s="7"/>
      <c r="R174" s="146"/>
      <c r="S174" s="146"/>
      <c r="T174" s="7"/>
      <c r="U174" s="7"/>
    </row>
    <row r="175" customFormat="false" ht="18" hidden="false" customHeight="true" outlineLevel="0" collapsed="false">
      <c r="B175" s="87"/>
      <c r="C175" s="87"/>
      <c r="D175" s="87"/>
      <c r="E175" s="142"/>
      <c r="F175" s="87"/>
      <c r="G175" s="87"/>
      <c r="H175" s="87"/>
      <c r="I175" s="143"/>
      <c r="J175" s="87"/>
      <c r="K175" s="87"/>
      <c r="L175" s="87"/>
      <c r="M175" s="87"/>
      <c r="N175" s="87"/>
      <c r="O175" s="87"/>
      <c r="P175" s="87"/>
      <c r="Q175" s="87"/>
      <c r="R175" s="144"/>
      <c r="S175" s="144"/>
      <c r="T175" s="87"/>
      <c r="U175" s="87"/>
    </row>
    <row r="176" customFormat="false" ht="18" hidden="false" customHeight="true" outlineLevel="0" collapsed="false">
      <c r="B176" s="7"/>
      <c r="C176" s="7"/>
      <c r="D176" s="7"/>
      <c r="E176" s="71"/>
      <c r="F176" s="7"/>
      <c r="G176" s="7"/>
      <c r="H176" s="7"/>
      <c r="I176" s="145"/>
      <c r="J176" s="7"/>
      <c r="K176" s="7"/>
      <c r="L176" s="7"/>
      <c r="M176" s="7"/>
      <c r="N176" s="7"/>
      <c r="O176" s="7"/>
      <c r="P176" s="7"/>
      <c r="Q176" s="7"/>
      <c r="R176" s="146"/>
      <c r="S176" s="146"/>
      <c r="T176" s="7"/>
      <c r="U176" s="7"/>
    </row>
    <row r="177" customFormat="false" ht="18" hidden="false" customHeight="true" outlineLevel="0" collapsed="false">
      <c r="B177" s="87"/>
      <c r="C177" s="87"/>
      <c r="D177" s="87"/>
      <c r="E177" s="142"/>
      <c r="F177" s="87"/>
      <c r="G177" s="87"/>
      <c r="H177" s="87"/>
      <c r="I177" s="143"/>
      <c r="J177" s="87"/>
      <c r="K177" s="87"/>
      <c r="L177" s="87"/>
      <c r="M177" s="87"/>
      <c r="N177" s="87"/>
      <c r="O177" s="87"/>
      <c r="P177" s="87"/>
      <c r="Q177" s="87"/>
      <c r="R177" s="144"/>
      <c r="S177" s="144"/>
      <c r="T177" s="87"/>
      <c r="U177" s="87"/>
    </row>
    <row r="178" customFormat="false" ht="18" hidden="false" customHeight="true" outlineLevel="0" collapsed="false">
      <c r="B178" s="7"/>
      <c r="C178" s="7"/>
      <c r="D178" s="7"/>
      <c r="E178" s="71"/>
      <c r="F178" s="7"/>
      <c r="G178" s="7"/>
      <c r="H178" s="7"/>
      <c r="I178" s="145"/>
      <c r="J178" s="7"/>
      <c r="K178" s="7"/>
      <c r="L178" s="7"/>
      <c r="M178" s="7"/>
      <c r="N178" s="7"/>
      <c r="O178" s="7"/>
      <c r="P178" s="7"/>
      <c r="Q178" s="7"/>
      <c r="R178" s="146"/>
      <c r="S178" s="146"/>
      <c r="T178" s="7"/>
      <c r="U178" s="7"/>
    </row>
    <row r="179" customFormat="false" ht="18" hidden="false" customHeight="true" outlineLevel="0" collapsed="false">
      <c r="B179" s="87"/>
      <c r="C179" s="87"/>
      <c r="D179" s="87"/>
      <c r="E179" s="142"/>
      <c r="F179" s="87"/>
      <c r="G179" s="87"/>
      <c r="H179" s="87"/>
      <c r="I179" s="143"/>
      <c r="J179" s="87"/>
      <c r="K179" s="87"/>
      <c r="L179" s="87"/>
      <c r="M179" s="87"/>
      <c r="N179" s="87"/>
      <c r="O179" s="87"/>
      <c r="P179" s="87"/>
      <c r="Q179" s="87"/>
      <c r="R179" s="144"/>
      <c r="S179" s="144"/>
      <c r="T179" s="87"/>
      <c r="U179" s="87"/>
    </row>
    <row r="180" customFormat="false" ht="18" hidden="false" customHeight="true" outlineLevel="0" collapsed="false">
      <c r="B180" s="7"/>
      <c r="C180" s="7"/>
      <c r="D180" s="7"/>
      <c r="E180" s="71"/>
      <c r="F180" s="7"/>
      <c r="G180" s="7"/>
      <c r="H180" s="7"/>
      <c r="I180" s="145"/>
      <c r="J180" s="7"/>
      <c r="K180" s="7"/>
      <c r="L180" s="7"/>
      <c r="M180" s="7"/>
      <c r="N180" s="7"/>
      <c r="O180" s="7"/>
      <c r="P180" s="7"/>
      <c r="Q180" s="7"/>
      <c r="R180" s="146"/>
      <c r="S180" s="146"/>
      <c r="T180" s="7"/>
      <c r="U180" s="7"/>
    </row>
    <row r="181" customFormat="false" ht="18" hidden="false" customHeight="true" outlineLevel="0" collapsed="false">
      <c r="B181" s="87"/>
      <c r="C181" s="87"/>
      <c r="D181" s="87"/>
      <c r="E181" s="142"/>
      <c r="F181" s="87"/>
      <c r="G181" s="87"/>
      <c r="H181" s="87"/>
      <c r="I181" s="143"/>
      <c r="J181" s="87"/>
      <c r="K181" s="87"/>
      <c r="L181" s="87"/>
      <c r="M181" s="87"/>
      <c r="N181" s="87"/>
      <c r="O181" s="87"/>
      <c r="P181" s="87"/>
      <c r="Q181" s="87"/>
      <c r="R181" s="144"/>
      <c r="S181" s="144"/>
      <c r="T181" s="87"/>
      <c r="U181" s="87"/>
    </row>
    <row r="182" customFormat="false" ht="18" hidden="false" customHeight="true" outlineLevel="0" collapsed="false">
      <c r="B182" s="7"/>
      <c r="C182" s="7"/>
      <c r="D182" s="7"/>
      <c r="E182" s="71"/>
      <c r="F182" s="7"/>
      <c r="G182" s="7"/>
      <c r="H182" s="7"/>
      <c r="I182" s="145"/>
      <c r="J182" s="7"/>
      <c r="K182" s="7"/>
      <c r="L182" s="7"/>
      <c r="M182" s="7"/>
      <c r="N182" s="7"/>
      <c r="O182" s="7"/>
      <c r="P182" s="7"/>
      <c r="Q182" s="7"/>
      <c r="R182" s="146"/>
      <c r="S182" s="146"/>
      <c r="T182" s="7"/>
      <c r="U182" s="7"/>
    </row>
    <row r="183" customFormat="false" ht="18" hidden="false" customHeight="true" outlineLevel="0" collapsed="false">
      <c r="B183" s="87"/>
      <c r="C183" s="87"/>
      <c r="D183" s="87"/>
      <c r="E183" s="142"/>
      <c r="F183" s="87"/>
      <c r="G183" s="87"/>
      <c r="H183" s="87"/>
      <c r="I183" s="143"/>
      <c r="J183" s="87"/>
      <c r="K183" s="87"/>
      <c r="L183" s="87"/>
      <c r="M183" s="87"/>
      <c r="N183" s="87"/>
      <c r="O183" s="87"/>
      <c r="P183" s="87"/>
      <c r="Q183" s="87"/>
      <c r="R183" s="144"/>
      <c r="S183" s="144"/>
      <c r="T183" s="87"/>
      <c r="U183" s="87"/>
    </row>
    <row r="184" customFormat="false" ht="18" hidden="false" customHeight="true" outlineLevel="0" collapsed="false">
      <c r="B184" s="7"/>
      <c r="C184" s="7"/>
      <c r="D184" s="7"/>
      <c r="E184" s="71"/>
      <c r="F184" s="7"/>
      <c r="G184" s="7"/>
      <c r="H184" s="7"/>
      <c r="I184" s="145"/>
      <c r="J184" s="7"/>
      <c r="K184" s="7"/>
      <c r="L184" s="7"/>
      <c r="M184" s="7"/>
      <c r="N184" s="7"/>
      <c r="O184" s="7"/>
      <c r="P184" s="7"/>
      <c r="Q184" s="7"/>
      <c r="R184" s="146"/>
      <c r="S184" s="146"/>
      <c r="T184" s="7"/>
      <c r="U184" s="7"/>
    </row>
    <row r="185" customFormat="false" ht="18" hidden="false" customHeight="true" outlineLevel="0" collapsed="false">
      <c r="B185" s="87"/>
      <c r="C185" s="87"/>
      <c r="D185" s="87"/>
      <c r="E185" s="142"/>
      <c r="F185" s="87"/>
      <c r="G185" s="87"/>
      <c r="H185" s="87"/>
      <c r="I185" s="143"/>
      <c r="J185" s="87"/>
      <c r="K185" s="87"/>
      <c r="L185" s="87"/>
      <c r="M185" s="87"/>
      <c r="N185" s="87"/>
      <c r="O185" s="87"/>
      <c r="P185" s="87"/>
      <c r="Q185" s="87"/>
      <c r="R185" s="144"/>
      <c r="S185" s="144"/>
      <c r="T185" s="87"/>
      <c r="U185" s="87"/>
    </row>
    <row r="186" customFormat="false" ht="18" hidden="false" customHeight="true" outlineLevel="0" collapsed="false">
      <c r="B186" s="7"/>
      <c r="C186" s="7"/>
      <c r="D186" s="7"/>
      <c r="E186" s="71"/>
      <c r="F186" s="7"/>
      <c r="G186" s="7"/>
      <c r="H186" s="7"/>
      <c r="I186" s="145"/>
      <c r="J186" s="7"/>
      <c r="K186" s="7"/>
      <c r="L186" s="7"/>
      <c r="M186" s="7"/>
      <c r="N186" s="7"/>
      <c r="O186" s="7"/>
      <c r="P186" s="7"/>
      <c r="Q186" s="7"/>
      <c r="R186" s="146"/>
      <c r="S186" s="146"/>
      <c r="T186" s="7"/>
      <c r="U186" s="7"/>
    </row>
    <row r="187" customFormat="false" ht="18" hidden="false" customHeight="true" outlineLevel="0" collapsed="false">
      <c r="B187" s="87"/>
      <c r="C187" s="87"/>
      <c r="D187" s="87"/>
      <c r="E187" s="142"/>
      <c r="F187" s="87"/>
      <c r="G187" s="87"/>
      <c r="H187" s="87"/>
      <c r="I187" s="143"/>
      <c r="J187" s="87"/>
      <c r="K187" s="87"/>
      <c r="L187" s="87"/>
      <c r="M187" s="87"/>
      <c r="N187" s="87"/>
      <c r="O187" s="87"/>
      <c r="P187" s="87"/>
      <c r="Q187" s="87"/>
      <c r="R187" s="144"/>
      <c r="S187" s="144"/>
      <c r="T187" s="87"/>
      <c r="U187" s="87"/>
    </row>
    <row r="188" customFormat="false" ht="18" hidden="false" customHeight="true" outlineLevel="0" collapsed="false">
      <c r="B188" s="7"/>
      <c r="C188" s="7"/>
      <c r="D188" s="7"/>
      <c r="E188" s="71"/>
      <c r="F188" s="7"/>
      <c r="G188" s="7"/>
      <c r="H188" s="7"/>
      <c r="I188" s="145"/>
      <c r="J188" s="7"/>
      <c r="K188" s="7"/>
      <c r="L188" s="7"/>
      <c r="M188" s="7"/>
      <c r="N188" s="7"/>
      <c r="O188" s="7"/>
      <c r="P188" s="7"/>
      <c r="Q188" s="7"/>
      <c r="R188" s="146"/>
      <c r="S188" s="146"/>
      <c r="T188" s="7"/>
      <c r="U188" s="7"/>
    </row>
    <row r="189" customFormat="false" ht="18" hidden="false" customHeight="true" outlineLevel="0" collapsed="false">
      <c r="B189" s="87"/>
      <c r="C189" s="87"/>
      <c r="D189" s="87"/>
      <c r="E189" s="142"/>
      <c r="F189" s="87"/>
      <c r="G189" s="87"/>
      <c r="H189" s="87"/>
      <c r="I189" s="143"/>
      <c r="J189" s="87"/>
      <c r="K189" s="87"/>
      <c r="L189" s="87"/>
      <c r="M189" s="87"/>
      <c r="N189" s="87"/>
      <c r="O189" s="87"/>
      <c r="P189" s="87"/>
      <c r="Q189" s="87"/>
      <c r="R189" s="144"/>
      <c r="S189" s="144"/>
      <c r="T189" s="87"/>
      <c r="U189" s="87"/>
    </row>
    <row r="190" customFormat="false" ht="18" hidden="false" customHeight="true" outlineLevel="0" collapsed="false">
      <c r="B190" s="7"/>
      <c r="C190" s="7"/>
      <c r="D190" s="7"/>
      <c r="E190" s="71"/>
      <c r="F190" s="7"/>
      <c r="G190" s="7"/>
      <c r="H190" s="7"/>
      <c r="I190" s="145"/>
      <c r="J190" s="7"/>
      <c r="K190" s="7"/>
      <c r="L190" s="7"/>
      <c r="M190" s="7"/>
      <c r="N190" s="7"/>
      <c r="O190" s="7"/>
      <c r="P190" s="7"/>
      <c r="Q190" s="7"/>
      <c r="R190" s="146"/>
      <c r="S190" s="146"/>
      <c r="T190" s="7"/>
      <c r="U190" s="7"/>
    </row>
    <row r="191" customFormat="false" ht="18" hidden="false" customHeight="true" outlineLevel="0" collapsed="false">
      <c r="B191" s="87"/>
      <c r="C191" s="87"/>
      <c r="D191" s="87"/>
      <c r="E191" s="142"/>
      <c r="F191" s="87"/>
      <c r="G191" s="87"/>
      <c r="H191" s="87"/>
      <c r="I191" s="143"/>
      <c r="J191" s="87"/>
      <c r="K191" s="87"/>
      <c r="L191" s="87"/>
      <c r="M191" s="87"/>
      <c r="N191" s="87"/>
      <c r="O191" s="87"/>
      <c r="P191" s="87"/>
      <c r="Q191" s="87"/>
      <c r="R191" s="144"/>
      <c r="S191" s="144"/>
      <c r="T191" s="87"/>
      <c r="U191" s="87"/>
    </row>
    <row r="192" customFormat="false" ht="18" hidden="false" customHeight="true" outlineLevel="0" collapsed="false">
      <c r="B192" s="7"/>
      <c r="C192" s="7"/>
      <c r="D192" s="7"/>
      <c r="E192" s="71"/>
      <c r="F192" s="7"/>
      <c r="G192" s="7"/>
      <c r="H192" s="7"/>
      <c r="I192" s="145"/>
      <c r="J192" s="7"/>
      <c r="K192" s="7"/>
      <c r="L192" s="7"/>
      <c r="M192" s="7"/>
      <c r="N192" s="7"/>
      <c r="O192" s="7"/>
      <c r="P192" s="7"/>
      <c r="Q192" s="7"/>
      <c r="R192" s="146"/>
      <c r="S192" s="146"/>
      <c r="T192" s="7"/>
      <c r="U192" s="7"/>
    </row>
    <row r="193" customFormat="false" ht="18" hidden="false" customHeight="true" outlineLevel="0" collapsed="false">
      <c r="B193" s="87"/>
      <c r="C193" s="87"/>
      <c r="D193" s="87"/>
      <c r="E193" s="142"/>
      <c r="F193" s="87"/>
      <c r="G193" s="87"/>
      <c r="H193" s="87"/>
      <c r="I193" s="143"/>
      <c r="J193" s="87"/>
      <c r="K193" s="87"/>
      <c r="L193" s="87"/>
      <c r="M193" s="87"/>
      <c r="N193" s="87"/>
      <c r="O193" s="87"/>
      <c r="P193" s="87"/>
      <c r="Q193" s="87"/>
      <c r="R193" s="144"/>
      <c r="S193" s="144"/>
      <c r="T193" s="87"/>
      <c r="U193" s="87"/>
    </row>
    <row r="194" customFormat="false" ht="18" hidden="false" customHeight="true" outlineLevel="0" collapsed="false">
      <c r="B194" s="7"/>
      <c r="C194" s="7"/>
      <c r="D194" s="7"/>
      <c r="E194" s="71"/>
      <c r="F194" s="7"/>
      <c r="G194" s="7"/>
      <c r="H194" s="7"/>
      <c r="I194" s="145"/>
      <c r="J194" s="7"/>
      <c r="K194" s="7"/>
      <c r="L194" s="7"/>
      <c r="M194" s="7"/>
      <c r="N194" s="7"/>
      <c r="O194" s="7"/>
      <c r="P194" s="7"/>
      <c r="Q194" s="7"/>
      <c r="R194" s="146"/>
      <c r="S194" s="146"/>
      <c r="T194" s="7"/>
      <c r="U194" s="7"/>
    </row>
    <row r="195" customFormat="false" ht="18" hidden="false" customHeight="true" outlineLevel="0" collapsed="false">
      <c r="B195" s="87"/>
      <c r="C195" s="87"/>
      <c r="D195" s="87"/>
      <c r="E195" s="142"/>
      <c r="F195" s="87"/>
      <c r="G195" s="87"/>
      <c r="H195" s="87"/>
      <c r="I195" s="143"/>
      <c r="J195" s="87"/>
      <c r="K195" s="87"/>
      <c r="L195" s="87"/>
      <c r="M195" s="87"/>
      <c r="N195" s="87"/>
      <c r="O195" s="87"/>
      <c r="P195" s="87"/>
      <c r="Q195" s="87"/>
      <c r="R195" s="144"/>
      <c r="S195" s="144"/>
      <c r="T195" s="87"/>
      <c r="U195" s="87"/>
    </row>
    <row r="196" customFormat="false" ht="18" hidden="false" customHeight="true" outlineLevel="0" collapsed="false">
      <c r="B196" s="7"/>
      <c r="C196" s="7"/>
      <c r="D196" s="7"/>
      <c r="E196" s="71"/>
      <c r="F196" s="7"/>
      <c r="G196" s="7"/>
      <c r="H196" s="7"/>
      <c r="I196" s="145"/>
      <c r="J196" s="7"/>
      <c r="K196" s="7"/>
      <c r="L196" s="7"/>
      <c r="M196" s="7"/>
      <c r="N196" s="7"/>
      <c r="O196" s="7"/>
      <c r="P196" s="7"/>
      <c r="Q196" s="7"/>
      <c r="R196" s="146"/>
      <c r="S196" s="146"/>
      <c r="T196" s="7"/>
      <c r="U196" s="7"/>
    </row>
    <row r="197" customFormat="false" ht="18" hidden="false" customHeight="true" outlineLevel="0" collapsed="false">
      <c r="B197" s="87"/>
      <c r="C197" s="87"/>
      <c r="D197" s="87"/>
      <c r="E197" s="142"/>
      <c r="F197" s="87"/>
      <c r="G197" s="87"/>
      <c r="H197" s="87"/>
      <c r="I197" s="143"/>
      <c r="J197" s="87"/>
      <c r="K197" s="87"/>
      <c r="L197" s="87"/>
      <c r="M197" s="87"/>
      <c r="N197" s="87"/>
      <c r="O197" s="87"/>
      <c r="P197" s="87"/>
      <c r="Q197" s="87"/>
      <c r="R197" s="144"/>
      <c r="S197" s="144"/>
      <c r="T197" s="87"/>
      <c r="U197" s="87"/>
    </row>
    <row r="198" customFormat="false" ht="18" hidden="false" customHeight="true" outlineLevel="0" collapsed="false">
      <c r="B198" s="7"/>
      <c r="C198" s="7"/>
      <c r="D198" s="7"/>
      <c r="E198" s="71"/>
      <c r="F198" s="7"/>
      <c r="G198" s="7"/>
      <c r="H198" s="7"/>
      <c r="I198" s="145"/>
      <c r="J198" s="7"/>
      <c r="K198" s="7"/>
      <c r="L198" s="7"/>
      <c r="M198" s="7"/>
      <c r="N198" s="7"/>
      <c r="O198" s="7"/>
      <c r="P198" s="7"/>
      <c r="Q198" s="7"/>
      <c r="R198" s="146"/>
      <c r="S198" s="146"/>
      <c r="T198" s="7"/>
      <c r="U198" s="7"/>
    </row>
    <row r="199" customFormat="false" ht="18" hidden="false" customHeight="true" outlineLevel="0" collapsed="false">
      <c r="B199" s="87"/>
      <c r="C199" s="87"/>
      <c r="D199" s="87"/>
      <c r="E199" s="142"/>
      <c r="F199" s="87"/>
      <c r="G199" s="87"/>
      <c r="H199" s="87"/>
      <c r="I199" s="143"/>
      <c r="J199" s="87"/>
      <c r="K199" s="87"/>
      <c r="L199" s="87"/>
      <c r="M199" s="87"/>
      <c r="N199" s="87"/>
      <c r="O199" s="87"/>
      <c r="P199" s="87"/>
      <c r="Q199" s="87"/>
      <c r="R199" s="144"/>
      <c r="S199" s="144"/>
      <c r="T199" s="87"/>
      <c r="U199" s="87"/>
    </row>
    <row r="200" customFormat="false" ht="18" hidden="false" customHeight="true" outlineLevel="0" collapsed="false">
      <c r="B200" s="7"/>
      <c r="C200" s="7"/>
      <c r="D200" s="7"/>
      <c r="E200" s="71"/>
      <c r="F200" s="7"/>
      <c r="G200" s="7"/>
      <c r="H200" s="7"/>
      <c r="I200" s="145"/>
      <c r="J200" s="7"/>
      <c r="K200" s="7"/>
      <c r="L200" s="7"/>
      <c r="M200" s="7"/>
      <c r="N200" s="7"/>
      <c r="O200" s="7"/>
      <c r="P200" s="7"/>
      <c r="Q200" s="7"/>
      <c r="R200" s="146"/>
      <c r="S200" s="146"/>
      <c r="T200" s="7"/>
      <c r="U200" s="7"/>
    </row>
    <row r="201" customFormat="false" ht="18" hidden="false" customHeight="true" outlineLevel="0" collapsed="false">
      <c r="B201" s="87"/>
      <c r="C201" s="87"/>
      <c r="D201" s="87"/>
      <c r="E201" s="142"/>
      <c r="F201" s="87"/>
      <c r="G201" s="87"/>
      <c r="H201" s="87"/>
      <c r="I201" s="143"/>
      <c r="J201" s="87"/>
      <c r="K201" s="87"/>
      <c r="L201" s="87"/>
      <c r="M201" s="87"/>
      <c r="N201" s="87"/>
      <c r="O201" s="87"/>
      <c r="P201" s="87"/>
      <c r="Q201" s="87"/>
      <c r="R201" s="144"/>
      <c r="S201" s="144"/>
      <c r="T201" s="87"/>
      <c r="U201" s="87"/>
    </row>
    <row r="202" customFormat="false" ht="18" hidden="false" customHeight="true" outlineLevel="0" collapsed="false">
      <c r="B202" s="7"/>
      <c r="C202" s="7"/>
      <c r="D202" s="7"/>
      <c r="E202" s="71"/>
      <c r="F202" s="7"/>
      <c r="G202" s="7"/>
      <c r="H202" s="7"/>
      <c r="I202" s="145"/>
      <c r="J202" s="7"/>
      <c r="K202" s="7"/>
      <c r="L202" s="7"/>
      <c r="M202" s="7"/>
      <c r="N202" s="7"/>
      <c r="O202" s="7"/>
      <c r="P202" s="7"/>
      <c r="Q202" s="7"/>
      <c r="R202" s="146"/>
      <c r="S202" s="146"/>
      <c r="T202" s="7"/>
      <c r="U202" s="7"/>
    </row>
    <row r="203" customFormat="false" ht="18" hidden="false" customHeight="true" outlineLevel="0" collapsed="false">
      <c r="B203" s="87"/>
      <c r="C203" s="87"/>
      <c r="D203" s="87"/>
      <c r="E203" s="142"/>
      <c r="F203" s="87"/>
      <c r="G203" s="87"/>
      <c r="H203" s="87"/>
      <c r="I203" s="143"/>
      <c r="J203" s="87"/>
      <c r="K203" s="87"/>
      <c r="L203" s="87"/>
      <c r="M203" s="87"/>
      <c r="N203" s="87"/>
      <c r="O203" s="87"/>
      <c r="P203" s="87"/>
      <c r="Q203" s="87"/>
      <c r="R203" s="144"/>
      <c r="S203" s="144"/>
      <c r="T203" s="87"/>
      <c r="U203" s="87"/>
    </row>
    <row r="204" customFormat="false" ht="18" hidden="false" customHeight="true" outlineLevel="0" collapsed="false">
      <c r="B204" s="7"/>
      <c r="C204" s="7"/>
      <c r="D204" s="7"/>
      <c r="E204" s="71"/>
      <c r="F204" s="7"/>
      <c r="G204" s="7"/>
      <c r="H204" s="7"/>
      <c r="I204" s="145"/>
      <c r="J204" s="7"/>
      <c r="K204" s="7"/>
      <c r="L204" s="7"/>
      <c r="M204" s="7"/>
      <c r="N204" s="7"/>
      <c r="O204" s="7"/>
      <c r="P204" s="7"/>
      <c r="Q204" s="7"/>
      <c r="R204" s="146"/>
      <c r="S204" s="146"/>
      <c r="T204" s="7"/>
      <c r="U204" s="7"/>
    </row>
    <row r="205" customFormat="false" ht="18" hidden="false" customHeight="true" outlineLevel="0" collapsed="false">
      <c r="B205" s="87"/>
      <c r="C205" s="87"/>
      <c r="D205" s="87"/>
      <c r="E205" s="142"/>
      <c r="F205" s="87"/>
      <c r="G205" s="87"/>
      <c r="H205" s="87"/>
      <c r="I205" s="143"/>
      <c r="J205" s="87"/>
      <c r="K205" s="87"/>
      <c r="L205" s="87"/>
      <c r="M205" s="87"/>
      <c r="N205" s="87"/>
      <c r="O205" s="87"/>
      <c r="P205" s="87"/>
      <c r="Q205" s="87"/>
      <c r="R205" s="144"/>
      <c r="S205" s="144"/>
      <c r="T205" s="87"/>
      <c r="U205" s="87"/>
    </row>
    <row r="206" customFormat="false" ht="18" hidden="false" customHeight="true" outlineLevel="0" collapsed="false">
      <c r="B206" s="7"/>
      <c r="C206" s="7"/>
      <c r="D206" s="7"/>
      <c r="E206" s="71"/>
      <c r="F206" s="7"/>
      <c r="G206" s="7"/>
      <c r="H206" s="7"/>
      <c r="I206" s="145"/>
      <c r="J206" s="7"/>
      <c r="K206" s="7"/>
      <c r="L206" s="7"/>
      <c r="M206" s="7"/>
      <c r="N206" s="7"/>
      <c r="O206" s="7"/>
      <c r="P206" s="7"/>
      <c r="Q206" s="7"/>
      <c r="R206" s="146"/>
      <c r="S206" s="146"/>
      <c r="T206" s="7"/>
      <c r="U206" s="7"/>
    </row>
    <row r="207" customFormat="false" ht="18" hidden="false" customHeight="true" outlineLevel="0" collapsed="false">
      <c r="B207" s="87"/>
      <c r="C207" s="87"/>
      <c r="D207" s="87"/>
      <c r="E207" s="142"/>
      <c r="F207" s="87"/>
      <c r="G207" s="87"/>
      <c r="H207" s="87"/>
      <c r="I207" s="143"/>
      <c r="J207" s="87"/>
      <c r="K207" s="87"/>
      <c r="L207" s="87"/>
      <c r="M207" s="87"/>
      <c r="N207" s="87"/>
      <c r="O207" s="87"/>
      <c r="P207" s="87"/>
      <c r="Q207" s="87"/>
      <c r="R207" s="144"/>
      <c r="S207" s="144"/>
      <c r="T207" s="87"/>
      <c r="U207" s="87"/>
    </row>
    <row r="208" customFormat="false" ht="18" hidden="false" customHeight="true" outlineLevel="0" collapsed="false">
      <c r="B208" s="7"/>
      <c r="C208" s="7"/>
      <c r="D208" s="7"/>
      <c r="E208" s="71"/>
      <c r="F208" s="7"/>
      <c r="G208" s="7"/>
      <c r="H208" s="7"/>
      <c r="I208" s="145"/>
      <c r="J208" s="7"/>
      <c r="K208" s="7"/>
      <c r="L208" s="7"/>
      <c r="M208" s="7"/>
      <c r="N208" s="7"/>
      <c r="O208" s="7"/>
      <c r="P208" s="7"/>
      <c r="Q208" s="7"/>
      <c r="R208" s="146"/>
      <c r="S208" s="146"/>
      <c r="T208" s="7"/>
      <c r="U208" s="7"/>
    </row>
    <row r="209" customFormat="false" ht="18" hidden="false" customHeight="true" outlineLevel="0" collapsed="false">
      <c r="B209" s="87"/>
      <c r="C209" s="87"/>
      <c r="D209" s="87"/>
      <c r="E209" s="142"/>
      <c r="F209" s="87"/>
      <c r="G209" s="87"/>
      <c r="H209" s="87"/>
      <c r="I209" s="143"/>
      <c r="J209" s="87"/>
      <c r="K209" s="87"/>
      <c r="L209" s="87"/>
      <c r="M209" s="87"/>
      <c r="N209" s="87"/>
      <c r="O209" s="87"/>
      <c r="P209" s="87"/>
      <c r="Q209" s="87"/>
      <c r="R209" s="144"/>
      <c r="S209" s="144"/>
      <c r="T209" s="87"/>
      <c r="U209" s="87"/>
    </row>
    <row r="210" customFormat="false" ht="18" hidden="false" customHeight="true" outlineLevel="0" collapsed="false">
      <c r="B210" s="7"/>
      <c r="C210" s="7"/>
      <c r="D210" s="7"/>
      <c r="E210" s="71"/>
      <c r="F210" s="7"/>
      <c r="G210" s="7"/>
      <c r="H210" s="7"/>
      <c r="I210" s="145"/>
      <c r="J210" s="7"/>
      <c r="K210" s="7"/>
      <c r="L210" s="7"/>
      <c r="M210" s="7"/>
      <c r="N210" s="7"/>
      <c r="O210" s="7"/>
      <c r="P210" s="7"/>
      <c r="Q210" s="7"/>
      <c r="R210" s="146"/>
      <c r="S210" s="146"/>
      <c r="T210" s="7"/>
      <c r="U210" s="7"/>
    </row>
    <row r="211" customFormat="false" ht="18" hidden="false" customHeight="true" outlineLevel="0" collapsed="false">
      <c r="B211" s="87"/>
      <c r="C211" s="87"/>
      <c r="D211" s="87"/>
      <c r="E211" s="142"/>
      <c r="F211" s="87"/>
      <c r="G211" s="87"/>
      <c r="H211" s="87"/>
      <c r="I211" s="143"/>
      <c r="J211" s="87"/>
      <c r="K211" s="87"/>
      <c r="L211" s="87"/>
      <c r="M211" s="87"/>
      <c r="N211" s="87"/>
      <c r="O211" s="87"/>
      <c r="P211" s="87"/>
      <c r="Q211" s="87"/>
      <c r="R211" s="144"/>
      <c r="S211" s="144"/>
      <c r="T211" s="87"/>
      <c r="U211" s="87"/>
    </row>
    <row r="212" customFormat="false" ht="18" hidden="false" customHeight="true" outlineLevel="0" collapsed="false">
      <c r="B212" s="7"/>
      <c r="C212" s="7"/>
      <c r="D212" s="7"/>
      <c r="E212" s="71"/>
      <c r="F212" s="7"/>
      <c r="G212" s="7"/>
      <c r="H212" s="7"/>
      <c r="I212" s="145"/>
      <c r="J212" s="7"/>
      <c r="K212" s="7"/>
      <c r="L212" s="7"/>
      <c r="M212" s="7"/>
      <c r="N212" s="7"/>
      <c r="O212" s="7"/>
      <c r="P212" s="7"/>
      <c r="Q212" s="7"/>
      <c r="R212" s="146"/>
      <c r="S212" s="146"/>
      <c r="T212" s="7"/>
      <c r="U212" s="7"/>
    </row>
    <row r="213" customFormat="false" ht="18" hidden="false" customHeight="true" outlineLevel="0" collapsed="false">
      <c r="B213" s="87"/>
      <c r="C213" s="87"/>
      <c r="D213" s="87"/>
      <c r="E213" s="142"/>
      <c r="F213" s="87"/>
      <c r="G213" s="87"/>
      <c r="H213" s="87"/>
      <c r="I213" s="143"/>
      <c r="J213" s="87"/>
      <c r="K213" s="87"/>
      <c r="L213" s="87"/>
      <c r="M213" s="87"/>
      <c r="N213" s="87"/>
      <c r="O213" s="87"/>
      <c r="P213" s="87"/>
      <c r="Q213" s="87"/>
      <c r="R213" s="144"/>
      <c r="S213" s="144"/>
      <c r="T213" s="87"/>
      <c r="U213" s="87"/>
    </row>
    <row r="214" customFormat="false" ht="18" hidden="false" customHeight="true" outlineLevel="0" collapsed="false">
      <c r="B214" s="7"/>
      <c r="C214" s="7"/>
      <c r="D214" s="7"/>
      <c r="E214" s="71"/>
      <c r="F214" s="7"/>
      <c r="G214" s="7"/>
      <c r="H214" s="7"/>
      <c r="I214" s="145"/>
      <c r="J214" s="7"/>
      <c r="K214" s="7"/>
      <c r="L214" s="7"/>
      <c r="M214" s="7"/>
      <c r="N214" s="7"/>
      <c r="O214" s="7"/>
      <c r="P214" s="7"/>
      <c r="Q214" s="7"/>
      <c r="R214" s="146"/>
      <c r="S214" s="146"/>
      <c r="T214" s="7"/>
      <c r="U214" s="7"/>
    </row>
    <row r="215" customFormat="false" ht="18" hidden="false" customHeight="true" outlineLevel="0" collapsed="false">
      <c r="B215" s="87"/>
      <c r="C215" s="87"/>
      <c r="D215" s="87"/>
      <c r="E215" s="142"/>
      <c r="F215" s="87"/>
      <c r="G215" s="87"/>
      <c r="H215" s="87"/>
      <c r="I215" s="143"/>
      <c r="J215" s="87"/>
      <c r="K215" s="87"/>
      <c r="L215" s="87"/>
      <c r="M215" s="87"/>
      <c r="N215" s="87"/>
      <c r="O215" s="87"/>
      <c r="P215" s="87"/>
      <c r="Q215" s="87"/>
      <c r="R215" s="144"/>
      <c r="S215" s="144"/>
      <c r="T215" s="87"/>
      <c r="U215" s="87"/>
    </row>
    <row r="216" customFormat="false" ht="18" hidden="false" customHeight="true" outlineLevel="0" collapsed="false">
      <c r="B216" s="7"/>
      <c r="C216" s="7"/>
      <c r="D216" s="7"/>
      <c r="E216" s="71"/>
      <c r="F216" s="7"/>
      <c r="G216" s="7"/>
      <c r="H216" s="7"/>
      <c r="I216" s="145"/>
      <c r="J216" s="7"/>
      <c r="K216" s="7"/>
      <c r="L216" s="7"/>
      <c r="M216" s="7"/>
      <c r="N216" s="7"/>
      <c r="O216" s="7"/>
      <c r="P216" s="7"/>
      <c r="Q216" s="7"/>
      <c r="R216" s="146"/>
      <c r="S216" s="146"/>
      <c r="T216" s="7"/>
      <c r="U216" s="7"/>
    </row>
    <row r="217" customFormat="false" ht="18" hidden="false" customHeight="true" outlineLevel="0" collapsed="false">
      <c r="B217" s="87"/>
      <c r="C217" s="87"/>
      <c r="D217" s="87"/>
      <c r="E217" s="142"/>
      <c r="F217" s="87"/>
      <c r="G217" s="87"/>
      <c r="H217" s="87"/>
      <c r="I217" s="143"/>
      <c r="J217" s="87"/>
      <c r="K217" s="87"/>
      <c r="L217" s="87"/>
      <c r="M217" s="87"/>
      <c r="N217" s="87"/>
      <c r="O217" s="87"/>
      <c r="P217" s="87"/>
      <c r="Q217" s="87"/>
      <c r="R217" s="144"/>
      <c r="S217" s="144"/>
      <c r="T217" s="87"/>
      <c r="U217" s="87"/>
    </row>
    <row r="218" customFormat="false" ht="18" hidden="false" customHeight="true" outlineLevel="0" collapsed="false">
      <c r="B218" s="7"/>
      <c r="C218" s="7"/>
      <c r="D218" s="7"/>
      <c r="E218" s="71"/>
      <c r="F218" s="7"/>
      <c r="G218" s="7"/>
      <c r="H218" s="7"/>
      <c r="I218" s="145"/>
      <c r="J218" s="7"/>
      <c r="K218" s="7"/>
      <c r="L218" s="7"/>
      <c r="M218" s="7"/>
      <c r="N218" s="7"/>
      <c r="O218" s="7"/>
      <c r="P218" s="7"/>
      <c r="Q218" s="7"/>
      <c r="R218" s="146"/>
      <c r="S218" s="146"/>
      <c r="T218" s="7"/>
      <c r="U218" s="7"/>
    </row>
    <row r="219" customFormat="false" ht="18" hidden="false" customHeight="true" outlineLevel="0" collapsed="false">
      <c r="B219" s="87"/>
      <c r="C219" s="87"/>
      <c r="D219" s="87"/>
      <c r="E219" s="142"/>
      <c r="F219" s="87"/>
      <c r="G219" s="87"/>
      <c r="H219" s="87"/>
      <c r="I219" s="143"/>
      <c r="J219" s="87"/>
      <c r="K219" s="87"/>
      <c r="L219" s="87"/>
      <c r="M219" s="87"/>
      <c r="N219" s="87"/>
      <c r="O219" s="87"/>
      <c r="P219" s="87"/>
      <c r="Q219" s="87"/>
      <c r="R219" s="144"/>
      <c r="S219" s="144"/>
      <c r="T219" s="87"/>
      <c r="U219" s="87"/>
    </row>
    <row r="220" customFormat="false" ht="18" hidden="false" customHeight="true" outlineLevel="0" collapsed="false">
      <c r="B220" s="7"/>
      <c r="C220" s="7"/>
      <c r="D220" s="7"/>
      <c r="E220" s="71"/>
      <c r="F220" s="7"/>
      <c r="G220" s="7"/>
      <c r="H220" s="7"/>
      <c r="I220" s="145"/>
      <c r="J220" s="7"/>
      <c r="K220" s="7"/>
      <c r="L220" s="7"/>
      <c r="M220" s="7"/>
      <c r="N220" s="7"/>
      <c r="O220" s="7"/>
      <c r="P220" s="7"/>
      <c r="Q220" s="7"/>
      <c r="R220" s="146"/>
      <c r="S220" s="146"/>
      <c r="T220" s="7"/>
      <c r="U220" s="7"/>
    </row>
    <row r="221" customFormat="false" ht="18" hidden="false" customHeight="true" outlineLevel="0" collapsed="false">
      <c r="B221" s="87"/>
      <c r="C221" s="87"/>
      <c r="D221" s="87"/>
      <c r="E221" s="142"/>
      <c r="F221" s="87"/>
      <c r="G221" s="87"/>
      <c r="H221" s="87"/>
      <c r="I221" s="143"/>
      <c r="J221" s="87"/>
      <c r="K221" s="87"/>
      <c r="L221" s="87"/>
      <c r="M221" s="87"/>
      <c r="N221" s="87"/>
      <c r="O221" s="87"/>
      <c r="P221" s="87"/>
      <c r="Q221" s="87"/>
      <c r="R221" s="144"/>
      <c r="S221" s="144"/>
      <c r="T221" s="87"/>
      <c r="U221" s="87"/>
    </row>
    <row r="222" customFormat="false" ht="18" hidden="false" customHeight="true" outlineLevel="0" collapsed="false">
      <c r="B222" s="7"/>
      <c r="C222" s="7"/>
      <c r="D222" s="7"/>
      <c r="E222" s="71"/>
      <c r="F222" s="7"/>
      <c r="G222" s="7"/>
      <c r="H222" s="7"/>
      <c r="I222" s="145"/>
      <c r="J222" s="7"/>
      <c r="K222" s="7"/>
      <c r="L222" s="7"/>
      <c r="M222" s="7"/>
      <c r="N222" s="7"/>
      <c r="O222" s="7"/>
      <c r="P222" s="7"/>
      <c r="Q222" s="7"/>
      <c r="R222" s="146"/>
      <c r="S222" s="146"/>
      <c r="T222" s="7"/>
      <c r="U222" s="7"/>
    </row>
    <row r="223" customFormat="false" ht="18" hidden="false" customHeight="true" outlineLevel="0" collapsed="false">
      <c r="B223" s="87"/>
      <c r="C223" s="87"/>
      <c r="D223" s="87"/>
      <c r="E223" s="142"/>
      <c r="F223" s="87"/>
      <c r="G223" s="87"/>
      <c r="H223" s="87"/>
      <c r="I223" s="143"/>
      <c r="J223" s="87"/>
      <c r="K223" s="87"/>
      <c r="L223" s="87"/>
      <c r="M223" s="87"/>
      <c r="N223" s="87"/>
      <c r="O223" s="87"/>
      <c r="P223" s="87"/>
      <c r="Q223" s="87"/>
      <c r="R223" s="144"/>
      <c r="S223" s="144"/>
      <c r="T223" s="87"/>
      <c r="U223" s="87"/>
    </row>
    <row r="224" customFormat="false" ht="18" hidden="false" customHeight="true" outlineLevel="0" collapsed="false">
      <c r="B224" s="7"/>
      <c r="C224" s="7"/>
      <c r="D224" s="7"/>
      <c r="E224" s="71"/>
      <c r="F224" s="7"/>
      <c r="G224" s="7"/>
      <c r="H224" s="7"/>
      <c r="I224" s="145"/>
      <c r="J224" s="7"/>
      <c r="K224" s="7"/>
      <c r="L224" s="7"/>
      <c r="M224" s="7"/>
      <c r="N224" s="7"/>
      <c r="O224" s="7"/>
      <c r="P224" s="7"/>
      <c r="Q224" s="7"/>
      <c r="R224" s="146"/>
      <c r="S224" s="146"/>
      <c r="T224" s="7"/>
      <c r="U224" s="7"/>
    </row>
    <row r="225" customFormat="false" ht="18" hidden="false" customHeight="true" outlineLevel="0" collapsed="false">
      <c r="B225" s="87"/>
      <c r="C225" s="87"/>
      <c r="D225" s="87"/>
      <c r="E225" s="142"/>
      <c r="F225" s="87"/>
      <c r="G225" s="87"/>
      <c r="H225" s="87"/>
      <c r="I225" s="143"/>
      <c r="J225" s="87"/>
      <c r="K225" s="87"/>
      <c r="L225" s="87"/>
      <c r="M225" s="87"/>
      <c r="N225" s="87"/>
      <c r="O225" s="87"/>
      <c r="P225" s="87"/>
      <c r="Q225" s="87"/>
      <c r="R225" s="144"/>
      <c r="S225" s="144"/>
      <c r="T225" s="87"/>
      <c r="U225" s="87"/>
    </row>
    <row r="226" customFormat="false" ht="18" hidden="false" customHeight="true" outlineLevel="0" collapsed="false">
      <c r="B226" s="7"/>
      <c r="C226" s="7"/>
      <c r="D226" s="7"/>
      <c r="E226" s="71"/>
      <c r="F226" s="7"/>
      <c r="G226" s="7"/>
      <c r="H226" s="7"/>
      <c r="I226" s="145"/>
      <c r="J226" s="7"/>
      <c r="K226" s="7"/>
      <c r="L226" s="7"/>
      <c r="M226" s="7"/>
      <c r="N226" s="7"/>
      <c r="O226" s="7"/>
      <c r="P226" s="7"/>
      <c r="Q226" s="7"/>
      <c r="R226" s="146"/>
      <c r="S226" s="146"/>
      <c r="T226" s="7"/>
      <c r="U226" s="7"/>
    </row>
    <row r="227" customFormat="false" ht="18" hidden="false" customHeight="true" outlineLevel="0" collapsed="false">
      <c r="B227" s="87"/>
      <c r="C227" s="87"/>
      <c r="D227" s="87"/>
      <c r="E227" s="142"/>
      <c r="F227" s="87"/>
      <c r="G227" s="87"/>
      <c r="H227" s="87"/>
      <c r="I227" s="143"/>
      <c r="J227" s="87"/>
      <c r="K227" s="87"/>
      <c r="L227" s="87"/>
      <c r="M227" s="87"/>
      <c r="N227" s="87"/>
      <c r="O227" s="87"/>
      <c r="P227" s="87"/>
      <c r="Q227" s="87"/>
      <c r="R227" s="144"/>
      <c r="S227" s="144"/>
      <c r="T227" s="87"/>
      <c r="U227" s="87"/>
    </row>
    <row r="228" customFormat="false" ht="18" hidden="false" customHeight="true" outlineLevel="0" collapsed="false">
      <c r="B228" s="7"/>
      <c r="C228" s="7"/>
      <c r="D228" s="7"/>
      <c r="E228" s="71"/>
      <c r="F228" s="7"/>
      <c r="G228" s="7"/>
      <c r="H228" s="7"/>
      <c r="I228" s="145"/>
      <c r="J228" s="7"/>
      <c r="K228" s="7"/>
      <c r="L228" s="7"/>
      <c r="M228" s="7"/>
      <c r="N228" s="7"/>
      <c r="O228" s="7"/>
      <c r="P228" s="7"/>
      <c r="Q228" s="7"/>
      <c r="R228" s="146"/>
      <c r="S228" s="146"/>
      <c r="T228" s="7"/>
      <c r="U228" s="7"/>
    </row>
    <row r="229" customFormat="false" ht="18" hidden="false" customHeight="true" outlineLevel="0" collapsed="false">
      <c r="B229" s="87"/>
      <c r="C229" s="87"/>
      <c r="D229" s="87"/>
      <c r="E229" s="142"/>
      <c r="F229" s="87"/>
      <c r="G229" s="87"/>
      <c r="H229" s="87"/>
      <c r="I229" s="143"/>
      <c r="J229" s="87"/>
      <c r="K229" s="87"/>
      <c r="L229" s="87"/>
      <c r="M229" s="87"/>
      <c r="N229" s="87"/>
      <c r="O229" s="87"/>
      <c r="P229" s="87"/>
      <c r="Q229" s="87"/>
      <c r="R229" s="144"/>
      <c r="S229" s="144"/>
      <c r="T229" s="87"/>
      <c r="U229" s="87"/>
    </row>
    <row r="230" customFormat="false" ht="18" hidden="false" customHeight="true" outlineLevel="0" collapsed="false">
      <c r="B230" s="7"/>
      <c r="C230" s="7"/>
      <c r="D230" s="7"/>
      <c r="E230" s="71"/>
      <c r="F230" s="7"/>
      <c r="G230" s="7"/>
      <c r="H230" s="7"/>
      <c r="I230" s="145"/>
      <c r="J230" s="7"/>
      <c r="K230" s="7"/>
      <c r="L230" s="7"/>
      <c r="M230" s="7"/>
      <c r="N230" s="7"/>
      <c r="O230" s="7"/>
      <c r="P230" s="7"/>
      <c r="Q230" s="7"/>
      <c r="R230" s="146"/>
      <c r="S230" s="146"/>
      <c r="T230" s="7"/>
      <c r="U230" s="7"/>
    </row>
    <row r="231" customFormat="false" ht="18" hidden="false" customHeight="true" outlineLevel="0" collapsed="false">
      <c r="B231" s="87"/>
      <c r="C231" s="87"/>
      <c r="D231" s="87"/>
      <c r="E231" s="142"/>
      <c r="F231" s="87"/>
      <c r="G231" s="87"/>
      <c r="H231" s="87"/>
      <c r="I231" s="143"/>
      <c r="J231" s="87"/>
      <c r="K231" s="87"/>
      <c r="L231" s="87"/>
      <c r="M231" s="87"/>
      <c r="N231" s="87"/>
      <c r="O231" s="87"/>
      <c r="P231" s="87"/>
      <c r="Q231" s="87"/>
      <c r="R231" s="144"/>
      <c r="S231" s="144"/>
      <c r="T231" s="87"/>
      <c r="U231" s="87"/>
    </row>
    <row r="232" customFormat="false" ht="18" hidden="false" customHeight="true" outlineLevel="0" collapsed="false">
      <c r="B232" s="7"/>
      <c r="C232" s="7"/>
      <c r="D232" s="7"/>
      <c r="E232" s="71"/>
      <c r="F232" s="7"/>
      <c r="G232" s="7"/>
      <c r="H232" s="7"/>
      <c r="I232" s="145"/>
      <c r="J232" s="7"/>
      <c r="K232" s="7"/>
      <c r="L232" s="7"/>
      <c r="M232" s="7"/>
      <c r="N232" s="7"/>
      <c r="O232" s="7"/>
      <c r="P232" s="7"/>
      <c r="Q232" s="7"/>
      <c r="R232" s="146"/>
      <c r="S232" s="146"/>
      <c r="T232" s="7"/>
      <c r="U232" s="7"/>
    </row>
    <row r="233" customFormat="false" ht="18" hidden="false" customHeight="true" outlineLevel="0" collapsed="false">
      <c r="B233" s="87"/>
      <c r="C233" s="87"/>
      <c r="D233" s="87"/>
      <c r="E233" s="142"/>
      <c r="F233" s="87"/>
      <c r="G233" s="87"/>
      <c r="H233" s="87"/>
      <c r="I233" s="143"/>
      <c r="J233" s="87"/>
      <c r="K233" s="87"/>
      <c r="L233" s="87"/>
      <c r="M233" s="87"/>
      <c r="N233" s="87"/>
      <c r="O233" s="87"/>
      <c r="P233" s="87"/>
      <c r="Q233" s="87"/>
      <c r="R233" s="144"/>
      <c r="S233" s="144"/>
      <c r="T233" s="87"/>
      <c r="U233" s="87"/>
    </row>
    <row r="234" customFormat="false" ht="18" hidden="false" customHeight="true" outlineLevel="0" collapsed="false">
      <c r="B234" s="7"/>
      <c r="C234" s="7"/>
      <c r="D234" s="7"/>
      <c r="E234" s="71"/>
      <c r="F234" s="7"/>
      <c r="G234" s="7"/>
      <c r="H234" s="7"/>
      <c r="I234" s="145"/>
      <c r="J234" s="7"/>
      <c r="K234" s="7"/>
      <c r="L234" s="7"/>
      <c r="M234" s="7"/>
      <c r="N234" s="7"/>
      <c r="O234" s="7"/>
      <c r="P234" s="7"/>
      <c r="Q234" s="7"/>
      <c r="R234" s="146"/>
      <c r="S234" s="146"/>
      <c r="T234" s="7"/>
      <c r="U234" s="7"/>
    </row>
    <row r="235" customFormat="false" ht="18" hidden="false" customHeight="true" outlineLevel="0" collapsed="false">
      <c r="B235" s="87"/>
      <c r="C235" s="87"/>
      <c r="D235" s="87"/>
      <c r="E235" s="142"/>
      <c r="F235" s="87"/>
      <c r="G235" s="87"/>
      <c r="H235" s="87"/>
      <c r="I235" s="143"/>
      <c r="J235" s="87"/>
      <c r="K235" s="87"/>
      <c r="L235" s="87"/>
      <c r="M235" s="87"/>
      <c r="N235" s="87"/>
      <c r="O235" s="87"/>
      <c r="P235" s="87"/>
      <c r="Q235" s="87"/>
      <c r="R235" s="144"/>
      <c r="S235" s="144"/>
      <c r="T235" s="87"/>
      <c r="U235" s="87"/>
    </row>
    <row r="236" customFormat="false" ht="18" hidden="false" customHeight="true" outlineLevel="0" collapsed="false">
      <c r="B236" s="7"/>
      <c r="C236" s="7"/>
      <c r="D236" s="7"/>
      <c r="E236" s="71"/>
      <c r="F236" s="7"/>
      <c r="G236" s="7"/>
      <c r="H236" s="7"/>
      <c r="I236" s="145"/>
      <c r="J236" s="7"/>
      <c r="K236" s="7"/>
      <c r="L236" s="7"/>
      <c r="M236" s="7"/>
      <c r="N236" s="7"/>
      <c r="O236" s="7"/>
      <c r="P236" s="7"/>
      <c r="Q236" s="7"/>
      <c r="R236" s="146"/>
      <c r="S236" s="146"/>
      <c r="T236" s="7"/>
      <c r="U236" s="7"/>
    </row>
    <row r="237" customFormat="false" ht="18" hidden="false" customHeight="true" outlineLevel="0" collapsed="false">
      <c r="B237" s="87"/>
      <c r="C237" s="87"/>
      <c r="D237" s="87"/>
      <c r="E237" s="142"/>
      <c r="F237" s="87"/>
      <c r="G237" s="87"/>
      <c r="H237" s="87"/>
      <c r="I237" s="143"/>
      <c r="J237" s="87"/>
      <c r="K237" s="87"/>
      <c r="L237" s="87"/>
      <c r="M237" s="87"/>
      <c r="N237" s="87"/>
      <c r="O237" s="87"/>
      <c r="P237" s="87"/>
      <c r="Q237" s="87"/>
      <c r="R237" s="144"/>
      <c r="S237" s="144"/>
      <c r="T237" s="87"/>
      <c r="U237" s="87"/>
    </row>
    <row r="238" customFormat="false" ht="18" hidden="false" customHeight="true" outlineLevel="0" collapsed="false">
      <c r="B238" s="7"/>
      <c r="C238" s="7"/>
      <c r="D238" s="7"/>
      <c r="E238" s="71"/>
      <c r="F238" s="7"/>
      <c r="G238" s="7"/>
      <c r="H238" s="7"/>
      <c r="I238" s="145"/>
      <c r="J238" s="7"/>
      <c r="K238" s="7"/>
      <c r="L238" s="7"/>
      <c r="M238" s="7"/>
      <c r="N238" s="7"/>
      <c r="O238" s="7"/>
      <c r="P238" s="7"/>
      <c r="Q238" s="7"/>
      <c r="R238" s="146"/>
      <c r="S238" s="146"/>
      <c r="T238" s="7"/>
      <c r="U238" s="7"/>
    </row>
    <row r="239" customFormat="false" ht="18" hidden="false" customHeight="true" outlineLevel="0" collapsed="false">
      <c r="B239" s="87"/>
      <c r="C239" s="87"/>
      <c r="D239" s="87"/>
      <c r="E239" s="142"/>
      <c r="F239" s="87"/>
      <c r="G239" s="87"/>
      <c r="H239" s="87"/>
      <c r="I239" s="143"/>
      <c r="J239" s="87"/>
      <c r="K239" s="87"/>
      <c r="L239" s="87"/>
      <c r="M239" s="87"/>
      <c r="N239" s="87"/>
      <c r="O239" s="87"/>
      <c r="P239" s="87"/>
      <c r="Q239" s="87"/>
      <c r="R239" s="144"/>
      <c r="S239" s="144"/>
      <c r="T239" s="87"/>
      <c r="U239" s="87"/>
    </row>
    <row r="240" customFormat="false" ht="18" hidden="false" customHeight="true" outlineLevel="0" collapsed="false">
      <c r="B240" s="7"/>
      <c r="C240" s="7"/>
      <c r="D240" s="7"/>
      <c r="E240" s="71"/>
      <c r="F240" s="7"/>
      <c r="G240" s="7"/>
      <c r="H240" s="7"/>
      <c r="I240" s="145"/>
      <c r="J240" s="7"/>
      <c r="K240" s="7"/>
      <c r="L240" s="7"/>
      <c r="M240" s="7"/>
      <c r="N240" s="7"/>
      <c r="O240" s="7"/>
      <c r="P240" s="7"/>
      <c r="Q240" s="7"/>
      <c r="R240" s="146"/>
      <c r="S240" s="146"/>
      <c r="T240" s="7"/>
      <c r="U240" s="7"/>
    </row>
    <row r="241" customFormat="false" ht="18" hidden="false" customHeight="true" outlineLevel="0" collapsed="false">
      <c r="B241" s="87"/>
      <c r="C241" s="87"/>
      <c r="D241" s="87"/>
      <c r="E241" s="142"/>
      <c r="F241" s="87"/>
      <c r="G241" s="87"/>
      <c r="H241" s="87"/>
      <c r="I241" s="143"/>
      <c r="J241" s="87"/>
      <c r="K241" s="87"/>
      <c r="L241" s="87"/>
      <c r="M241" s="87"/>
      <c r="N241" s="87"/>
      <c r="O241" s="87"/>
      <c r="P241" s="87"/>
      <c r="Q241" s="87"/>
      <c r="R241" s="144"/>
      <c r="S241" s="144"/>
      <c r="T241" s="87"/>
      <c r="U241" s="87"/>
    </row>
    <row r="242" customFormat="false" ht="18" hidden="false" customHeight="true" outlineLevel="0" collapsed="false">
      <c r="B242" s="7"/>
      <c r="C242" s="7"/>
      <c r="D242" s="7"/>
      <c r="E242" s="71"/>
      <c r="F242" s="7"/>
      <c r="G242" s="7"/>
      <c r="H242" s="7"/>
      <c r="I242" s="145"/>
      <c r="J242" s="7"/>
      <c r="K242" s="7"/>
      <c r="L242" s="7"/>
      <c r="M242" s="7"/>
      <c r="N242" s="7"/>
      <c r="O242" s="7"/>
      <c r="P242" s="7"/>
      <c r="Q242" s="7"/>
      <c r="R242" s="146"/>
      <c r="S242" s="146"/>
      <c r="T242" s="7"/>
      <c r="U242" s="7"/>
    </row>
    <row r="243" customFormat="false" ht="18" hidden="false" customHeight="true" outlineLevel="0" collapsed="false">
      <c r="B243" s="87"/>
      <c r="C243" s="87"/>
      <c r="D243" s="87"/>
      <c r="E243" s="142"/>
      <c r="F243" s="87"/>
      <c r="G243" s="87"/>
      <c r="H243" s="87"/>
      <c r="I243" s="143"/>
      <c r="J243" s="87"/>
      <c r="K243" s="87"/>
      <c r="L243" s="87"/>
      <c r="M243" s="87"/>
      <c r="N243" s="87"/>
      <c r="O243" s="87"/>
      <c r="P243" s="87"/>
      <c r="Q243" s="87"/>
      <c r="R243" s="144"/>
      <c r="S243" s="144"/>
      <c r="T243" s="87"/>
      <c r="U243" s="87"/>
    </row>
    <row r="244" customFormat="false" ht="18" hidden="false" customHeight="true" outlineLevel="0" collapsed="false">
      <c r="B244" s="7"/>
      <c r="C244" s="7"/>
      <c r="D244" s="7"/>
      <c r="E244" s="71"/>
      <c r="F244" s="7"/>
      <c r="G244" s="7"/>
      <c r="H244" s="7"/>
      <c r="I244" s="145"/>
      <c r="J244" s="7"/>
      <c r="K244" s="7"/>
      <c r="L244" s="7"/>
      <c r="M244" s="7"/>
      <c r="N244" s="7"/>
      <c r="O244" s="7"/>
      <c r="P244" s="7"/>
      <c r="Q244" s="7"/>
      <c r="R244" s="146"/>
      <c r="S244" s="146"/>
      <c r="T244" s="7"/>
      <c r="U244" s="7"/>
    </row>
    <row r="245" customFormat="false" ht="18" hidden="false" customHeight="true" outlineLevel="0" collapsed="false">
      <c r="B245" s="87"/>
      <c r="C245" s="87"/>
      <c r="D245" s="87"/>
      <c r="E245" s="142"/>
      <c r="F245" s="87"/>
      <c r="G245" s="87"/>
      <c r="H245" s="87"/>
      <c r="I245" s="143"/>
      <c r="J245" s="87"/>
      <c r="K245" s="87"/>
      <c r="L245" s="87"/>
      <c r="M245" s="87"/>
      <c r="N245" s="87"/>
      <c r="O245" s="87"/>
      <c r="P245" s="87"/>
      <c r="Q245" s="87"/>
      <c r="R245" s="144"/>
      <c r="S245" s="144"/>
      <c r="T245" s="87"/>
      <c r="U245" s="87"/>
    </row>
    <row r="246" customFormat="false" ht="18" hidden="false" customHeight="true" outlineLevel="0" collapsed="false">
      <c r="B246" s="7"/>
      <c r="C246" s="7"/>
      <c r="D246" s="7"/>
      <c r="E246" s="71"/>
      <c r="F246" s="7"/>
      <c r="G246" s="7"/>
      <c r="H246" s="7"/>
      <c r="I246" s="145"/>
      <c r="J246" s="7"/>
      <c r="K246" s="7"/>
      <c r="L246" s="7"/>
      <c r="M246" s="7"/>
      <c r="N246" s="7"/>
      <c r="O246" s="7"/>
      <c r="P246" s="7"/>
      <c r="Q246" s="7"/>
      <c r="R246" s="146"/>
      <c r="S246" s="146"/>
      <c r="T246" s="7"/>
      <c r="U246" s="7"/>
    </row>
    <row r="247" customFormat="false" ht="18" hidden="false" customHeight="true" outlineLevel="0" collapsed="false">
      <c r="B247" s="87"/>
      <c r="C247" s="87"/>
      <c r="D247" s="87"/>
      <c r="E247" s="142"/>
      <c r="F247" s="87"/>
      <c r="G247" s="87"/>
      <c r="H247" s="87"/>
      <c r="I247" s="143"/>
      <c r="J247" s="87"/>
      <c r="K247" s="87"/>
      <c r="L247" s="87"/>
      <c r="M247" s="87"/>
      <c r="N247" s="87"/>
      <c r="O247" s="87"/>
      <c r="P247" s="87"/>
      <c r="Q247" s="87"/>
      <c r="R247" s="144"/>
      <c r="S247" s="144"/>
      <c r="T247" s="87"/>
      <c r="U247" s="87"/>
    </row>
    <row r="248" customFormat="false" ht="18" hidden="false" customHeight="true" outlineLevel="0" collapsed="false">
      <c r="B248" s="7"/>
      <c r="C248" s="7"/>
      <c r="D248" s="7"/>
      <c r="E248" s="71"/>
      <c r="F248" s="7"/>
      <c r="G248" s="7"/>
      <c r="H248" s="7"/>
      <c r="I248" s="145"/>
      <c r="J248" s="7"/>
      <c r="K248" s="7"/>
      <c r="L248" s="7"/>
      <c r="M248" s="7"/>
      <c r="N248" s="7"/>
      <c r="O248" s="7"/>
      <c r="P248" s="7"/>
      <c r="Q248" s="7"/>
      <c r="R248" s="146"/>
      <c r="S248" s="146"/>
      <c r="T248" s="7"/>
      <c r="U248" s="7"/>
    </row>
    <row r="249" customFormat="false" ht="18" hidden="false" customHeight="true" outlineLevel="0" collapsed="false">
      <c r="B249" s="87"/>
      <c r="C249" s="87"/>
      <c r="D249" s="87"/>
      <c r="E249" s="142"/>
      <c r="F249" s="87"/>
      <c r="G249" s="87"/>
      <c r="H249" s="87"/>
      <c r="I249" s="143"/>
      <c r="J249" s="87"/>
      <c r="K249" s="87"/>
      <c r="L249" s="87"/>
      <c r="M249" s="87"/>
      <c r="N249" s="87"/>
      <c r="O249" s="87"/>
      <c r="P249" s="87"/>
      <c r="Q249" s="87"/>
      <c r="R249" s="144"/>
      <c r="S249" s="144"/>
      <c r="T249" s="87"/>
      <c r="U249" s="87"/>
    </row>
    <row r="250" customFormat="false" ht="18" hidden="false" customHeight="true" outlineLevel="0" collapsed="false">
      <c r="B250" s="7"/>
      <c r="C250" s="7"/>
      <c r="D250" s="7"/>
      <c r="E250" s="71"/>
      <c r="F250" s="7"/>
      <c r="G250" s="7"/>
      <c r="H250" s="7"/>
      <c r="I250" s="145"/>
      <c r="J250" s="7"/>
      <c r="K250" s="7"/>
      <c r="L250" s="7"/>
      <c r="M250" s="7"/>
      <c r="N250" s="7"/>
      <c r="O250" s="7"/>
      <c r="P250" s="7"/>
      <c r="Q250" s="7"/>
      <c r="R250" s="146"/>
      <c r="S250" s="146"/>
      <c r="T250" s="7"/>
      <c r="U250" s="7"/>
    </row>
    <row r="251" customFormat="false" ht="18" hidden="false" customHeight="true" outlineLevel="0" collapsed="false">
      <c r="B251" s="87"/>
      <c r="C251" s="87"/>
      <c r="D251" s="87"/>
      <c r="E251" s="142"/>
      <c r="F251" s="87"/>
      <c r="G251" s="87"/>
      <c r="H251" s="87"/>
      <c r="I251" s="143"/>
      <c r="J251" s="87"/>
      <c r="K251" s="87"/>
      <c r="L251" s="87"/>
      <c r="M251" s="87"/>
      <c r="N251" s="87"/>
      <c r="O251" s="87"/>
      <c r="P251" s="87"/>
      <c r="Q251" s="87"/>
      <c r="R251" s="144"/>
      <c r="S251" s="144"/>
      <c r="T251" s="87"/>
      <c r="U251" s="87"/>
    </row>
    <row r="252" customFormat="false" ht="18" hidden="false" customHeight="true" outlineLevel="0" collapsed="false">
      <c r="B252" s="7"/>
      <c r="C252" s="7"/>
      <c r="D252" s="7"/>
      <c r="E252" s="71"/>
      <c r="F252" s="7"/>
      <c r="G252" s="7"/>
      <c r="H252" s="7"/>
      <c r="I252" s="145"/>
      <c r="J252" s="7"/>
      <c r="K252" s="7"/>
      <c r="L252" s="7"/>
      <c r="M252" s="7"/>
      <c r="N252" s="7"/>
      <c r="O252" s="7"/>
      <c r="P252" s="7"/>
      <c r="Q252" s="7"/>
      <c r="R252" s="146"/>
      <c r="S252" s="146"/>
      <c r="T252" s="7"/>
      <c r="U252" s="7"/>
    </row>
    <row r="253" customFormat="false" ht="18" hidden="false" customHeight="true" outlineLevel="0" collapsed="false">
      <c r="B253" s="87"/>
      <c r="C253" s="87"/>
      <c r="D253" s="87"/>
      <c r="E253" s="142"/>
      <c r="F253" s="87"/>
      <c r="G253" s="87"/>
      <c r="H253" s="87"/>
      <c r="I253" s="143"/>
      <c r="J253" s="87"/>
      <c r="K253" s="87"/>
      <c r="L253" s="87"/>
      <c r="M253" s="87"/>
      <c r="N253" s="87"/>
      <c r="O253" s="87"/>
      <c r="P253" s="87"/>
      <c r="Q253" s="87"/>
      <c r="R253" s="144"/>
      <c r="S253" s="144"/>
      <c r="T253" s="87"/>
      <c r="U253" s="87"/>
    </row>
    <row r="254" customFormat="false" ht="18" hidden="false" customHeight="true" outlineLevel="0" collapsed="false">
      <c r="B254" s="7"/>
      <c r="C254" s="7"/>
      <c r="D254" s="7"/>
      <c r="E254" s="71"/>
      <c r="F254" s="7"/>
      <c r="G254" s="7"/>
      <c r="H254" s="7"/>
      <c r="I254" s="145"/>
      <c r="J254" s="7"/>
      <c r="K254" s="7"/>
      <c r="L254" s="7"/>
      <c r="M254" s="7"/>
      <c r="N254" s="7"/>
      <c r="O254" s="7"/>
      <c r="P254" s="7"/>
      <c r="Q254" s="7"/>
      <c r="R254" s="146"/>
      <c r="S254" s="146"/>
      <c r="T254" s="7"/>
      <c r="U254" s="7"/>
    </row>
    <row r="255" customFormat="false" ht="18" hidden="false" customHeight="true" outlineLevel="0" collapsed="false">
      <c r="B255" s="87"/>
      <c r="C255" s="87"/>
      <c r="D255" s="87"/>
      <c r="E255" s="142"/>
      <c r="F255" s="87"/>
      <c r="G255" s="87"/>
      <c r="H255" s="87"/>
      <c r="I255" s="143"/>
      <c r="J255" s="87"/>
      <c r="K255" s="87"/>
      <c r="L255" s="87"/>
      <c r="M255" s="87"/>
      <c r="N255" s="87"/>
      <c r="O255" s="87"/>
      <c r="P255" s="87"/>
      <c r="Q255" s="87"/>
      <c r="R255" s="144"/>
      <c r="S255" s="144"/>
      <c r="T255" s="87"/>
      <c r="U255" s="87"/>
    </row>
    <row r="256" customFormat="false" ht="18" hidden="false" customHeight="true" outlineLevel="0" collapsed="false">
      <c r="B256" s="7"/>
      <c r="C256" s="7"/>
      <c r="D256" s="7"/>
      <c r="E256" s="71"/>
      <c r="F256" s="7"/>
      <c r="G256" s="7"/>
      <c r="H256" s="7"/>
      <c r="I256" s="145"/>
      <c r="J256" s="7"/>
      <c r="K256" s="7"/>
      <c r="L256" s="7"/>
      <c r="M256" s="7"/>
      <c r="N256" s="7"/>
      <c r="O256" s="7"/>
      <c r="P256" s="7"/>
      <c r="Q256" s="7"/>
      <c r="R256" s="146"/>
      <c r="S256" s="146"/>
      <c r="T256" s="7"/>
      <c r="U256" s="7"/>
    </row>
    <row r="257" customFormat="false" ht="18" hidden="false" customHeight="true" outlineLevel="0" collapsed="false">
      <c r="B257" s="87"/>
      <c r="C257" s="87"/>
      <c r="D257" s="87"/>
      <c r="E257" s="142"/>
      <c r="F257" s="87"/>
      <c r="G257" s="87"/>
      <c r="H257" s="87"/>
      <c r="I257" s="143"/>
      <c r="J257" s="87"/>
      <c r="K257" s="87"/>
      <c r="L257" s="87"/>
      <c r="M257" s="87"/>
      <c r="N257" s="87"/>
      <c r="O257" s="87"/>
      <c r="P257" s="87"/>
      <c r="Q257" s="87"/>
      <c r="R257" s="144"/>
      <c r="S257" s="144"/>
      <c r="T257" s="87"/>
      <c r="U257" s="87"/>
    </row>
    <row r="258" customFormat="false" ht="18" hidden="false" customHeight="true" outlineLevel="0" collapsed="false">
      <c r="B258" s="7"/>
      <c r="C258" s="7"/>
      <c r="D258" s="7"/>
      <c r="E258" s="71"/>
      <c r="F258" s="7"/>
      <c r="G258" s="7"/>
      <c r="H258" s="7"/>
      <c r="I258" s="145"/>
      <c r="J258" s="7"/>
      <c r="K258" s="7"/>
      <c r="L258" s="7"/>
      <c r="M258" s="7"/>
      <c r="N258" s="7"/>
      <c r="O258" s="7"/>
      <c r="P258" s="7"/>
      <c r="Q258" s="7"/>
      <c r="R258" s="146"/>
      <c r="S258" s="146"/>
      <c r="T258" s="7"/>
      <c r="U258" s="7"/>
    </row>
    <row r="259" customFormat="false" ht="18" hidden="false" customHeight="true" outlineLevel="0" collapsed="false">
      <c r="B259" s="87"/>
      <c r="C259" s="87"/>
      <c r="D259" s="87"/>
      <c r="E259" s="142"/>
      <c r="F259" s="87"/>
      <c r="G259" s="87"/>
      <c r="H259" s="87"/>
      <c r="I259" s="143"/>
      <c r="J259" s="87"/>
      <c r="K259" s="87"/>
      <c r="L259" s="87"/>
      <c r="M259" s="87"/>
      <c r="N259" s="87"/>
      <c r="O259" s="87"/>
      <c r="P259" s="87"/>
      <c r="Q259" s="87"/>
      <c r="R259" s="144"/>
      <c r="S259" s="144"/>
      <c r="T259" s="87"/>
      <c r="U259" s="87"/>
    </row>
    <row r="260" customFormat="false" ht="18" hidden="false" customHeight="true" outlineLevel="0" collapsed="false">
      <c r="B260" s="7"/>
      <c r="C260" s="7"/>
      <c r="D260" s="7"/>
      <c r="E260" s="71"/>
      <c r="F260" s="7"/>
      <c r="G260" s="7"/>
      <c r="H260" s="7"/>
      <c r="I260" s="145"/>
      <c r="J260" s="7"/>
      <c r="K260" s="7"/>
      <c r="L260" s="7"/>
      <c r="M260" s="7"/>
      <c r="N260" s="7"/>
      <c r="O260" s="7"/>
      <c r="P260" s="7"/>
      <c r="Q260" s="7"/>
      <c r="R260" s="146"/>
      <c r="S260" s="146"/>
      <c r="T260" s="7"/>
      <c r="U260" s="7"/>
    </row>
    <row r="261" customFormat="false" ht="18" hidden="false" customHeight="true" outlineLevel="0" collapsed="false">
      <c r="B261" s="87"/>
      <c r="C261" s="87"/>
      <c r="D261" s="87"/>
      <c r="E261" s="142"/>
      <c r="F261" s="87"/>
      <c r="G261" s="87"/>
      <c r="H261" s="87"/>
      <c r="I261" s="143"/>
      <c r="J261" s="87"/>
      <c r="K261" s="87"/>
      <c r="L261" s="87"/>
      <c r="M261" s="87"/>
      <c r="N261" s="87"/>
      <c r="O261" s="87"/>
      <c r="P261" s="87"/>
      <c r="Q261" s="87"/>
      <c r="R261" s="144"/>
      <c r="S261" s="144"/>
      <c r="T261" s="87"/>
      <c r="U261" s="87"/>
    </row>
    <row r="262" customFormat="false" ht="18" hidden="false" customHeight="true" outlineLevel="0" collapsed="false">
      <c r="B262" s="7"/>
      <c r="C262" s="7"/>
      <c r="D262" s="7"/>
      <c r="E262" s="71"/>
      <c r="F262" s="7"/>
      <c r="G262" s="7"/>
      <c r="H262" s="7"/>
      <c r="I262" s="145"/>
      <c r="J262" s="7"/>
      <c r="K262" s="7"/>
      <c r="L262" s="7"/>
      <c r="M262" s="7"/>
      <c r="N262" s="7"/>
      <c r="O262" s="7"/>
      <c r="P262" s="7"/>
      <c r="Q262" s="7"/>
      <c r="R262" s="146"/>
      <c r="S262" s="146"/>
      <c r="T262" s="7"/>
      <c r="U262" s="7"/>
    </row>
    <row r="263" customFormat="false" ht="18" hidden="false" customHeight="true" outlineLevel="0" collapsed="false">
      <c r="B263" s="87"/>
      <c r="C263" s="87"/>
      <c r="D263" s="87"/>
      <c r="E263" s="142"/>
      <c r="F263" s="87"/>
      <c r="G263" s="87"/>
      <c r="H263" s="87"/>
      <c r="I263" s="143"/>
      <c r="J263" s="87"/>
      <c r="K263" s="87"/>
      <c r="L263" s="87"/>
      <c r="M263" s="87"/>
      <c r="N263" s="87"/>
      <c r="O263" s="87"/>
      <c r="P263" s="87"/>
      <c r="Q263" s="87"/>
      <c r="R263" s="144"/>
      <c r="S263" s="144"/>
      <c r="T263" s="87"/>
      <c r="U263" s="87"/>
    </row>
    <row r="264" customFormat="false" ht="18" hidden="false" customHeight="true" outlineLevel="0" collapsed="false">
      <c r="B264" s="7"/>
      <c r="C264" s="7"/>
      <c r="D264" s="7"/>
      <c r="E264" s="71"/>
      <c r="F264" s="7"/>
      <c r="G264" s="7"/>
      <c r="H264" s="7"/>
      <c r="I264" s="145"/>
      <c r="J264" s="7"/>
      <c r="K264" s="7"/>
      <c r="L264" s="7"/>
      <c r="M264" s="7"/>
      <c r="N264" s="7"/>
      <c r="O264" s="7"/>
      <c r="P264" s="7"/>
      <c r="Q264" s="7"/>
      <c r="R264" s="146"/>
      <c r="S264" s="146"/>
      <c r="T264" s="7"/>
      <c r="U264" s="7"/>
    </row>
    <row r="265" customFormat="false" ht="18" hidden="false" customHeight="true" outlineLevel="0" collapsed="false">
      <c r="B265" s="87"/>
      <c r="C265" s="87"/>
      <c r="D265" s="87"/>
      <c r="E265" s="142"/>
      <c r="F265" s="87"/>
      <c r="G265" s="87"/>
      <c r="H265" s="87"/>
      <c r="I265" s="143"/>
      <c r="J265" s="87"/>
      <c r="K265" s="87"/>
      <c r="L265" s="87"/>
      <c r="M265" s="87"/>
      <c r="N265" s="87"/>
      <c r="O265" s="87"/>
      <c r="P265" s="87"/>
      <c r="Q265" s="87"/>
      <c r="R265" s="144"/>
      <c r="S265" s="144"/>
      <c r="T265" s="87"/>
      <c r="U265" s="87"/>
    </row>
    <row r="266" customFormat="false" ht="18" hidden="false" customHeight="true" outlineLevel="0" collapsed="false">
      <c r="B266" s="7"/>
      <c r="C266" s="7"/>
      <c r="D266" s="7"/>
      <c r="E266" s="71"/>
      <c r="F266" s="7"/>
      <c r="G266" s="7"/>
      <c r="H266" s="7"/>
      <c r="I266" s="145"/>
      <c r="J266" s="7"/>
      <c r="K266" s="7"/>
      <c r="L266" s="7"/>
      <c r="M266" s="7"/>
      <c r="N266" s="7"/>
      <c r="O266" s="7"/>
      <c r="P266" s="7"/>
      <c r="Q266" s="7"/>
      <c r="R266" s="146"/>
      <c r="S266" s="146"/>
      <c r="T266" s="7"/>
      <c r="U266" s="7"/>
    </row>
    <row r="267" customFormat="false" ht="18" hidden="false" customHeight="true" outlineLevel="0" collapsed="false">
      <c r="B267" s="87"/>
      <c r="C267" s="87"/>
      <c r="D267" s="87"/>
      <c r="E267" s="142"/>
      <c r="F267" s="87"/>
      <c r="G267" s="87"/>
      <c r="H267" s="87"/>
      <c r="I267" s="143"/>
      <c r="J267" s="87"/>
      <c r="K267" s="87"/>
      <c r="L267" s="87"/>
      <c r="M267" s="87"/>
      <c r="N267" s="87"/>
      <c r="O267" s="87"/>
      <c r="P267" s="87"/>
      <c r="Q267" s="87"/>
      <c r="R267" s="144"/>
      <c r="S267" s="144"/>
      <c r="T267" s="87"/>
      <c r="U267" s="87"/>
    </row>
    <row r="268" customFormat="false" ht="18" hidden="false" customHeight="true" outlineLevel="0" collapsed="false">
      <c r="B268" s="7"/>
      <c r="C268" s="7"/>
      <c r="D268" s="7"/>
      <c r="E268" s="71"/>
      <c r="F268" s="7"/>
      <c r="G268" s="7"/>
      <c r="H268" s="7"/>
      <c r="I268" s="145"/>
      <c r="J268" s="7"/>
      <c r="K268" s="7"/>
      <c r="L268" s="7"/>
      <c r="M268" s="7"/>
      <c r="N268" s="7"/>
      <c r="O268" s="7"/>
      <c r="P268" s="7"/>
      <c r="Q268" s="7"/>
      <c r="R268" s="146"/>
      <c r="S268" s="146"/>
      <c r="T268" s="7"/>
      <c r="U268" s="7"/>
    </row>
    <row r="269" customFormat="false" ht="18" hidden="false" customHeight="true" outlineLevel="0" collapsed="false">
      <c r="B269" s="87"/>
      <c r="C269" s="87"/>
      <c r="D269" s="87"/>
      <c r="E269" s="142"/>
      <c r="F269" s="87"/>
      <c r="G269" s="87"/>
      <c r="H269" s="87"/>
      <c r="I269" s="143"/>
      <c r="J269" s="87"/>
      <c r="K269" s="87"/>
      <c r="L269" s="87"/>
      <c r="M269" s="87"/>
      <c r="N269" s="87"/>
      <c r="O269" s="87"/>
      <c r="P269" s="87"/>
      <c r="Q269" s="87"/>
      <c r="R269" s="144"/>
      <c r="S269" s="144"/>
      <c r="T269" s="87"/>
      <c r="U269" s="87"/>
    </row>
    <row r="270" customFormat="false" ht="18" hidden="false" customHeight="true" outlineLevel="0" collapsed="false">
      <c r="B270" s="7"/>
      <c r="C270" s="7"/>
      <c r="D270" s="7"/>
      <c r="E270" s="71"/>
      <c r="F270" s="7"/>
      <c r="G270" s="7"/>
      <c r="H270" s="7"/>
      <c r="I270" s="145"/>
      <c r="J270" s="7"/>
      <c r="K270" s="7"/>
      <c r="L270" s="7"/>
      <c r="M270" s="7"/>
      <c r="N270" s="7"/>
      <c r="O270" s="7"/>
      <c r="P270" s="7"/>
      <c r="Q270" s="7"/>
      <c r="R270" s="146"/>
      <c r="S270" s="146"/>
      <c r="T270" s="7"/>
      <c r="U270" s="7"/>
    </row>
    <row r="271" customFormat="false" ht="18" hidden="false" customHeight="true" outlineLevel="0" collapsed="false">
      <c r="B271" s="87"/>
      <c r="C271" s="87"/>
      <c r="D271" s="87"/>
      <c r="E271" s="142"/>
      <c r="F271" s="87"/>
      <c r="G271" s="87"/>
      <c r="H271" s="87"/>
      <c r="I271" s="143"/>
      <c r="J271" s="87"/>
      <c r="K271" s="87"/>
      <c r="L271" s="87"/>
      <c r="M271" s="87"/>
      <c r="N271" s="87"/>
      <c r="O271" s="87"/>
      <c r="P271" s="87"/>
      <c r="Q271" s="87"/>
      <c r="R271" s="144"/>
      <c r="S271" s="144"/>
      <c r="T271" s="87"/>
      <c r="U271" s="87"/>
    </row>
    <row r="272" customFormat="false" ht="18" hidden="false" customHeight="true" outlineLevel="0" collapsed="false">
      <c r="B272" s="7"/>
      <c r="C272" s="7"/>
      <c r="D272" s="7"/>
      <c r="E272" s="71"/>
      <c r="F272" s="7"/>
      <c r="G272" s="7"/>
      <c r="H272" s="7"/>
      <c r="I272" s="145"/>
      <c r="J272" s="7"/>
      <c r="K272" s="7"/>
      <c r="L272" s="7"/>
      <c r="M272" s="7"/>
      <c r="N272" s="7"/>
      <c r="O272" s="7"/>
      <c r="P272" s="7"/>
      <c r="Q272" s="7"/>
      <c r="R272" s="146"/>
      <c r="S272" s="146"/>
      <c r="T272" s="7"/>
      <c r="U272" s="7"/>
    </row>
    <row r="273" customFormat="false" ht="18" hidden="false" customHeight="true" outlineLevel="0" collapsed="false">
      <c r="B273" s="87"/>
      <c r="C273" s="87"/>
      <c r="D273" s="87"/>
      <c r="E273" s="142"/>
      <c r="F273" s="87"/>
      <c r="G273" s="87"/>
      <c r="H273" s="87"/>
      <c r="I273" s="143"/>
      <c r="J273" s="87"/>
      <c r="K273" s="87"/>
      <c r="L273" s="87"/>
      <c r="M273" s="87"/>
      <c r="N273" s="87"/>
      <c r="O273" s="87"/>
      <c r="P273" s="87"/>
      <c r="Q273" s="87"/>
      <c r="R273" s="144"/>
      <c r="S273" s="144"/>
      <c r="T273" s="87"/>
      <c r="U273" s="87"/>
    </row>
    <row r="274" customFormat="false" ht="18" hidden="false" customHeight="true" outlineLevel="0" collapsed="false">
      <c r="B274" s="7"/>
      <c r="C274" s="7"/>
      <c r="D274" s="7"/>
      <c r="E274" s="71"/>
      <c r="F274" s="7"/>
      <c r="G274" s="7"/>
      <c r="H274" s="7"/>
      <c r="I274" s="145"/>
      <c r="J274" s="7"/>
      <c r="K274" s="7"/>
      <c r="L274" s="7"/>
      <c r="M274" s="7"/>
      <c r="N274" s="7"/>
      <c r="O274" s="7"/>
      <c r="P274" s="7"/>
      <c r="Q274" s="7"/>
      <c r="R274" s="146"/>
      <c r="S274" s="146"/>
      <c r="T274" s="7"/>
      <c r="U274" s="7"/>
    </row>
    <row r="275" customFormat="false" ht="18" hidden="false" customHeight="true" outlineLevel="0" collapsed="false">
      <c r="B275" s="87"/>
      <c r="C275" s="87"/>
      <c r="D275" s="87"/>
      <c r="E275" s="142"/>
      <c r="F275" s="87"/>
      <c r="G275" s="87"/>
      <c r="H275" s="87"/>
      <c r="I275" s="143"/>
      <c r="J275" s="87"/>
      <c r="K275" s="87"/>
      <c r="L275" s="87"/>
      <c r="M275" s="87"/>
      <c r="N275" s="87"/>
      <c r="O275" s="87"/>
      <c r="P275" s="87"/>
      <c r="Q275" s="87"/>
      <c r="R275" s="144"/>
      <c r="S275" s="144"/>
      <c r="T275" s="87"/>
      <c r="U275" s="87"/>
    </row>
    <row r="276" customFormat="false" ht="18" hidden="false" customHeight="true" outlineLevel="0" collapsed="false">
      <c r="B276" s="7"/>
      <c r="C276" s="7"/>
      <c r="D276" s="7"/>
      <c r="E276" s="71"/>
      <c r="F276" s="7"/>
      <c r="G276" s="7"/>
      <c r="H276" s="7"/>
      <c r="I276" s="145"/>
      <c r="J276" s="7"/>
      <c r="K276" s="7"/>
      <c r="L276" s="7"/>
      <c r="M276" s="7"/>
      <c r="N276" s="7"/>
      <c r="O276" s="7"/>
      <c r="P276" s="7"/>
      <c r="Q276" s="7"/>
      <c r="R276" s="146"/>
      <c r="S276" s="146"/>
      <c r="T276" s="7"/>
      <c r="U276" s="7"/>
    </row>
    <row r="277" customFormat="false" ht="18" hidden="false" customHeight="true" outlineLevel="0" collapsed="false">
      <c r="B277" s="87"/>
      <c r="C277" s="87"/>
      <c r="D277" s="87"/>
      <c r="E277" s="142"/>
      <c r="F277" s="87"/>
      <c r="G277" s="87"/>
      <c r="H277" s="87"/>
      <c r="I277" s="143"/>
      <c r="J277" s="87"/>
      <c r="K277" s="87"/>
      <c r="L277" s="87"/>
      <c r="M277" s="87"/>
      <c r="N277" s="87"/>
      <c r="O277" s="87"/>
      <c r="P277" s="87"/>
      <c r="Q277" s="87"/>
      <c r="R277" s="144"/>
      <c r="S277" s="144"/>
      <c r="T277" s="87"/>
      <c r="U277" s="87"/>
    </row>
    <row r="278" customFormat="false" ht="18" hidden="false" customHeight="true" outlineLevel="0" collapsed="false">
      <c r="B278" s="7"/>
      <c r="C278" s="7"/>
      <c r="D278" s="7"/>
      <c r="E278" s="71"/>
      <c r="F278" s="7"/>
      <c r="G278" s="7"/>
      <c r="H278" s="7"/>
      <c r="I278" s="145"/>
      <c r="J278" s="7"/>
      <c r="K278" s="7"/>
      <c r="L278" s="7"/>
      <c r="M278" s="7"/>
      <c r="N278" s="7"/>
      <c r="O278" s="7"/>
      <c r="P278" s="7"/>
      <c r="Q278" s="7"/>
      <c r="R278" s="146"/>
      <c r="S278" s="146"/>
      <c r="T278" s="7"/>
      <c r="U278" s="7"/>
    </row>
    <row r="279" customFormat="false" ht="18" hidden="false" customHeight="true" outlineLevel="0" collapsed="false">
      <c r="B279" s="87"/>
      <c r="C279" s="87"/>
      <c r="D279" s="87"/>
      <c r="E279" s="142"/>
      <c r="F279" s="87"/>
      <c r="G279" s="87"/>
      <c r="H279" s="87"/>
      <c r="I279" s="143"/>
      <c r="J279" s="87"/>
      <c r="K279" s="87"/>
      <c r="L279" s="87"/>
      <c r="M279" s="87"/>
      <c r="N279" s="87"/>
      <c r="O279" s="87"/>
      <c r="P279" s="87"/>
      <c r="Q279" s="87"/>
      <c r="R279" s="144"/>
      <c r="S279" s="144"/>
      <c r="T279" s="87"/>
      <c r="U279" s="87"/>
    </row>
    <row r="280" customFormat="false" ht="18" hidden="false" customHeight="true" outlineLevel="0" collapsed="false">
      <c r="B280" s="7"/>
      <c r="C280" s="7"/>
      <c r="D280" s="7"/>
      <c r="E280" s="71"/>
      <c r="F280" s="7"/>
      <c r="G280" s="7"/>
      <c r="H280" s="7"/>
      <c r="I280" s="145"/>
      <c r="J280" s="7"/>
      <c r="K280" s="7"/>
      <c r="L280" s="7"/>
      <c r="M280" s="7"/>
      <c r="N280" s="7"/>
      <c r="O280" s="7"/>
      <c r="P280" s="7"/>
      <c r="Q280" s="7"/>
      <c r="R280" s="146"/>
      <c r="S280" s="146"/>
      <c r="T280" s="7"/>
      <c r="U280" s="7"/>
    </row>
    <row r="281" customFormat="false" ht="18" hidden="false" customHeight="true" outlineLevel="0" collapsed="false">
      <c r="B281" s="87"/>
      <c r="C281" s="87"/>
      <c r="D281" s="87"/>
      <c r="E281" s="142"/>
      <c r="F281" s="87"/>
      <c r="G281" s="87"/>
      <c r="H281" s="87"/>
      <c r="I281" s="143"/>
      <c r="J281" s="87"/>
      <c r="K281" s="87"/>
      <c r="L281" s="87"/>
      <c r="M281" s="87"/>
      <c r="N281" s="87"/>
      <c r="O281" s="87"/>
      <c r="P281" s="87"/>
      <c r="Q281" s="87"/>
      <c r="R281" s="144"/>
      <c r="S281" s="144"/>
      <c r="T281" s="87"/>
      <c r="U281" s="87"/>
    </row>
    <row r="282" customFormat="false" ht="18" hidden="false" customHeight="true" outlineLevel="0" collapsed="false">
      <c r="B282" s="7"/>
      <c r="C282" s="7"/>
      <c r="D282" s="7"/>
      <c r="E282" s="71"/>
      <c r="F282" s="7"/>
      <c r="G282" s="7"/>
      <c r="H282" s="7"/>
      <c r="I282" s="145"/>
      <c r="J282" s="7"/>
      <c r="K282" s="7"/>
      <c r="L282" s="7"/>
      <c r="M282" s="7"/>
      <c r="N282" s="7"/>
      <c r="O282" s="7"/>
      <c r="P282" s="7"/>
      <c r="Q282" s="7"/>
      <c r="R282" s="146"/>
      <c r="S282" s="146"/>
      <c r="T282" s="7"/>
      <c r="U282" s="7"/>
    </row>
    <row r="283" customFormat="false" ht="18" hidden="false" customHeight="true" outlineLevel="0" collapsed="false">
      <c r="B283" s="87"/>
      <c r="C283" s="87"/>
      <c r="D283" s="87"/>
      <c r="E283" s="142"/>
      <c r="F283" s="87"/>
      <c r="G283" s="87"/>
      <c r="H283" s="87"/>
      <c r="I283" s="143"/>
      <c r="J283" s="87"/>
      <c r="K283" s="87"/>
      <c r="L283" s="87"/>
      <c r="M283" s="87"/>
      <c r="N283" s="87"/>
      <c r="O283" s="87"/>
      <c r="P283" s="87"/>
      <c r="Q283" s="87"/>
      <c r="R283" s="144"/>
      <c r="S283" s="144"/>
      <c r="T283" s="87"/>
      <c r="U283" s="87"/>
    </row>
    <row r="284" customFormat="false" ht="18" hidden="false" customHeight="true" outlineLevel="0" collapsed="false">
      <c r="B284" s="7"/>
      <c r="C284" s="7"/>
      <c r="D284" s="7"/>
      <c r="E284" s="71"/>
      <c r="F284" s="7"/>
      <c r="G284" s="7"/>
      <c r="H284" s="7"/>
      <c r="I284" s="145"/>
      <c r="J284" s="7"/>
      <c r="K284" s="7"/>
      <c r="L284" s="7"/>
      <c r="M284" s="7"/>
      <c r="N284" s="7"/>
      <c r="O284" s="7"/>
      <c r="P284" s="7"/>
      <c r="Q284" s="7"/>
      <c r="R284" s="146"/>
      <c r="S284" s="146"/>
      <c r="T284" s="7"/>
      <c r="U284" s="7"/>
    </row>
    <row r="285" customFormat="false" ht="18" hidden="false" customHeight="true" outlineLevel="0" collapsed="false">
      <c r="B285" s="87"/>
      <c r="C285" s="87"/>
      <c r="D285" s="87"/>
      <c r="E285" s="142"/>
      <c r="F285" s="87"/>
      <c r="G285" s="87"/>
      <c r="H285" s="87"/>
      <c r="I285" s="143"/>
      <c r="J285" s="87"/>
      <c r="K285" s="87"/>
      <c r="L285" s="87"/>
      <c r="M285" s="87"/>
      <c r="N285" s="87"/>
      <c r="O285" s="87"/>
      <c r="P285" s="87"/>
      <c r="Q285" s="87"/>
      <c r="R285" s="144"/>
      <c r="S285" s="144"/>
      <c r="T285" s="87"/>
      <c r="U285" s="87"/>
    </row>
    <row r="286" customFormat="false" ht="18" hidden="false" customHeight="true" outlineLevel="0" collapsed="false">
      <c r="B286" s="7"/>
      <c r="C286" s="7"/>
      <c r="D286" s="7"/>
      <c r="E286" s="71"/>
      <c r="F286" s="7"/>
      <c r="G286" s="7"/>
      <c r="H286" s="7"/>
      <c r="I286" s="145"/>
      <c r="J286" s="7"/>
      <c r="K286" s="7"/>
      <c r="L286" s="7"/>
      <c r="M286" s="7"/>
      <c r="N286" s="7"/>
      <c r="O286" s="7"/>
      <c r="P286" s="7"/>
      <c r="Q286" s="7"/>
      <c r="R286" s="146"/>
      <c r="S286" s="146"/>
      <c r="T286" s="7"/>
      <c r="U286" s="7"/>
    </row>
    <row r="287" customFormat="false" ht="18" hidden="false" customHeight="true" outlineLevel="0" collapsed="false">
      <c r="B287" s="87"/>
      <c r="C287" s="87"/>
      <c r="D287" s="87"/>
      <c r="E287" s="142"/>
      <c r="F287" s="87"/>
      <c r="G287" s="87"/>
      <c r="H287" s="87"/>
      <c r="I287" s="143"/>
      <c r="J287" s="87"/>
      <c r="K287" s="87"/>
      <c r="L287" s="87"/>
      <c r="M287" s="87"/>
      <c r="N287" s="87"/>
      <c r="O287" s="87"/>
      <c r="P287" s="87"/>
      <c r="Q287" s="87"/>
      <c r="R287" s="144"/>
      <c r="S287" s="144"/>
      <c r="T287" s="87"/>
      <c r="U287" s="87"/>
    </row>
    <row r="288" customFormat="false" ht="18" hidden="false" customHeight="true" outlineLevel="0" collapsed="false">
      <c r="B288" s="7"/>
      <c r="C288" s="7"/>
      <c r="D288" s="7"/>
      <c r="E288" s="71"/>
      <c r="F288" s="7"/>
      <c r="G288" s="7"/>
      <c r="H288" s="7"/>
      <c r="I288" s="145"/>
      <c r="J288" s="7"/>
      <c r="K288" s="7"/>
      <c r="L288" s="7"/>
      <c r="M288" s="7"/>
      <c r="N288" s="7"/>
      <c r="O288" s="7"/>
      <c r="P288" s="7"/>
      <c r="Q288" s="7"/>
      <c r="R288" s="146"/>
      <c r="S288" s="146"/>
      <c r="T288" s="7"/>
      <c r="U288" s="7"/>
    </row>
    <row r="289" customFormat="false" ht="18" hidden="false" customHeight="true" outlineLevel="0" collapsed="false">
      <c r="B289" s="87"/>
      <c r="C289" s="87"/>
      <c r="D289" s="87"/>
      <c r="E289" s="142"/>
      <c r="F289" s="87"/>
      <c r="G289" s="87"/>
      <c r="H289" s="87"/>
      <c r="I289" s="143"/>
      <c r="J289" s="87"/>
      <c r="K289" s="87"/>
      <c r="L289" s="87"/>
      <c r="M289" s="87"/>
      <c r="N289" s="87"/>
      <c r="O289" s="87"/>
      <c r="P289" s="87"/>
      <c r="Q289" s="87"/>
      <c r="R289" s="144"/>
      <c r="S289" s="144"/>
      <c r="T289" s="87"/>
      <c r="U289" s="87"/>
    </row>
    <row r="290" customFormat="false" ht="18" hidden="false" customHeight="true" outlineLevel="0" collapsed="false">
      <c r="B290" s="7"/>
      <c r="C290" s="7"/>
      <c r="D290" s="7"/>
      <c r="E290" s="71"/>
      <c r="F290" s="7"/>
      <c r="G290" s="7"/>
      <c r="H290" s="7"/>
      <c r="I290" s="145"/>
      <c r="J290" s="7"/>
      <c r="K290" s="7"/>
      <c r="L290" s="7"/>
      <c r="M290" s="7"/>
      <c r="N290" s="7"/>
      <c r="O290" s="7"/>
      <c r="P290" s="7"/>
      <c r="Q290" s="7"/>
      <c r="R290" s="146"/>
      <c r="S290" s="146"/>
      <c r="T290" s="7"/>
      <c r="U290" s="7"/>
    </row>
    <row r="291" customFormat="false" ht="18" hidden="false" customHeight="true" outlineLevel="0" collapsed="false">
      <c r="B291" s="87"/>
      <c r="C291" s="87"/>
      <c r="D291" s="87"/>
      <c r="E291" s="142"/>
      <c r="F291" s="87"/>
      <c r="G291" s="87"/>
      <c r="H291" s="87"/>
      <c r="I291" s="143"/>
      <c r="J291" s="87"/>
      <c r="K291" s="87"/>
      <c r="L291" s="87"/>
      <c r="M291" s="87"/>
      <c r="N291" s="87"/>
      <c r="O291" s="87"/>
      <c r="P291" s="87"/>
      <c r="Q291" s="87"/>
      <c r="R291" s="144"/>
      <c r="S291" s="144"/>
      <c r="T291" s="87"/>
      <c r="U291" s="87"/>
    </row>
    <row r="292" customFormat="false" ht="18" hidden="false" customHeight="true" outlineLevel="0" collapsed="false">
      <c r="B292" s="7"/>
      <c r="C292" s="7"/>
      <c r="D292" s="7"/>
      <c r="E292" s="71"/>
      <c r="F292" s="7"/>
      <c r="G292" s="7"/>
      <c r="H292" s="7"/>
      <c r="I292" s="145"/>
      <c r="J292" s="7"/>
      <c r="K292" s="7"/>
      <c r="L292" s="7"/>
      <c r="M292" s="7"/>
      <c r="N292" s="7"/>
      <c r="O292" s="7"/>
      <c r="P292" s="7"/>
      <c r="Q292" s="7"/>
      <c r="R292" s="146"/>
      <c r="S292" s="146"/>
      <c r="T292" s="7"/>
      <c r="U292" s="7"/>
    </row>
    <row r="293" customFormat="false" ht="18" hidden="false" customHeight="true" outlineLevel="0" collapsed="false">
      <c r="B293" s="87"/>
      <c r="C293" s="87"/>
      <c r="D293" s="87"/>
      <c r="E293" s="142"/>
      <c r="F293" s="87"/>
      <c r="G293" s="87"/>
      <c r="H293" s="87"/>
      <c r="I293" s="143"/>
      <c r="J293" s="87"/>
      <c r="K293" s="87"/>
      <c r="L293" s="87"/>
      <c r="M293" s="87"/>
      <c r="N293" s="87"/>
      <c r="O293" s="87"/>
      <c r="P293" s="87"/>
      <c r="Q293" s="87"/>
      <c r="R293" s="144"/>
      <c r="S293" s="144"/>
      <c r="T293" s="87"/>
      <c r="U293" s="87"/>
    </row>
    <row r="294" customFormat="false" ht="18" hidden="false" customHeight="true" outlineLevel="0" collapsed="false">
      <c r="B294" s="7"/>
      <c r="C294" s="7"/>
      <c r="D294" s="7"/>
      <c r="E294" s="71"/>
      <c r="F294" s="7"/>
      <c r="G294" s="7"/>
      <c r="H294" s="7"/>
      <c r="I294" s="145"/>
      <c r="J294" s="7"/>
      <c r="K294" s="7"/>
      <c r="L294" s="7"/>
      <c r="M294" s="7"/>
      <c r="N294" s="7"/>
      <c r="O294" s="7"/>
      <c r="P294" s="7"/>
      <c r="Q294" s="7"/>
      <c r="R294" s="146"/>
      <c r="S294" s="146"/>
      <c r="T294" s="7"/>
      <c r="U294" s="7"/>
    </row>
    <row r="295" customFormat="false" ht="18" hidden="false" customHeight="true" outlineLevel="0" collapsed="false">
      <c r="B295" s="87"/>
      <c r="C295" s="87"/>
      <c r="D295" s="87"/>
      <c r="E295" s="142"/>
      <c r="F295" s="87"/>
      <c r="G295" s="87"/>
      <c r="H295" s="87"/>
      <c r="I295" s="143"/>
      <c r="J295" s="87"/>
      <c r="K295" s="87"/>
      <c r="L295" s="87"/>
      <c r="M295" s="87"/>
      <c r="N295" s="87"/>
      <c r="O295" s="87"/>
      <c r="P295" s="87"/>
      <c r="Q295" s="87"/>
      <c r="R295" s="144"/>
      <c r="S295" s="144"/>
      <c r="T295" s="87"/>
      <c r="U295" s="87"/>
    </row>
    <row r="296" customFormat="false" ht="18" hidden="false" customHeight="true" outlineLevel="0" collapsed="false">
      <c r="B296" s="7"/>
      <c r="C296" s="7"/>
      <c r="D296" s="7"/>
      <c r="E296" s="71"/>
      <c r="F296" s="7"/>
      <c r="G296" s="7"/>
      <c r="H296" s="7"/>
      <c r="I296" s="145"/>
      <c r="J296" s="7"/>
      <c r="K296" s="7"/>
      <c r="L296" s="7"/>
      <c r="M296" s="7"/>
      <c r="N296" s="7"/>
      <c r="O296" s="7"/>
      <c r="P296" s="7"/>
      <c r="Q296" s="7"/>
      <c r="R296" s="146"/>
      <c r="S296" s="146"/>
      <c r="T296" s="7"/>
      <c r="U296" s="7"/>
    </row>
    <row r="297" customFormat="false" ht="18" hidden="false" customHeight="true" outlineLevel="0" collapsed="false">
      <c r="B297" s="87"/>
      <c r="C297" s="87"/>
      <c r="D297" s="87"/>
      <c r="E297" s="142"/>
      <c r="F297" s="87"/>
      <c r="G297" s="87"/>
      <c r="H297" s="87"/>
      <c r="I297" s="143"/>
      <c r="J297" s="87"/>
      <c r="K297" s="87"/>
      <c r="L297" s="87"/>
      <c r="M297" s="87"/>
      <c r="N297" s="87"/>
      <c r="O297" s="87"/>
      <c r="P297" s="87"/>
      <c r="Q297" s="87"/>
      <c r="R297" s="144"/>
      <c r="S297" s="144"/>
      <c r="T297" s="87"/>
      <c r="U297" s="87"/>
    </row>
    <row r="298" customFormat="false" ht="18" hidden="false" customHeight="true" outlineLevel="0" collapsed="false">
      <c r="B298" s="7"/>
      <c r="C298" s="7"/>
      <c r="D298" s="7"/>
      <c r="E298" s="71"/>
      <c r="F298" s="7"/>
      <c r="G298" s="7"/>
      <c r="H298" s="7"/>
      <c r="I298" s="145"/>
      <c r="J298" s="7"/>
      <c r="K298" s="7"/>
      <c r="L298" s="7"/>
      <c r="M298" s="7"/>
      <c r="N298" s="7"/>
      <c r="O298" s="7"/>
      <c r="P298" s="7"/>
      <c r="Q298" s="7"/>
      <c r="R298" s="146"/>
      <c r="S298" s="146"/>
      <c r="T298" s="7"/>
      <c r="U298" s="7"/>
    </row>
    <row r="299" customFormat="false" ht="18" hidden="false" customHeight="true" outlineLevel="0" collapsed="false">
      <c r="B299" s="87"/>
      <c r="C299" s="87"/>
      <c r="D299" s="87"/>
      <c r="E299" s="142"/>
      <c r="F299" s="87"/>
      <c r="G299" s="87"/>
      <c r="H299" s="87"/>
      <c r="I299" s="143"/>
      <c r="J299" s="87"/>
      <c r="K299" s="87"/>
      <c r="L299" s="87"/>
      <c r="M299" s="87"/>
      <c r="N299" s="87"/>
      <c r="O299" s="87"/>
      <c r="P299" s="87"/>
      <c r="Q299" s="87"/>
      <c r="R299" s="144"/>
      <c r="S299" s="144"/>
      <c r="T299" s="87"/>
      <c r="U299" s="87"/>
    </row>
    <row r="300" customFormat="false" ht="18" hidden="false" customHeight="true" outlineLevel="0" collapsed="false">
      <c r="B300" s="7"/>
      <c r="C300" s="7"/>
      <c r="D300" s="7"/>
      <c r="E300" s="71"/>
      <c r="F300" s="7"/>
      <c r="G300" s="7"/>
      <c r="H300" s="7"/>
      <c r="I300" s="145"/>
      <c r="J300" s="7"/>
      <c r="K300" s="7"/>
      <c r="L300" s="7"/>
      <c r="M300" s="7"/>
      <c r="N300" s="7"/>
      <c r="O300" s="7"/>
      <c r="P300" s="7"/>
      <c r="Q300" s="7"/>
      <c r="R300" s="146"/>
      <c r="S300" s="146"/>
      <c r="T300" s="7"/>
      <c r="U300" s="7"/>
    </row>
    <row r="301" customFormat="false" ht="18" hidden="false" customHeight="true" outlineLevel="0" collapsed="false">
      <c r="B301" s="87"/>
      <c r="C301" s="87"/>
      <c r="D301" s="87"/>
      <c r="E301" s="142"/>
      <c r="F301" s="87"/>
      <c r="G301" s="87"/>
      <c r="H301" s="87"/>
      <c r="I301" s="143"/>
      <c r="J301" s="87"/>
      <c r="K301" s="87"/>
      <c r="L301" s="87"/>
      <c r="M301" s="87"/>
      <c r="N301" s="87"/>
      <c r="O301" s="87"/>
      <c r="P301" s="87"/>
      <c r="Q301" s="87"/>
      <c r="R301" s="144"/>
      <c r="S301" s="144"/>
      <c r="T301" s="87"/>
      <c r="U301" s="87"/>
    </row>
    <row r="302" customFormat="false" ht="18" hidden="false" customHeight="true" outlineLevel="0" collapsed="false">
      <c r="B302" s="7"/>
      <c r="C302" s="7"/>
      <c r="D302" s="7"/>
      <c r="E302" s="71"/>
      <c r="F302" s="7"/>
      <c r="G302" s="7"/>
      <c r="H302" s="7"/>
      <c r="I302" s="145"/>
      <c r="J302" s="7"/>
      <c r="K302" s="7"/>
      <c r="L302" s="7"/>
      <c r="M302" s="7"/>
      <c r="N302" s="7"/>
      <c r="O302" s="7"/>
      <c r="P302" s="7"/>
      <c r="Q302" s="7"/>
      <c r="R302" s="146"/>
      <c r="S302" s="146"/>
      <c r="T302" s="7"/>
      <c r="U302" s="7"/>
    </row>
    <row r="303" customFormat="false" ht="18" hidden="false" customHeight="true" outlineLevel="0" collapsed="false">
      <c r="B303" s="87"/>
      <c r="C303" s="87"/>
      <c r="D303" s="87"/>
      <c r="E303" s="142"/>
      <c r="F303" s="87"/>
      <c r="G303" s="87"/>
      <c r="H303" s="87"/>
      <c r="I303" s="143"/>
      <c r="J303" s="87"/>
      <c r="K303" s="87"/>
      <c r="L303" s="87"/>
      <c r="M303" s="87"/>
      <c r="N303" s="87"/>
      <c r="O303" s="87"/>
      <c r="P303" s="87"/>
      <c r="Q303" s="87"/>
      <c r="R303" s="144"/>
      <c r="S303" s="144"/>
      <c r="T303" s="87"/>
      <c r="U303" s="87"/>
    </row>
    <row r="304" customFormat="false" ht="18" hidden="false" customHeight="true" outlineLevel="0" collapsed="false">
      <c r="B304" s="7"/>
      <c r="C304" s="7"/>
      <c r="D304" s="7"/>
      <c r="E304" s="71"/>
      <c r="F304" s="7"/>
      <c r="G304" s="7"/>
      <c r="H304" s="7"/>
      <c r="I304" s="145"/>
      <c r="J304" s="7"/>
      <c r="K304" s="7"/>
      <c r="L304" s="7"/>
      <c r="M304" s="7"/>
      <c r="N304" s="7"/>
      <c r="O304" s="7"/>
      <c r="P304" s="7"/>
      <c r="Q304" s="7"/>
      <c r="R304" s="146"/>
      <c r="S304" s="146"/>
      <c r="T304" s="7"/>
      <c r="U304" s="7"/>
    </row>
    <row r="305" customFormat="false" ht="18" hidden="false" customHeight="true" outlineLevel="0" collapsed="false">
      <c r="B305" s="87"/>
      <c r="C305" s="87"/>
      <c r="D305" s="87"/>
      <c r="E305" s="142"/>
      <c r="F305" s="87"/>
      <c r="G305" s="87"/>
      <c r="H305" s="87"/>
      <c r="I305" s="143"/>
      <c r="J305" s="87"/>
      <c r="K305" s="87"/>
      <c r="L305" s="87"/>
      <c r="M305" s="87"/>
      <c r="N305" s="87"/>
      <c r="O305" s="87"/>
      <c r="P305" s="87"/>
      <c r="Q305" s="87"/>
      <c r="R305" s="144"/>
      <c r="S305" s="144"/>
      <c r="T305" s="87"/>
      <c r="U305" s="87"/>
    </row>
    <row r="306" customFormat="false" ht="18" hidden="false" customHeight="true" outlineLevel="0" collapsed="false">
      <c r="B306" s="7"/>
      <c r="C306" s="7"/>
      <c r="D306" s="7"/>
      <c r="E306" s="71"/>
      <c r="F306" s="7"/>
      <c r="G306" s="7"/>
      <c r="H306" s="7"/>
      <c r="I306" s="145"/>
      <c r="J306" s="7"/>
      <c r="K306" s="7"/>
      <c r="L306" s="7"/>
      <c r="M306" s="7"/>
      <c r="N306" s="7"/>
      <c r="O306" s="7"/>
      <c r="P306" s="7"/>
      <c r="Q306" s="7"/>
      <c r="R306" s="146"/>
      <c r="S306" s="146"/>
      <c r="T306" s="7"/>
      <c r="U306" s="7"/>
    </row>
    <row r="307" customFormat="false" ht="18" hidden="false" customHeight="true" outlineLevel="0" collapsed="false">
      <c r="B307" s="87"/>
      <c r="C307" s="87"/>
      <c r="D307" s="87"/>
      <c r="E307" s="142"/>
      <c r="F307" s="87"/>
      <c r="G307" s="87"/>
      <c r="H307" s="87"/>
      <c r="I307" s="143"/>
      <c r="J307" s="87"/>
      <c r="K307" s="87"/>
      <c r="L307" s="87"/>
      <c r="M307" s="87"/>
      <c r="N307" s="87"/>
      <c r="O307" s="87"/>
      <c r="P307" s="87"/>
      <c r="Q307" s="87"/>
      <c r="R307" s="144"/>
      <c r="S307" s="144"/>
      <c r="T307" s="87"/>
      <c r="U307" s="87"/>
    </row>
    <row r="308" customFormat="false" ht="18" hidden="false" customHeight="true" outlineLevel="0" collapsed="false">
      <c r="B308" s="7"/>
      <c r="C308" s="7"/>
      <c r="D308" s="7"/>
      <c r="E308" s="71"/>
      <c r="F308" s="7"/>
      <c r="G308" s="7"/>
      <c r="H308" s="7"/>
      <c r="I308" s="145"/>
      <c r="J308" s="7"/>
      <c r="K308" s="7"/>
      <c r="L308" s="7"/>
      <c r="M308" s="7"/>
      <c r="N308" s="7"/>
      <c r="O308" s="7"/>
      <c r="P308" s="7"/>
      <c r="Q308" s="7"/>
      <c r="R308" s="146"/>
      <c r="S308" s="146"/>
      <c r="T308" s="7"/>
      <c r="U308" s="7"/>
    </row>
    <row r="309" customFormat="false" ht="18" hidden="false" customHeight="true" outlineLevel="0" collapsed="false">
      <c r="B309" s="87"/>
      <c r="C309" s="87"/>
      <c r="D309" s="87"/>
      <c r="E309" s="142"/>
      <c r="F309" s="87"/>
      <c r="G309" s="87"/>
      <c r="H309" s="87"/>
      <c r="I309" s="143"/>
      <c r="J309" s="87"/>
      <c r="K309" s="87"/>
      <c r="L309" s="87"/>
      <c r="M309" s="87"/>
      <c r="N309" s="87"/>
      <c r="O309" s="87"/>
      <c r="P309" s="87"/>
      <c r="Q309" s="87"/>
      <c r="R309" s="144"/>
      <c r="S309" s="144"/>
      <c r="T309" s="87"/>
      <c r="U309" s="87"/>
    </row>
    <row r="310" customFormat="false" ht="18" hidden="false" customHeight="true" outlineLevel="0" collapsed="false">
      <c r="B310" s="7"/>
      <c r="C310" s="7"/>
      <c r="D310" s="7"/>
      <c r="E310" s="71"/>
      <c r="F310" s="7"/>
      <c r="G310" s="7"/>
      <c r="H310" s="7"/>
      <c r="I310" s="145"/>
      <c r="J310" s="7"/>
      <c r="K310" s="7"/>
      <c r="L310" s="7"/>
      <c r="M310" s="7"/>
      <c r="N310" s="7"/>
      <c r="O310" s="7"/>
      <c r="P310" s="7"/>
      <c r="Q310" s="7"/>
      <c r="R310" s="146"/>
      <c r="S310" s="146"/>
      <c r="T310" s="7"/>
      <c r="U310" s="7"/>
    </row>
    <row r="311" customFormat="false" ht="18" hidden="false" customHeight="true" outlineLevel="0" collapsed="false">
      <c r="B311" s="87"/>
      <c r="C311" s="87"/>
      <c r="D311" s="87"/>
      <c r="E311" s="142"/>
      <c r="F311" s="87"/>
      <c r="G311" s="87"/>
      <c r="H311" s="87"/>
      <c r="I311" s="143"/>
      <c r="J311" s="87"/>
      <c r="K311" s="87"/>
      <c r="L311" s="87"/>
      <c r="M311" s="87"/>
      <c r="N311" s="87"/>
      <c r="O311" s="87"/>
      <c r="P311" s="87"/>
      <c r="Q311" s="87"/>
      <c r="R311" s="144"/>
      <c r="S311" s="144"/>
      <c r="T311" s="87"/>
      <c r="U311" s="87"/>
    </row>
    <row r="312" customFormat="false" ht="18" hidden="false" customHeight="true" outlineLevel="0" collapsed="false">
      <c r="B312" s="7"/>
      <c r="C312" s="7"/>
      <c r="D312" s="7"/>
      <c r="E312" s="71"/>
      <c r="F312" s="7"/>
      <c r="G312" s="7"/>
      <c r="H312" s="7"/>
      <c r="I312" s="145"/>
      <c r="J312" s="7"/>
      <c r="K312" s="7"/>
      <c r="L312" s="7"/>
      <c r="M312" s="7"/>
      <c r="N312" s="7"/>
      <c r="O312" s="7"/>
      <c r="P312" s="7"/>
      <c r="Q312" s="7"/>
      <c r="R312" s="146"/>
      <c r="S312" s="146"/>
      <c r="T312" s="7"/>
      <c r="U312" s="7"/>
    </row>
    <row r="313" customFormat="false" ht="18" hidden="false" customHeight="true" outlineLevel="0" collapsed="false">
      <c r="B313" s="87"/>
      <c r="C313" s="87"/>
      <c r="D313" s="87"/>
      <c r="E313" s="142"/>
      <c r="F313" s="87"/>
      <c r="G313" s="87"/>
      <c r="H313" s="87"/>
      <c r="I313" s="143"/>
      <c r="J313" s="87"/>
      <c r="K313" s="87"/>
      <c r="L313" s="87"/>
      <c r="M313" s="87"/>
      <c r="N313" s="87"/>
      <c r="O313" s="87"/>
      <c r="P313" s="87"/>
      <c r="Q313" s="87"/>
      <c r="R313" s="144"/>
      <c r="S313" s="144"/>
      <c r="T313" s="87"/>
      <c r="U313" s="87"/>
    </row>
    <row r="314" customFormat="false" ht="18" hidden="false" customHeight="true" outlineLevel="0" collapsed="false">
      <c r="B314" s="7"/>
      <c r="C314" s="7"/>
      <c r="D314" s="7"/>
      <c r="E314" s="71"/>
      <c r="F314" s="7"/>
      <c r="G314" s="7"/>
      <c r="H314" s="7"/>
      <c r="I314" s="145"/>
      <c r="J314" s="7"/>
      <c r="K314" s="7"/>
      <c r="L314" s="7"/>
      <c r="M314" s="7"/>
      <c r="N314" s="7"/>
      <c r="O314" s="7"/>
      <c r="P314" s="7"/>
      <c r="Q314" s="7"/>
      <c r="R314" s="146"/>
      <c r="S314" s="146"/>
      <c r="T314" s="7"/>
      <c r="U314" s="7"/>
    </row>
    <row r="315" customFormat="false" ht="18" hidden="false" customHeight="true" outlineLevel="0" collapsed="false">
      <c r="B315" s="87"/>
      <c r="C315" s="87"/>
      <c r="D315" s="87"/>
      <c r="E315" s="142"/>
      <c r="F315" s="87"/>
      <c r="G315" s="87"/>
      <c r="H315" s="87"/>
      <c r="I315" s="143"/>
      <c r="J315" s="87"/>
      <c r="K315" s="87"/>
      <c r="L315" s="87"/>
      <c r="M315" s="87"/>
      <c r="N315" s="87"/>
      <c r="O315" s="87"/>
      <c r="P315" s="87"/>
      <c r="Q315" s="87"/>
      <c r="R315" s="144"/>
      <c r="S315" s="144"/>
      <c r="T315" s="87"/>
      <c r="U315" s="87"/>
    </row>
    <row r="316" customFormat="false" ht="18" hidden="false" customHeight="true" outlineLevel="0" collapsed="false">
      <c r="B316" s="7"/>
      <c r="C316" s="7"/>
      <c r="D316" s="7"/>
      <c r="E316" s="71"/>
      <c r="F316" s="7"/>
      <c r="G316" s="7"/>
      <c r="H316" s="7"/>
      <c r="I316" s="145"/>
      <c r="J316" s="7"/>
      <c r="K316" s="7"/>
      <c r="L316" s="7"/>
      <c r="M316" s="7"/>
      <c r="N316" s="7"/>
      <c r="O316" s="7"/>
      <c r="P316" s="7"/>
      <c r="Q316" s="7"/>
      <c r="R316" s="146"/>
      <c r="S316" s="146"/>
      <c r="T316" s="7"/>
      <c r="U316" s="7"/>
    </row>
    <row r="317" customFormat="false" ht="18" hidden="false" customHeight="true" outlineLevel="0" collapsed="false">
      <c r="B317" s="87"/>
      <c r="C317" s="87"/>
      <c r="D317" s="87"/>
      <c r="E317" s="142"/>
      <c r="F317" s="87"/>
      <c r="G317" s="87"/>
      <c r="H317" s="87"/>
      <c r="I317" s="143"/>
      <c r="J317" s="87"/>
      <c r="K317" s="87"/>
      <c r="L317" s="87"/>
      <c r="M317" s="87"/>
      <c r="N317" s="87"/>
      <c r="O317" s="87"/>
      <c r="P317" s="87"/>
      <c r="Q317" s="87"/>
      <c r="R317" s="144"/>
      <c r="S317" s="144"/>
      <c r="T317" s="87"/>
      <c r="U317" s="87"/>
    </row>
    <row r="318" customFormat="false" ht="18" hidden="false" customHeight="true" outlineLevel="0" collapsed="false">
      <c r="B318" s="7"/>
      <c r="C318" s="7"/>
      <c r="D318" s="7"/>
      <c r="E318" s="71"/>
      <c r="F318" s="7"/>
      <c r="G318" s="7"/>
      <c r="H318" s="7"/>
      <c r="I318" s="145"/>
      <c r="J318" s="7"/>
      <c r="K318" s="7"/>
      <c r="L318" s="7"/>
      <c r="M318" s="7"/>
      <c r="N318" s="7"/>
      <c r="O318" s="7"/>
      <c r="P318" s="7"/>
      <c r="Q318" s="7"/>
      <c r="R318" s="146"/>
      <c r="S318" s="146"/>
      <c r="T318" s="7"/>
      <c r="U318" s="7"/>
    </row>
    <row r="319" customFormat="false" ht="18" hidden="false" customHeight="true" outlineLevel="0" collapsed="false">
      <c r="B319" s="87"/>
      <c r="C319" s="87"/>
      <c r="D319" s="87"/>
      <c r="E319" s="142"/>
      <c r="F319" s="87"/>
      <c r="G319" s="87"/>
      <c r="H319" s="87"/>
      <c r="I319" s="143"/>
      <c r="J319" s="87"/>
      <c r="K319" s="87"/>
      <c r="L319" s="87"/>
      <c r="M319" s="87"/>
      <c r="N319" s="87"/>
      <c r="O319" s="87"/>
      <c r="P319" s="87"/>
      <c r="Q319" s="87"/>
      <c r="R319" s="144"/>
      <c r="S319" s="144"/>
      <c r="T319" s="87"/>
      <c r="U319" s="87"/>
    </row>
    <row r="320" customFormat="false" ht="18" hidden="false" customHeight="true" outlineLevel="0" collapsed="false">
      <c r="B320" s="7"/>
      <c r="C320" s="7"/>
      <c r="D320" s="7"/>
      <c r="E320" s="71"/>
      <c r="F320" s="7"/>
      <c r="G320" s="7"/>
      <c r="H320" s="7"/>
      <c r="I320" s="145"/>
      <c r="J320" s="7"/>
      <c r="K320" s="7"/>
      <c r="L320" s="7"/>
      <c r="M320" s="7"/>
      <c r="N320" s="7"/>
      <c r="O320" s="7"/>
      <c r="P320" s="7"/>
      <c r="Q320" s="7"/>
      <c r="R320" s="146"/>
      <c r="S320" s="146"/>
      <c r="T320" s="7"/>
      <c r="U320" s="7"/>
    </row>
    <row r="321" customFormat="false" ht="18" hidden="false" customHeight="true" outlineLevel="0" collapsed="false">
      <c r="B321" s="87"/>
      <c r="C321" s="87"/>
      <c r="D321" s="87"/>
      <c r="E321" s="142"/>
      <c r="F321" s="87"/>
      <c r="G321" s="87"/>
      <c r="H321" s="87"/>
      <c r="I321" s="143"/>
      <c r="J321" s="87"/>
      <c r="K321" s="87"/>
      <c r="L321" s="87"/>
      <c r="M321" s="87"/>
      <c r="N321" s="87"/>
      <c r="O321" s="87"/>
      <c r="P321" s="87"/>
      <c r="Q321" s="87"/>
      <c r="R321" s="144"/>
      <c r="S321" s="144"/>
      <c r="T321" s="87"/>
      <c r="U321" s="87"/>
    </row>
    <row r="322" customFormat="false" ht="18" hidden="false" customHeight="true" outlineLevel="0" collapsed="false">
      <c r="B322" s="7"/>
      <c r="C322" s="7"/>
      <c r="D322" s="7"/>
      <c r="E322" s="71"/>
      <c r="F322" s="7"/>
      <c r="G322" s="7"/>
      <c r="H322" s="7"/>
      <c r="I322" s="145"/>
      <c r="J322" s="7"/>
      <c r="K322" s="7"/>
      <c r="L322" s="7"/>
      <c r="M322" s="7"/>
      <c r="N322" s="7"/>
      <c r="O322" s="7"/>
      <c r="P322" s="7"/>
      <c r="Q322" s="7"/>
      <c r="R322" s="146"/>
      <c r="S322" s="146"/>
      <c r="T322" s="7"/>
      <c r="U322" s="7"/>
    </row>
    <row r="323" customFormat="false" ht="18" hidden="false" customHeight="true" outlineLevel="0" collapsed="false">
      <c r="B323" s="87"/>
      <c r="C323" s="87"/>
      <c r="D323" s="87"/>
      <c r="E323" s="142"/>
      <c r="F323" s="87"/>
      <c r="G323" s="87"/>
      <c r="H323" s="87"/>
      <c r="I323" s="143"/>
      <c r="J323" s="87"/>
      <c r="K323" s="87"/>
      <c r="L323" s="87"/>
      <c r="M323" s="87"/>
      <c r="N323" s="87"/>
      <c r="O323" s="87"/>
      <c r="P323" s="87"/>
      <c r="Q323" s="87"/>
      <c r="R323" s="144"/>
      <c r="S323" s="144"/>
      <c r="T323" s="87"/>
      <c r="U323" s="87"/>
    </row>
    <row r="324" customFormat="false" ht="18" hidden="false" customHeight="true" outlineLevel="0" collapsed="false">
      <c r="B324" s="7"/>
      <c r="C324" s="7"/>
      <c r="D324" s="7"/>
      <c r="E324" s="71"/>
      <c r="F324" s="7"/>
      <c r="G324" s="7"/>
      <c r="H324" s="7"/>
      <c r="I324" s="145"/>
      <c r="J324" s="7"/>
      <c r="K324" s="7"/>
      <c r="L324" s="7"/>
      <c r="M324" s="7"/>
      <c r="N324" s="7"/>
      <c r="O324" s="7"/>
      <c r="P324" s="7"/>
      <c r="Q324" s="7"/>
      <c r="R324" s="146"/>
      <c r="S324" s="146"/>
      <c r="T324" s="7"/>
      <c r="U324" s="7"/>
    </row>
    <row r="325" customFormat="false" ht="18" hidden="false" customHeight="true" outlineLevel="0" collapsed="false">
      <c r="B325" s="87"/>
      <c r="C325" s="87"/>
      <c r="D325" s="87"/>
      <c r="E325" s="142"/>
      <c r="F325" s="87"/>
      <c r="G325" s="87"/>
      <c r="H325" s="87"/>
      <c r="I325" s="143"/>
      <c r="J325" s="87"/>
      <c r="K325" s="87"/>
      <c r="L325" s="87"/>
      <c r="M325" s="87"/>
      <c r="N325" s="87"/>
      <c r="O325" s="87"/>
      <c r="P325" s="87"/>
      <c r="Q325" s="87"/>
      <c r="R325" s="144"/>
      <c r="S325" s="144"/>
      <c r="T325" s="87"/>
      <c r="U325" s="87"/>
    </row>
    <row r="326" customFormat="false" ht="18" hidden="false" customHeight="true" outlineLevel="0" collapsed="false">
      <c r="B326" s="7"/>
      <c r="C326" s="7"/>
      <c r="D326" s="7"/>
      <c r="E326" s="71"/>
      <c r="F326" s="7"/>
      <c r="G326" s="7"/>
      <c r="H326" s="7"/>
      <c r="I326" s="145"/>
      <c r="J326" s="7"/>
      <c r="K326" s="7"/>
      <c r="L326" s="7"/>
      <c r="M326" s="7"/>
      <c r="N326" s="7"/>
      <c r="O326" s="7"/>
      <c r="P326" s="7"/>
      <c r="Q326" s="7"/>
      <c r="R326" s="146"/>
      <c r="S326" s="146"/>
      <c r="T326" s="7"/>
      <c r="U326" s="7"/>
    </row>
    <row r="327" customFormat="false" ht="18" hidden="false" customHeight="true" outlineLevel="0" collapsed="false">
      <c r="B327" s="87"/>
      <c r="C327" s="87"/>
      <c r="D327" s="87"/>
      <c r="E327" s="142"/>
      <c r="F327" s="87"/>
      <c r="G327" s="87"/>
      <c r="H327" s="87"/>
      <c r="I327" s="143"/>
      <c r="J327" s="87"/>
      <c r="K327" s="87"/>
      <c r="L327" s="87"/>
      <c r="M327" s="87"/>
      <c r="N327" s="87"/>
      <c r="O327" s="87"/>
      <c r="P327" s="87"/>
      <c r="Q327" s="87"/>
      <c r="R327" s="144"/>
      <c r="S327" s="144"/>
      <c r="T327" s="87"/>
      <c r="U327" s="87"/>
    </row>
    <row r="328" customFormat="false" ht="18" hidden="false" customHeight="true" outlineLevel="0" collapsed="false">
      <c r="B328" s="7"/>
      <c r="C328" s="7"/>
      <c r="D328" s="7"/>
      <c r="E328" s="71"/>
      <c r="F328" s="7"/>
      <c r="G328" s="7"/>
      <c r="H328" s="7"/>
      <c r="I328" s="145"/>
      <c r="J328" s="7"/>
      <c r="K328" s="7"/>
      <c r="L328" s="7"/>
      <c r="M328" s="7"/>
      <c r="N328" s="7"/>
      <c r="O328" s="7"/>
      <c r="P328" s="7"/>
      <c r="Q328" s="7"/>
      <c r="R328" s="146"/>
      <c r="S328" s="146"/>
      <c r="T328" s="7"/>
      <c r="U328" s="7"/>
    </row>
    <row r="329" customFormat="false" ht="18" hidden="false" customHeight="true" outlineLevel="0" collapsed="false">
      <c r="B329" s="87"/>
      <c r="C329" s="87"/>
      <c r="D329" s="87"/>
      <c r="E329" s="142"/>
      <c r="F329" s="87"/>
      <c r="G329" s="87"/>
      <c r="H329" s="87"/>
      <c r="I329" s="143"/>
      <c r="J329" s="87"/>
      <c r="K329" s="87"/>
      <c r="L329" s="87"/>
      <c r="M329" s="87"/>
      <c r="N329" s="87"/>
      <c r="O329" s="87"/>
      <c r="P329" s="87"/>
      <c r="Q329" s="87"/>
      <c r="R329" s="144"/>
      <c r="S329" s="144"/>
      <c r="T329" s="87"/>
      <c r="U329" s="87"/>
    </row>
    <row r="330" customFormat="false" ht="18" hidden="false" customHeight="true" outlineLevel="0" collapsed="false">
      <c r="B330" s="7"/>
      <c r="C330" s="7"/>
      <c r="D330" s="7"/>
      <c r="E330" s="71"/>
      <c r="F330" s="7"/>
      <c r="G330" s="7"/>
      <c r="H330" s="7"/>
      <c r="I330" s="145"/>
      <c r="J330" s="7"/>
      <c r="K330" s="7"/>
      <c r="L330" s="7"/>
      <c r="M330" s="7"/>
      <c r="N330" s="7"/>
      <c r="O330" s="7"/>
      <c r="P330" s="7"/>
      <c r="Q330" s="7"/>
      <c r="R330" s="146"/>
      <c r="S330" s="146"/>
      <c r="T330" s="7"/>
      <c r="U330" s="7"/>
    </row>
    <row r="331" customFormat="false" ht="18" hidden="false" customHeight="true" outlineLevel="0" collapsed="false">
      <c r="B331" s="87"/>
      <c r="C331" s="87"/>
      <c r="D331" s="87"/>
      <c r="E331" s="142"/>
      <c r="F331" s="87"/>
      <c r="G331" s="87"/>
      <c r="H331" s="87"/>
      <c r="I331" s="143"/>
      <c r="J331" s="87"/>
      <c r="K331" s="87"/>
      <c r="L331" s="87"/>
      <c r="M331" s="87"/>
      <c r="N331" s="87"/>
      <c r="O331" s="87"/>
      <c r="P331" s="87"/>
      <c r="Q331" s="87"/>
      <c r="R331" s="144"/>
      <c r="S331" s="144"/>
      <c r="T331" s="87"/>
      <c r="U331" s="87"/>
    </row>
    <row r="332" customFormat="false" ht="18" hidden="false" customHeight="true" outlineLevel="0" collapsed="false">
      <c r="B332" s="7"/>
      <c r="C332" s="7"/>
      <c r="D332" s="7"/>
      <c r="E332" s="71"/>
      <c r="F332" s="7"/>
      <c r="G332" s="7"/>
      <c r="H332" s="7"/>
      <c r="I332" s="145"/>
      <c r="J332" s="7"/>
      <c r="K332" s="7"/>
      <c r="L332" s="7"/>
      <c r="M332" s="7"/>
      <c r="N332" s="7"/>
      <c r="O332" s="7"/>
      <c r="P332" s="7"/>
      <c r="Q332" s="7"/>
      <c r="R332" s="146"/>
      <c r="S332" s="146"/>
      <c r="T332" s="7"/>
      <c r="U332" s="7"/>
    </row>
    <row r="333" customFormat="false" ht="18" hidden="false" customHeight="true" outlineLevel="0" collapsed="false">
      <c r="B333" s="87"/>
      <c r="C333" s="87"/>
      <c r="D333" s="87"/>
      <c r="E333" s="142"/>
      <c r="F333" s="87"/>
      <c r="G333" s="87"/>
      <c r="H333" s="87"/>
      <c r="I333" s="143"/>
      <c r="J333" s="87"/>
      <c r="K333" s="87"/>
      <c r="L333" s="87"/>
      <c r="M333" s="87"/>
      <c r="N333" s="87"/>
      <c r="O333" s="87"/>
      <c r="P333" s="87"/>
      <c r="Q333" s="87"/>
      <c r="R333" s="144"/>
      <c r="S333" s="144"/>
      <c r="T333" s="87"/>
      <c r="U333" s="87"/>
    </row>
    <row r="334" customFormat="false" ht="18" hidden="false" customHeight="true" outlineLevel="0" collapsed="false">
      <c r="B334" s="7"/>
      <c r="C334" s="7"/>
      <c r="D334" s="7"/>
      <c r="E334" s="71"/>
      <c r="F334" s="7"/>
      <c r="G334" s="7"/>
      <c r="H334" s="7"/>
      <c r="I334" s="145"/>
      <c r="J334" s="7"/>
      <c r="K334" s="7"/>
      <c r="L334" s="7"/>
      <c r="M334" s="7"/>
      <c r="N334" s="7"/>
      <c r="O334" s="7"/>
      <c r="P334" s="7"/>
      <c r="Q334" s="7"/>
      <c r="R334" s="146"/>
      <c r="S334" s="146"/>
      <c r="T334" s="7"/>
      <c r="U334" s="7"/>
    </row>
    <row r="335" customFormat="false" ht="18" hidden="false" customHeight="true" outlineLevel="0" collapsed="false">
      <c r="B335" s="87"/>
      <c r="C335" s="87"/>
      <c r="D335" s="87"/>
      <c r="E335" s="142"/>
      <c r="F335" s="87"/>
      <c r="G335" s="87"/>
      <c r="H335" s="87"/>
      <c r="I335" s="143"/>
      <c r="J335" s="87"/>
      <c r="K335" s="87"/>
      <c r="L335" s="87"/>
      <c r="M335" s="87"/>
      <c r="N335" s="87"/>
      <c r="O335" s="87"/>
      <c r="P335" s="87"/>
      <c r="Q335" s="87"/>
      <c r="R335" s="144"/>
      <c r="S335" s="144"/>
      <c r="T335" s="87"/>
      <c r="U335" s="87"/>
    </row>
    <row r="336" customFormat="false" ht="18" hidden="false" customHeight="true" outlineLevel="0" collapsed="false">
      <c r="B336" s="7"/>
      <c r="C336" s="7"/>
      <c r="D336" s="7"/>
      <c r="E336" s="71"/>
      <c r="F336" s="7"/>
      <c r="G336" s="7"/>
      <c r="H336" s="7"/>
      <c r="I336" s="145"/>
      <c r="J336" s="7"/>
      <c r="K336" s="7"/>
      <c r="L336" s="7"/>
      <c r="M336" s="7"/>
      <c r="N336" s="7"/>
      <c r="O336" s="7"/>
      <c r="P336" s="7"/>
      <c r="Q336" s="7"/>
      <c r="R336" s="146"/>
      <c r="S336" s="146"/>
      <c r="T336" s="7"/>
      <c r="U336" s="7"/>
    </row>
    <row r="337" customFormat="false" ht="18" hidden="false" customHeight="true" outlineLevel="0" collapsed="false">
      <c r="B337" s="87"/>
      <c r="C337" s="87"/>
      <c r="D337" s="87"/>
      <c r="E337" s="142"/>
      <c r="F337" s="87"/>
      <c r="G337" s="87"/>
      <c r="H337" s="87"/>
      <c r="I337" s="143"/>
      <c r="J337" s="87"/>
      <c r="K337" s="87"/>
      <c r="L337" s="87"/>
      <c r="M337" s="87"/>
      <c r="N337" s="87"/>
      <c r="O337" s="87"/>
      <c r="P337" s="87"/>
      <c r="Q337" s="87"/>
      <c r="R337" s="144"/>
      <c r="S337" s="144"/>
      <c r="T337" s="87"/>
      <c r="U337" s="87"/>
    </row>
    <row r="338" customFormat="false" ht="18" hidden="false" customHeight="true" outlineLevel="0" collapsed="false">
      <c r="B338" s="7"/>
      <c r="C338" s="7"/>
      <c r="D338" s="7"/>
      <c r="E338" s="71"/>
      <c r="F338" s="7"/>
      <c r="G338" s="7"/>
      <c r="H338" s="7"/>
      <c r="I338" s="145"/>
      <c r="J338" s="7"/>
      <c r="K338" s="7"/>
      <c r="L338" s="7"/>
      <c r="M338" s="7"/>
      <c r="N338" s="7"/>
      <c r="O338" s="7"/>
      <c r="P338" s="7"/>
      <c r="Q338" s="7"/>
      <c r="R338" s="146"/>
      <c r="S338" s="146"/>
      <c r="T338" s="7"/>
      <c r="U338" s="7"/>
    </row>
    <row r="339" customFormat="false" ht="18" hidden="false" customHeight="true" outlineLevel="0" collapsed="false">
      <c r="B339" s="87"/>
      <c r="C339" s="87"/>
      <c r="D339" s="87"/>
      <c r="E339" s="142"/>
      <c r="F339" s="87"/>
      <c r="G339" s="87"/>
      <c r="H339" s="87"/>
      <c r="I339" s="143"/>
      <c r="J339" s="87"/>
      <c r="K339" s="87"/>
      <c r="L339" s="87"/>
      <c r="M339" s="87"/>
      <c r="N339" s="87"/>
      <c r="O339" s="87"/>
      <c r="P339" s="87"/>
      <c r="Q339" s="87"/>
      <c r="R339" s="144"/>
      <c r="S339" s="144"/>
      <c r="T339" s="87"/>
      <c r="U339" s="87"/>
    </row>
    <row r="340" customFormat="false" ht="18" hidden="false" customHeight="true" outlineLevel="0" collapsed="false">
      <c r="B340" s="7"/>
      <c r="C340" s="7"/>
      <c r="D340" s="7"/>
      <c r="E340" s="71"/>
      <c r="F340" s="7"/>
      <c r="G340" s="7"/>
      <c r="H340" s="7"/>
      <c r="I340" s="145"/>
      <c r="J340" s="7"/>
      <c r="K340" s="7"/>
      <c r="L340" s="7"/>
      <c r="M340" s="7"/>
      <c r="N340" s="7"/>
      <c r="O340" s="7"/>
      <c r="P340" s="7"/>
      <c r="Q340" s="7"/>
      <c r="R340" s="146"/>
      <c r="S340" s="146"/>
      <c r="T340" s="7"/>
      <c r="U340" s="7"/>
    </row>
    <row r="341" customFormat="false" ht="18" hidden="false" customHeight="true" outlineLevel="0" collapsed="false">
      <c r="B341" s="87"/>
      <c r="C341" s="87"/>
      <c r="D341" s="87"/>
      <c r="E341" s="142"/>
      <c r="F341" s="87"/>
      <c r="G341" s="87"/>
      <c r="H341" s="87"/>
      <c r="I341" s="143"/>
      <c r="J341" s="87"/>
      <c r="K341" s="87"/>
      <c r="L341" s="87"/>
      <c r="M341" s="87"/>
      <c r="N341" s="87"/>
      <c r="O341" s="87"/>
      <c r="P341" s="87"/>
      <c r="Q341" s="87"/>
      <c r="R341" s="144"/>
      <c r="S341" s="144"/>
      <c r="T341" s="87"/>
      <c r="U341" s="87"/>
    </row>
    <row r="342" customFormat="false" ht="18" hidden="false" customHeight="true" outlineLevel="0" collapsed="false">
      <c r="B342" s="7"/>
      <c r="C342" s="7"/>
      <c r="D342" s="7"/>
      <c r="E342" s="71"/>
      <c r="F342" s="7"/>
      <c r="G342" s="7"/>
      <c r="H342" s="7"/>
      <c r="I342" s="145"/>
      <c r="J342" s="7"/>
      <c r="K342" s="7"/>
      <c r="L342" s="7"/>
      <c r="M342" s="7"/>
      <c r="N342" s="7"/>
      <c r="O342" s="7"/>
      <c r="P342" s="7"/>
      <c r="Q342" s="7"/>
      <c r="R342" s="146"/>
      <c r="S342" s="146"/>
      <c r="T342" s="7"/>
      <c r="U342" s="7"/>
    </row>
    <row r="343" customFormat="false" ht="18" hidden="false" customHeight="true" outlineLevel="0" collapsed="false">
      <c r="B343" s="87"/>
      <c r="C343" s="87"/>
      <c r="D343" s="87"/>
      <c r="E343" s="142"/>
      <c r="F343" s="87"/>
      <c r="G343" s="87"/>
      <c r="H343" s="87"/>
      <c r="I343" s="143"/>
      <c r="J343" s="87"/>
      <c r="K343" s="87"/>
      <c r="L343" s="87"/>
      <c r="M343" s="87"/>
      <c r="N343" s="87"/>
      <c r="O343" s="87"/>
      <c r="P343" s="87"/>
      <c r="Q343" s="87"/>
      <c r="R343" s="144"/>
      <c r="S343" s="144"/>
      <c r="T343" s="87"/>
      <c r="U343" s="87"/>
    </row>
    <row r="344" customFormat="false" ht="18" hidden="false" customHeight="true" outlineLevel="0" collapsed="false">
      <c r="B344" s="7"/>
      <c r="C344" s="7"/>
      <c r="D344" s="7"/>
      <c r="E344" s="71"/>
      <c r="F344" s="7"/>
      <c r="G344" s="7"/>
      <c r="H344" s="7"/>
      <c r="I344" s="145"/>
      <c r="J344" s="7"/>
      <c r="K344" s="7"/>
      <c r="L344" s="7"/>
      <c r="M344" s="7"/>
      <c r="N344" s="7"/>
      <c r="O344" s="7"/>
      <c r="P344" s="7"/>
      <c r="Q344" s="7"/>
      <c r="R344" s="146"/>
      <c r="S344" s="146"/>
      <c r="T344" s="7"/>
      <c r="U344" s="7"/>
    </row>
    <row r="345" customFormat="false" ht="18" hidden="false" customHeight="true" outlineLevel="0" collapsed="false">
      <c r="B345" s="87"/>
      <c r="C345" s="87"/>
      <c r="D345" s="87"/>
      <c r="E345" s="142"/>
      <c r="F345" s="87"/>
      <c r="G345" s="87"/>
      <c r="H345" s="87"/>
      <c r="I345" s="143"/>
      <c r="J345" s="87"/>
      <c r="K345" s="87"/>
      <c r="L345" s="87"/>
      <c r="M345" s="87"/>
      <c r="N345" s="87"/>
      <c r="O345" s="87"/>
      <c r="P345" s="87"/>
      <c r="Q345" s="87"/>
      <c r="R345" s="144"/>
      <c r="S345" s="144"/>
      <c r="T345" s="87"/>
      <c r="U345" s="87"/>
    </row>
    <row r="346" customFormat="false" ht="18" hidden="false" customHeight="true" outlineLevel="0" collapsed="false">
      <c r="B346" s="7"/>
      <c r="C346" s="7"/>
      <c r="D346" s="7"/>
      <c r="E346" s="71"/>
      <c r="F346" s="7"/>
      <c r="G346" s="7"/>
      <c r="H346" s="7"/>
      <c r="I346" s="145"/>
      <c r="J346" s="7"/>
      <c r="K346" s="7"/>
      <c r="L346" s="7"/>
      <c r="M346" s="7"/>
      <c r="N346" s="7"/>
      <c r="O346" s="7"/>
      <c r="P346" s="7"/>
      <c r="Q346" s="7"/>
      <c r="R346" s="146"/>
      <c r="S346" s="146"/>
      <c r="T346" s="7"/>
      <c r="U346" s="7"/>
    </row>
    <row r="347" customFormat="false" ht="18" hidden="false" customHeight="true" outlineLevel="0" collapsed="false">
      <c r="B347" s="87"/>
      <c r="C347" s="87"/>
      <c r="D347" s="87"/>
      <c r="E347" s="142"/>
      <c r="F347" s="87"/>
      <c r="G347" s="87"/>
      <c r="H347" s="87"/>
      <c r="I347" s="143"/>
      <c r="J347" s="87"/>
      <c r="K347" s="87"/>
      <c r="L347" s="87"/>
      <c r="M347" s="87"/>
      <c r="N347" s="87"/>
      <c r="O347" s="87"/>
      <c r="P347" s="87"/>
      <c r="Q347" s="87"/>
      <c r="R347" s="144"/>
      <c r="S347" s="144"/>
      <c r="T347" s="87"/>
      <c r="U347" s="87"/>
    </row>
    <row r="348" customFormat="false" ht="18" hidden="false" customHeight="true" outlineLevel="0" collapsed="false">
      <c r="B348" s="7"/>
      <c r="C348" s="7"/>
      <c r="D348" s="7"/>
      <c r="E348" s="71"/>
      <c r="F348" s="7"/>
      <c r="G348" s="7"/>
      <c r="H348" s="7"/>
      <c r="I348" s="145"/>
      <c r="J348" s="7"/>
      <c r="K348" s="7"/>
      <c r="L348" s="7"/>
      <c r="M348" s="7"/>
      <c r="N348" s="7"/>
      <c r="O348" s="7"/>
      <c r="P348" s="7"/>
      <c r="Q348" s="7"/>
      <c r="R348" s="146"/>
      <c r="S348" s="146"/>
      <c r="T348" s="7"/>
      <c r="U348" s="7"/>
    </row>
    <row r="349" customFormat="false" ht="18" hidden="false" customHeight="true" outlineLevel="0" collapsed="false">
      <c r="B349" s="87"/>
      <c r="C349" s="87"/>
      <c r="D349" s="87"/>
      <c r="E349" s="142"/>
      <c r="F349" s="87"/>
      <c r="G349" s="87"/>
      <c r="H349" s="87"/>
      <c r="I349" s="143"/>
      <c r="J349" s="87"/>
      <c r="K349" s="87"/>
      <c r="L349" s="87"/>
      <c r="M349" s="87"/>
      <c r="N349" s="87"/>
      <c r="O349" s="87"/>
      <c r="P349" s="87"/>
      <c r="Q349" s="87"/>
      <c r="R349" s="144"/>
      <c r="S349" s="144"/>
      <c r="T349" s="87"/>
      <c r="U349" s="87"/>
    </row>
    <row r="350" customFormat="false" ht="18" hidden="false" customHeight="true" outlineLevel="0" collapsed="false">
      <c r="B350" s="7"/>
      <c r="C350" s="7"/>
      <c r="D350" s="7"/>
      <c r="E350" s="71"/>
      <c r="F350" s="7"/>
      <c r="G350" s="7"/>
      <c r="H350" s="7"/>
      <c r="I350" s="145"/>
      <c r="J350" s="7"/>
      <c r="K350" s="7"/>
      <c r="L350" s="7"/>
      <c r="M350" s="7"/>
      <c r="N350" s="7"/>
      <c r="O350" s="7"/>
      <c r="P350" s="7"/>
      <c r="Q350" s="7"/>
      <c r="R350" s="146"/>
      <c r="S350" s="146"/>
      <c r="T350" s="7"/>
      <c r="U350" s="7"/>
    </row>
    <row r="351" customFormat="false" ht="18" hidden="false" customHeight="true" outlineLevel="0" collapsed="false">
      <c r="B351" s="87"/>
      <c r="C351" s="87"/>
      <c r="D351" s="87"/>
      <c r="E351" s="142"/>
      <c r="F351" s="87"/>
      <c r="G351" s="87"/>
      <c r="H351" s="87"/>
      <c r="I351" s="143"/>
      <c r="J351" s="87"/>
      <c r="K351" s="87"/>
      <c r="L351" s="87"/>
      <c r="M351" s="87"/>
      <c r="N351" s="87"/>
      <c r="O351" s="87"/>
      <c r="P351" s="87"/>
      <c r="Q351" s="87"/>
      <c r="R351" s="144"/>
      <c r="S351" s="144"/>
      <c r="T351" s="87"/>
      <c r="U351" s="87"/>
    </row>
    <row r="352" customFormat="false" ht="18" hidden="false" customHeight="true" outlineLevel="0" collapsed="false">
      <c r="B352" s="7"/>
      <c r="C352" s="7"/>
      <c r="D352" s="7"/>
      <c r="E352" s="71"/>
      <c r="F352" s="7"/>
      <c r="G352" s="7"/>
      <c r="H352" s="7"/>
      <c r="I352" s="145"/>
      <c r="J352" s="7"/>
      <c r="K352" s="7"/>
      <c r="L352" s="7"/>
      <c r="M352" s="7"/>
      <c r="N352" s="7"/>
      <c r="O352" s="7"/>
      <c r="P352" s="7"/>
      <c r="Q352" s="7"/>
      <c r="R352" s="146"/>
      <c r="S352" s="146"/>
      <c r="T352" s="7"/>
      <c r="U352" s="7"/>
    </row>
    <row r="353" customFormat="false" ht="18" hidden="false" customHeight="true" outlineLevel="0" collapsed="false">
      <c r="B353" s="87"/>
      <c r="C353" s="87"/>
      <c r="D353" s="87"/>
      <c r="E353" s="142"/>
      <c r="F353" s="87"/>
      <c r="G353" s="87"/>
      <c r="H353" s="87"/>
      <c r="I353" s="143"/>
      <c r="J353" s="87"/>
      <c r="K353" s="87"/>
      <c r="L353" s="87"/>
      <c r="M353" s="87"/>
      <c r="N353" s="87"/>
      <c r="O353" s="87"/>
      <c r="P353" s="87"/>
      <c r="Q353" s="87"/>
      <c r="R353" s="144"/>
      <c r="S353" s="144"/>
      <c r="T353" s="87"/>
      <c r="U353" s="87"/>
    </row>
    <row r="354" customFormat="false" ht="18" hidden="false" customHeight="true" outlineLevel="0" collapsed="false">
      <c r="B354" s="7"/>
      <c r="C354" s="7"/>
      <c r="D354" s="7"/>
      <c r="E354" s="71"/>
      <c r="F354" s="7"/>
      <c r="G354" s="7"/>
      <c r="H354" s="7"/>
      <c r="I354" s="145"/>
      <c r="J354" s="7"/>
      <c r="K354" s="7"/>
      <c r="L354" s="7"/>
      <c r="M354" s="7"/>
      <c r="N354" s="7"/>
      <c r="O354" s="7"/>
      <c r="P354" s="7"/>
      <c r="Q354" s="7"/>
      <c r="R354" s="146"/>
      <c r="S354" s="146"/>
      <c r="T354" s="7"/>
      <c r="U354" s="7"/>
    </row>
    <row r="355" customFormat="false" ht="18" hidden="false" customHeight="true" outlineLevel="0" collapsed="false">
      <c r="B355" s="87"/>
      <c r="C355" s="87"/>
      <c r="D355" s="87"/>
      <c r="E355" s="142"/>
      <c r="F355" s="87"/>
      <c r="G355" s="87"/>
      <c r="H355" s="87"/>
      <c r="I355" s="143"/>
      <c r="J355" s="87"/>
      <c r="K355" s="87"/>
      <c r="L355" s="87"/>
      <c r="M355" s="87"/>
      <c r="N355" s="87"/>
      <c r="O355" s="87"/>
      <c r="P355" s="87"/>
      <c r="Q355" s="87"/>
      <c r="R355" s="144"/>
      <c r="S355" s="144"/>
      <c r="T355" s="87"/>
      <c r="U355" s="87"/>
    </row>
    <row r="356" customFormat="false" ht="18" hidden="false" customHeight="true" outlineLevel="0" collapsed="false">
      <c r="B356" s="7"/>
      <c r="C356" s="7"/>
      <c r="D356" s="7"/>
      <c r="E356" s="71"/>
      <c r="F356" s="7"/>
      <c r="G356" s="7"/>
      <c r="H356" s="7"/>
      <c r="I356" s="145"/>
      <c r="J356" s="7"/>
      <c r="K356" s="7"/>
      <c r="L356" s="7"/>
      <c r="M356" s="7"/>
      <c r="N356" s="7"/>
      <c r="O356" s="7"/>
      <c r="P356" s="7"/>
      <c r="Q356" s="7"/>
      <c r="R356" s="146"/>
      <c r="S356" s="146"/>
      <c r="T356" s="7"/>
      <c r="U356" s="7"/>
    </row>
    <row r="357" customFormat="false" ht="18" hidden="false" customHeight="true" outlineLevel="0" collapsed="false">
      <c r="B357" s="87"/>
      <c r="C357" s="87"/>
      <c r="D357" s="87"/>
      <c r="E357" s="142"/>
      <c r="F357" s="87"/>
      <c r="G357" s="87"/>
      <c r="H357" s="87"/>
      <c r="I357" s="143"/>
      <c r="J357" s="87"/>
      <c r="K357" s="87"/>
      <c r="L357" s="87"/>
      <c r="M357" s="87"/>
      <c r="N357" s="87"/>
      <c r="O357" s="87"/>
      <c r="P357" s="87"/>
      <c r="Q357" s="87"/>
      <c r="R357" s="144"/>
      <c r="S357" s="144"/>
      <c r="T357" s="87"/>
      <c r="U357" s="87"/>
    </row>
    <row r="358" customFormat="false" ht="18" hidden="false" customHeight="true" outlineLevel="0" collapsed="false">
      <c r="B358" s="7"/>
      <c r="C358" s="7"/>
      <c r="D358" s="7"/>
      <c r="E358" s="71"/>
      <c r="F358" s="7"/>
      <c r="G358" s="7"/>
      <c r="H358" s="7"/>
      <c r="I358" s="145"/>
      <c r="J358" s="7"/>
      <c r="K358" s="7"/>
      <c r="L358" s="7"/>
      <c r="M358" s="7"/>
      <c r="N358" s="7"/>
      <c r="O358" s="7"/>
      <c r="P358" s="7"/>
      <c r="Q358" s="7"/>
      <c r="R358" s="146"/>
      <c r="S358" s="146"/>
      <c r="T358" s="7"/>
      <c r="U358" s="7"/>
    </row>
    <row r="359" customFormat="false" ht="18" hidden="false" customHeight="true" outlineLevel="0" collapsed="false">
      <c r="B359" s="87"/>
      <c r="C359" s="87"/>
      <c r="D359" s="87"/>
      <c r="E359" s="142"/>
      <c r="F359" s="87"/>
      <c r="G359" s="87"/>
      <c r="H359" s="87"/>
      <c r="I359" s="143"/>
      <c r="J359" s="87"/>
      <c r="K359" s="87"/>
      <c r="L359" s="87"/>
      <c r="M359" s="87"/>
      <c r="N359" s="87"/>
      <c r="O359" s="87"/>
      <c r="P359" s="87"/>
      <c r="Q359" s="87"/>
      <c r="R359" s="144"/>
      <c r="S359" s="144"/>
      <c r="T359" s="87"/>
      <c r="U359" s="87"/>
    </row>
    <row r="360" customFormat="false" ht="18" hidden="false" customHeight="true" outlineLevel="0" collapsed="false">
      <c r="B360" s="7"/>
      <c r="C360" s="7"/>
      <c r="D360" s="7"/>
      <c r="E360" s="71"/>
      <c r="F360" s="7"/>
      <c r="G360" s="7"/>
      <c r="H360" s="7"/>
      <c r="I360" s="145"/>
      <c r="J360" s="7"/>
      <c r="K360" s="7"/>
      <c r="L360" s="7"/>
      <c r="M360" s="7"/>
      <c r="N360" s="7"/>
      <c r="O360" s="7"/>
      <c r="P360" s="7"/>
      <c r="Q360" s="7"/>
      <c r="R360" s="146"/>
      <c r="S360" s="146"/>
      <c r="T360" s="7"/>
      <c r="U360" s="7"/>
    </row>
    <row r="361" customFormat="false" ht="18" hidden="false" customHeight="true" outlineLevel="0" collapsed="false">
      <c r="B361" s="87"/>
      <c r="C361" s="87"/>
      <c r="D361" s="87"/>
      <c r="E361" s="142"/>
      <c r="F361" s="87"/>
      <c r="G361" s="87"/>
      <c r="H361" s="87"/>
      <c r="I361" s="143"/>
      <c r="J361" s="87"/>
      <c r="K361" s="87"/>
      <c r="L361" s="87"/>
      <c r="M361" s="87"/>
      <c r="N361" s="87"/>
      <c r="O361" s="87"/>
      <c r="P361" s="87"/>
      <c r="Q361" s="87"/>
      <c r="R361" s="144"/>
      <c r="S361" s="144"/>
      <c r="T361" s="87"/>
      <c r="U361" s="87"/>
    </row>
    <row r="362" customFormat="false" ht="18" hidden="false" customHeight="true" outlineLevel="0" collapsed="false">
      <c r="B362" s="7"/>
      <c r="C362" s="7"/>
      <c r="D362" s="7"/>
      <c r="E362" s="71"/>
      <c r="F362" s="7"/>
      <c r="G362" s="7"/>
      <c r="H362" s="7"/>
      <c r="I362" s="145"/>
      <c r="J362" s="7"/>
      <c r="K362" s="7"/>
      <c r="L362" s="7"/>
      <c r="M362" s="7"/>
      <c r="N362" s="7"/>
      <c r="O362" s="7"/>
      <c r="P362" s="7"/>
      <c r="Q362" s="7"/>
      <c r="R362" s="146"/>
      <c r="S362" s="146"/>
      <c r="T362" s="7"/>
      <c r="U362" s="7"/>
    </row>
    <row r="363" customFormat="false" ht="18" hidden="false" customHeight="true" outlineLevel="0" collapsed="false">
      <c r="B363" s="87"/>
      <c r="C363" s="87"/>
      <c r="D363" s="87"/>
      <c r="E363" s="142"/>
      <c r="F363" s="87"/>
      <c r="G363" s="87"/>
      <c r="H363" s="87"/>
      <c r="I363" s="143"/>
      <c r="J363" s="87"/>
      <c r="K363" s="87"/>
      <c r="L363" s="87"/>
      <c r="M363" s="87"/>
      <c r="N363" s="87"/>
      <c r="O363" s="87"/>
      <c r="P363" s="87"/>
      <c r="Q363" s="87"/>
      <c r="R363" s="144"/>
      <c r="S363" s="144"/>
      <c r="T363" s="87"/>
      <c r="U363" s="87"/>
    </row>
    <row r="364" customFormat="false" ht="18" hidden="false" customHeight="true" outlineLevel="0" collapsed="false">
      <c r="B364" s="7"/>
      <c r="C364" s="7"/>
      <c r="D364" s="7"/>
      <c r="E364" s="71"/>
      <c r="F364" s="7"/>
      <c r="G364" s="7"/>
      <c r="H364" s="7"/>
      <c r="I364" s="145"/>
      <c r="J364" s="7"/>
      <c r="K364" s="7"/>
      <c r="L364" s="7"/>
      <c r="M364" s="7"/>
      <c r="N364" s="7"/>
      <c r="O364" s="7"/>
      <c r="P364" s="7"/>
      <c r="Q364" s="7"/>
      <c r="R364" s="146"/>
      <c r="S364" s="146"/>
      <c r="T364" s="7"/>
      <c r="U364" s="7"/>
    </row>
    <row r="365" customFormat="false" ht="18" hidden="false" customHeight="true" outlineLevel="0" collapsed="false">
      <c r="B365" s="87"/>
      <c r="C365" s="87"/>
      <c r="D365" s="87"/>
      <c r="E365" s="142"/>
      <c r="F365" s="87"/>
      <c r="G365" s="87"/>
      <c r="H365" s="87"/>
      <c r="I365" s="143"/>
      <c r="J365" s="87"/>
      <c r="K365" s="87"/>
      <c r="L365" s="87"/>
      <c r="M365" s="87"/>
      <c r="N365" s="87"/>
      <c r="O365" s="87"/>
      <c r="P365" s="87"/>
      <c r="Q365" s="87"/>
      <c r="R365" s="144"/>
      <c r="S365" s="144"/>
      <c r="T365" s="87"/>
      <c r="U365" s="87"/>
    </row>
    <row r="366" customFormat="false" ht="18" hidden="false" customHeight="true" outlineLevel="0" collapsed="false">
      <c r="B366" s="7"/>
      <c r="C366" s="7"/>
      <c r="D366" s="7"/>
      <c r="E366" s="71"/>
      <c r="F366" s="7"/>
      <c r="G366" s="7"/>
      <c r="H366" s="7"/>
      <c r="I366" s="145"/>
      <c r="J366" s="7"/>
      <c r="K366" s="7"/>
      <c r="L366" s="7"/>
      <c r="M366" s="7"/>
      <c r="N366" s="7"/>
      <c r="O366" s="7"/>
      <c r="P366" s="7"/>
      <c r="Q366" s="7"/>
      <c r="R366" s="146"/>
      <c r="S366" s="146"/>
      <c r="T366" s="7"/>
      <c r="U366" s="7"/>
    </row>
    <row r="367" customFormat="false" ht="18" hidden="false" customHeight="true" outlineLevel="0" collapsed="false">
      <c r="B367" s="87"/>
      <c r="C367" s="87"/>
      <c r="D367" s="87"/>
      <c r="E367" s="142"/>
      <c r="F367" s="87"/>
      <c r="G367" s="87"/>
      <c r="H367" s="87"/>
      <c r="I367" s="143"/>
      <c r="J367" s="87"/>
      <c r="K367" s="87"/>
      <c r="L367" s="87"/>
      <c r="M367" s="87"/>
      <c r="N367" s="87"/>
      <c r="O367" s="87"/>
      <c r="P367" s="87"/>
      <c r="Q367" s="87"/>
      <c r="R367" s="144"/>
      <c r="S367" s="144"/>
      <c r="T367" s="87"/>
      <c r="U367" s="87"/>
    </row>
    <row r="368" customFormat="false" ht="18" hidden="false" customHeight="true" outlineLevel="0" collapsed="false">
      <c r="B368" s="7"/>
      <c r="C368" s="7"/>
      <c r="D368" s="7"/>
      <c r="E368" s="71"/>
      <c r="F368" s="7"/>
      <c r="G368" s="7"/>
      <c r="H368" s="7"/>
      <c r="I368" s="145"/>
      <c r="J368" s="7"/>
      <c r="K368" s="7"/>
      <c r="L368" s="7"/>
      <c r="M368" s="7"/>
      <c r="N368" s="7"/>
      <c r="O368" s="7"/>
      <c r="P368" s="7"/>
      <c r="Q368" s="7"/>
      <c r="R368" s="146"/>
      <c r="S368" s="146"/>
      <c r="T368" s="7"/>
      <c r="U368" s="7"/>
    </row>
    <row r="369" customFormat="false" ht="18" hidden="false" customHeight="true" outlineLevel="0" collapsed="false">
      <c r="B369" s="87"/>
      <c r="C369" s="87"/>
      <c r="D369" s="87"/>
      <c r="E369" s="142"/>
      <c r="F369" s="87"/>
      <c r="G369" s="87"/>
      <c r="H369" s="87"/>
      <c r="I369" s="143"/>
      <c r="J369" s="87"/>
      <c r="K369" s="87"/>
      <c r="L369" s="87"/>
      <c r="M369" s="87"/>
      <c r="N369" s="87"/>
      <c r="O369" s="87"/>
      <c r="P369" s="87"/>
      <c r="Q369" s="87"/>
      <c r="R369" s="144"/>
      <c r="S369" s="144"/>
      <c r="T369" s="87"/>
      <c r="U369" s="87"/>
    </row>
    <row r="370" customFormat="false" ht="18" hidden="false" customHeight="true" outlineLevel="0" collapsed="false">
      <c r="B370" s="7"/>
      <c r="C370" s="7"/>
      <c r="D370" s="7"/>
      <c r="E370" s="71"/>
      <c r="F370" s="7"/>
      <c r="G370" s="7"/>
      <c r="H370" s="7"/>
      <c r="I370" s="145"/>
      <c r="J370" s="7"/>
      <c r="K370" s="7"/>
      <c r="L370" s="7"/>
      <c r="M370" s="7"/>
      <c r="N370" s="7"/>
      <c r="O370" s="7"/>
      <c r="P370" s="7"/>
      <c r="Q370" s="7"/>
      <c r="R370" s="146"/>
      <c r="S370" s="146"/>
      <c r="T370" s="7"/>
      <c r="U370" s="7"/>
    </row>
    <row r="371" customFormat="false" ht="18" hidden="false" customHeight="true" outlineLevel="0" collapsed="false">
      <c r="B371" s="87"/>
      <c r="C371" s="87"/>
      <c r="D371" s="87"/>
      <c r="E371" s="142"/>
      <c r="F371" s="87"/>
      <c r="G371" s="87"/>
      <c r="H371" s="87"/>
      <c r="I371" s="143"/>
      <c r="J371" s="87"/>
      <c r="K371" s="87"/>
      <c r="L371" s="87"/>
      <c r="M371" s="87"/>
      <c r="N371" s="87"/>
      <c r="O371" s="87"/>
      <c r="P371" s="87"/>
      <c r="Q371" s="87"/>
      <c r="R371" s="144"/>
      <c r="S371" s="144"/>
      <c r="T371" s="87"/>
      <c r="U371" s="87"/>
    </row>
    <row r="372" customFormat="false" ht="18" hidden="false" customHeight="true" outlineLevel="0" collapsed="false">
      <c r="B372" s="7"/>
      <c r="C372" s="7"/>
      <c r="D372" s="7"/>
      <c r="E372" s="71"/>
      <c r="F372" s="7"/>
      <c r="G372" s="7"/>
      <c r="H372" s="7"/>
      <c r="I372" s="145"/>
      <c r="J372" s="7"/>
      <c r="K372" s="7"/>
      <c r="L372" s="7"/>
      <c r="M372" s="7"/>
      <c r="N372" s="7"/>
      <c r="O372" s="7"/>
      <c r="P372" s="7"/>
      <c r="Q372" s="7"/>
      <c r="R372" s="146"/>
      <c r="S372" s="146"/>
      <c r="T372" s="7"/>
      <c r="U372" s="7"/>
    </row>
    <row r="373" customFormat="false" ht="18" hidden="false" customHeight="true" outlineLevel="0" collapsed="false">
      <c r="B373" s="87"/>
      <c r="C373" s="87"/>
      <c r="D373" s="87"/>
      <c r="E373" s="142"/>
      <c r="F373" s="87"/>
      <c r="G373" s="87"/>
      <c r="H373" s="87"/>
      <c r="I373" s="143"/>
      <c r="J373" s="87"/>
      <c r="K373" s="87"/>
      <c r="L373" s="87"/>
      <c r="M373" s="87"/>
      <c r="N373" s="87"/>
      <c r="O373" s="87"/>
      <c r="P373" s="87"/>
      <c r="Q373" s="87"/>
      <c r="R373" s="144"/>
      <c r="S373" s="144"/>
      <c r="T373" s="87"/>
      <c r="U373" s="87"/>
    </row>
    <row r="374" customFormat="false" ht="18" hidden="false" customHeight="true" outlineLevel="0" collapsed="false">
      <c r="B374" s="7"/>
      <c r="C374" s="7"/>
      <c r="D374" s="7"/>
      <c r="E374" s="71"/>
      <c r="F374" s="7"/>
      <c r="G374" s="7"/>
      <c r="H374" s="7"/>
      <c r="I374" s="145"/>
      <c r="J374" s="7"/>
      <c r="K374" s="7"/>
      <c r="L374" s="7"/>
      <c r="M374" s="7"/>
      <c r="N374" s="7"/>
      <c r="O374" s="7"/>
      <c r="P374" s="7"/>
      <c r="Q374" s="7"/>
      <c r="R374" s="146"/>
      <c r="S374" s="146"/>
      <c r="T374" s="7"/>
      <c r="U374" s="7"/>
    </row>
    <row r="375" customFormat="false" ht="18" hidden="false" customHeight="true" outlineLevel="0" collapsed="false">
      <c r="B375" s="87"/>
      <c r="C375" s="87"/>
      <c r="D375" s="87"/>
      <c r="E375" s="142"/>
      <c r="F375" s="87"/>
      <c r="G375" s="87"/>
      <c r="H375" s="87"/>
      <c r="I375" s="143"/>
      <c r="J375" s="87"/>
      <c r="K375" s="87"/>
      <c r="L375" s="87"/>
      <c r="M375" s="87"/>
      <c r="N375" s="87"/>
      <c r="O375" s="87"/>
      <c r="P375" s="87"/>
      <c r="Q375" s="87"/>
      <c r="R375" s="144"/>
      <c r="S375" s="144"/>
      <c r="T375" s="87"/>
      <c r="U375" s="87"/>
    </row>
    <row r="376" customFormat="false" ht="18" hidden="false" customHeight="true" outlineLevel="0" collapsed="false">
      <c r="B376" s="7"/>
      <c r="C376" s="7"/>
      <c r="D376" s="7"/>
      <c r="E376" s="71"/>
      <c r="F376" s="7"/>
      <c r="G376" s="7"/>
      <c r="H376" s="7"/>
      <c r="I376" s="145"/>
      <c r="J376" s="7"/>
      <c r="K376" s="7"/>
      <c r="L376" s="7"/>
      <c r="M376" s="7"/>
      <c r="N376" s="7"/>
      <c r="O376" s="7"/>
      <c r="P376" s="7"/>
      <c r="Q376" s="7"/>
      <c r="R376" s="146"/>
      <c r="S376" s="146"/>
      <c r="T376" s="7"/>
      <c r="U376" s="7"/>
    </row>
    <row r="377" customFormat="false" ht="18" hidden="false" customHeight="true" outlineLevel="0" collapsed="false">
      <c r="B377" s="87"/>
      <c r="C377" s="87"/>
      <c r="D377" s="87"/>
      <c r="E377" s="142"/>
      <c r="F377" s="87"/>
      <c r="G377" s="87"/>
      <c r="H377" s="87"/>
      <c r="I377" s="143"/>
      <c r="J377" s="87"/>
      <c r="K377" s="87"/>
      <c r="L377" s="87"/>
      <c r="M377" s="87"/>
      <c r="N377" s="87"/>
      <c r="O377" s="87"/>
      <c r="P377" s="87"/>
      <c r="Q377" s="87"/>
      <c r="R377" s="144"/>
      <c r="S377" s="144"/>
      <c r="T377" s="87"/>
      <c r="U377" s="87"/>
    </row>
    <row r="378" customFormat="false" ht="18" hidden="false" customHeight="true" outlineLevel="0" collapsed="false">
      <c r="B378" s="7"/>
      <c r="C378" s="7"/>
      <c r="D378" s="7"/>
      <c r="E378" s="71"/>
      <c r="F378" s="7"/>
      <c r="G378" s="7"/>
      <c r="H378" s="7"/>
      <c r="I378" s="145"/>
      <c r="J378" s="7"/>
      <c r="K378" s="7"/>
      <c r="L378" s="7"/>
      <c r="M378" s="7"/>
      <c r="N378" s="7"/>
      <c r="O378" s="7"/>
      <c r="P378" s="7"/>
      <c r="Q378" s="7"/>
      <c r="R378" s="146"/>
      <c r="S378" s="146"/>
      <c r="T378" s="7"/>
      <c r="U378" s="7"/>
    </row>
    <row r="379" customFormat="false" ht="18" hidden="false" customHeight="true" outlineLevel="0" collapsed="false">
      <c r="B379" s="87"/>
      <c r="C379" s="87"/>
      <c r="D379" s="87"/>
      <c r="E379" s="142"/>
      <c r="F379" s="87"/>
      <c r="G379" s="87"/>
      <c r="H379" s="87"/>
      <c r="I379" s="143"/>
      <c r="J379" s="87"/>
      <c r="K379" s="87"/>
      <c r="L379" s="87"/>
      <c r="M379" s="87"/>
      <c r="N379" s="87"/>
      <c r="O379" s="87"/>
      <c r="P379" s="87"/>
      <c r="Q379" s="87"/>
      <c r="R379" s="144"/>
      <c r="S379" s="144"/>
      <c r="T379" s="87"/>
      <c r="U379" s="87"/>
    </row>
    <row r="380" customFormat="false" ht="18" hidden="false" customHeight="true" outlineLevel="0" collapsed="false">
      <c r="B380" s="7"/>
      <c r="C380" s="7"/>
      <c r="D380" s="7"/>
      <c r="E380" s="71"/>
      <c r="F380" s="7"/>
      <c r="G380" s="7"/>
      <c r="H380" s="7"/>
      <c r="I380" s="145"/>
      <c r="J380" s="7"/>
      <c r="K380" s="7"/>
      <c r="L380" s="7"/>
      <c r="M380" s="7"/>
      <c r="N380" s="7"/>
      <c r="O380" s="7"/>
      <c r="P380" s="7"/>
      <c r="Q380" s="7"/>
      <c r="R380" s="146"/>
      <c r="S380" s="146"/>
      <c r="T380" s="7"/>
      <c r="U380" s="7"/>
    </row>
    <row r="381" customFormat="false" ht="18" hidden="false" customHeight="true" outlineLevel="0" collapsed="false">
      <c r="B381" s="87"/>
      <c r="C381" s="87"/>
      <c r="D381" s="87"/>
      <c r="E381" s="142"/>
      <c r="F381" s="87"/>
      <c r="G381" s="87"/>
      <c r="H381" s="87"/>
      <c r="I381" s="143"/>
      <c r="J381" s="87"/>
      <c r="K381" s="87"/>
      <c r="L381" s="87"/>
      <c r="M381" s="87"/>
      <c r="N381" s="87"/>
      <c r="O381" s="87"/>
      <c r="P381" s="87"/>
      <c r="Q381" s="87"/>
      <c r="R381" s="144"/>
      <c r="S381" s="144"/>
      <c r="T381" s="87"/>
      <c r="U381" s="87"/>
    </row>
    <row r="382" customFormat="false" ht="18" hidden="false" customHeight="true" outlineLevel="0" collapsed="false">
      <c r="B382" s="7"/>
      <c r="C382" s="7"/>
      <c r="D382" s="7"/>
      <c r="E382" s="71"/>
      <c r="F382" s="7"/>
      <c r="G382" s="7"/>
      <c r="H382" s="7"/>
      <c r="I382" s="145"/>
      <c r="J382" s="7"/>
      <c r="K382" s="7"/>
      <c r="L382" s="7"/>
      <c r="M382" s="7"/>
      <c r="N382" s="7"/>
      <c r="O382" s="7"/>
      <c r="P382" s="7"/>
      <c r="Q382" s="7"/>
      <c r="R382" s="146"/>
      <c r="S382" s="146"/>
      <c r="T382" s="7"/>
      <c r="U382" s="7"/>
    </row>
    <row r="383" customFormat="false" ht="18" hidden="false" customHeight="true" outlineLevel="0" collapsed="false">
      <c r="B383" s="87"/>
      <c r="C383" s="87"/>
      <c r="D383" s="87"/>
      <c r="E383" s="142"/>
      <c r="F383" s="87"/>
      <c r="G383" s="87"/>
      <c r="H383" s="87"/>
      <c r="I383" s="143"/>
      <c r="J383" s="87"/>
      <c r="K383" s="87"/>
      <c r="L383" s="87"/>
      <c r="M383" s="87"/>
      <c r="N383" s="87"/>
      <c r="O383" s="87"/>
      <c r="P383" s="87"/>
      <c r="Q383" s="87"/>
      <c r="R383" s="144"/>
      <c r="S383" s="144"/>
      <c r="T383" s="87"/>
      <c r="U383" s="87"/>
    </row>
    <row r="384" customFormat="false" ht="18" hidden="false" customHeight="true" outlineLevel="0" collapsed="false">
      <c r="B384" s="7"/>
      <c r="C384" s="7"/>
      <c r="D384" s="7"/>
      <c r="E384" s="71"/>
      <c r="F384" s="7"/>
      <c r="G384" s="7"/>
      <c r="H384" s="7"/>
      <c r="I384" s="145"/>
      <c r="J384" s="7"/>
      <c r="K384" s="7"/>
      <c r="L384" s="7"/>
      <c r="M384" s="7"/>
      <c r="N384" s="7"/>
      <c r="O384" s="7"/>
      <c r="P384" s="7"/>
      <c r="Q384" s="7"/>
      <c r="R384" s="146"/>
      <c r="S384" s="146"/>
      <c r="T384" s="7"/>
      <c r="U384" s="7"/>
    </row>
    <row r="385" customFormat="false" ht="18" hidden="false" customHeight="true" outlineLevel="0" collapsed="false">
      <c r="B385" s="87"/>
      <c r="C385" s="87"/>
      <c r="D385" s="87"/>
      <c r="E385" s="142"/>
      <c r="F385" s="87"/>
      <c r="G385" s="87"/>
      <c r="H385" s="87"/>
      <c r="I385" s="143"/>
      <c r="J385" s="87"/>
      <c r="K385" s="87"/>
      <c r="L385" s="87"/>
      <c r="M385" s="87"/>
      <c r="N385" s="87"/>
      <c r="O385" s="87"/>
      <c r="P385" s="87"/>
      <c r="Q385" s="87"/>
      <c r="R385" s="144"/>
      <c r="S385" s="144"/>
      <c r="T385" s="87"/>
      <c r="U385" s="87"/>
    </row>
    <row r="386" customFormat="false" ht="18" hidden="false" customHeight="true" outlineLevel="0" collapsed="false">
      <c r="B386" s="7"/>
      <c r="C386" s="7"/>
      <c r="D386" s="7"/>
      <c r="E386" s="71"/>
      <c r="F386" s="7"/>
      <c r="G386" s="7"/>
      <c r="H386" s="7"/>
      <c r="I386" s="145"/>
      <c r="J386" s="7"/>
      <c r="K386" s="7"/>
      <c r="L386" s="7"/>
      <c r="M386" s="7"/>
      <c r="N386" s="7"/>
      <c r="O386" s="7"/>
      <c r="P386" s="7"/>
      <c r="Q386" s="7"/>
      <c r="R386" s="146"/>
      <c r="S386" s="146"/>
      <c r="T386" s="7"/>
      <c r="U386" s="7"/>
    </row>
    <row r="387" customFormat="false" ht="18" hidden="false" customHeight="true" outlineLevel="0" collapsed="false">
      <c r="B387" s="87"/>
      <c r="C387" s="87"/>
      <c r="D387" s="87"/>
      <c r="E387" s="142"/>
      <c r="F387" s="87"/>
      <c r="G387" s="87"/>
      <c r="H387" s="87"/>
      <c r="I387" s="143"/>
      <c r="J387" s="87"/>
      <c r="K387" s="87"/>
      <c r="L387" s="87"/>
      <c r="M387" s="87"/>
      <c r="N387" s="87"/>
      <c r="O387" s="87"/>
      <c r="P387" s="87"/>
      <c r="Q387" s="87"/>
      <c r="R387" s="144"/>
      <c r="S387" s="144"/>
      <c r="T387" s="87"/>
      <c r="U387" s="87"/>
    </row>
    <row r="388" customFormat="false" ht="18" hidden="false" customHeight="true" outlineLevel="0" collapsed="false">
      <c r="B388" s="7"/>
      <c r="C388" s="7"/>
      <c r="D388" s="7"/>
      <c r="E388" s="71"/>
      <c r="F388" s="7"/>
      <c r="G388" s="7"/>
      <c r="H388" s="7"/>
      <c r="I388" s="145"/>
      <c r="J388" s="7"/>
      <c r="K388" s="7"/>
      <c r="L388" s="7"/>
      <c r="M388" s="7"/>
      <c r="N388" s="7"/>
      <c r="O388" s="7"/>
      <c r="P388" s="7"/>
      <c r="Q388" s="7"/>
      <c r="R388" s="146"/>
      <c r="S388" s="146"/>
      <c r="T388" s="7"/>
      <c r="U388" s="7"/>
    </row>
    <row r="389" customFormat="false" ht="18" hidden="false" customHeight="true" outlineLevel="0" collapsed="false">
      <c r="B389" s="87"/>
      <c r="C389" s="87"/>
      <c r="D389" s="87"/>
      <c r="E389" s="142"/>
      <c r="F389" s="87"/>
      <c r="G389" s="87"/>
      <c r="H389" s="87"/>
      <c r="I389" s="143"/>
      <c r="J389" s="87"/>
      <c r="K389" s="87"/>
      <c r="L389" s="87"/>
      <c r="M389" s="87"/>
      <c r="N389" s="87"/>
      <c r="O389" s="87"/>
      <c r="P389" s="87"/>
      <c r="Q389" s="87"/>
      <c r="R389" s="144"/>
      <c r="S389" s="144"/>
      <c r="T389" s="87"/>
      <c r="U389" s="87"/>
    </row>
    <row r="390" customFormat="false" ht="18" hidden="false" customHeight="true" outlineLevel="0" collapsed="false">
      <c r="B390" s="7"/>
      <c r="C390" s="7"/>
      <c r="D390" s="7"/>
      <c r="E390" s="71"/>
      <c r="F390" s="7"/>
      <c r="G390" s="7"/>
      <c r="H390" s="7"/>
      <c r="I390" s="145"/>
      <c r="J390" s="7"/>
      <c r="K390" s="7"/>
      <c r="L390" s="7"/>
      <c r="M390" s="7"/>
      <c r="N390" s="7"/>
      <c r="O390" s="7"/>
      <c r="P390" s="7"/>
      <c r="Q390" s="7"/>
      <c r="R390" s="146"/>
      <c r="S390" s="146"/>
      <c r="T390" s="7"/>
      <c r="U390" s="7"/>
    </row>
    <row r="391" customFormat="false" ht="18" hidden="false" customHeight="true" outlineLevel="0" collapsed="false">
      <c r="B391" s="87"/>
      <c r="C391" s="87"/>
      <c r="D391" s="87"/>
      <c r="E391" s="142"/>
      <c r="F391" s="87"/>
      <c r="G391" s="87"/>
      <c r="H391" s="87"/>
      <c r="I391" s="143"/>
      <c r="J391" s="87"/>
      <c r="K391" s="87"/>
      <c r="L391" s="87"/>
      <c r="M391" s="87"/>
      <c r="N391" s="87"/>
      <c r="O391" s="87"/>
      <c r="P391" s="87"/>
      <c r="Q391" s="87"/>
      <c r="R391" s="144"/>
      <c r="S391" s="144"/>
      <c r="T391" s="87"/>
      <c r="U391" s="87"/>
    </row>
    <row r="392" customFormat="false" ht="18" hidden="false" customHeight="true" outlineLevel="0" collapsed="false">
      <c r="B392" s="7"/>
      <c r="C392" s="7"/>
      <c r="D392" s="7"/>
      <c r="E392" s="71"/>
      <c r="F392" s="7"/>
      <c r="G392" s="7"/>
      <c r="H392" s="7"/>
      <c r="I392" s="145"/>
      <c r="J392" s="7"/>
      <c r="K392" s="7"/>
      <c r="L392" s="7"/>
      <c r="M392" s="7"/>
      <c r="N392" s="7"/>
      <c r="O392" s="7"/>
      <c r="P392" s="7"/>
      <c r="Q392" s="7"/>
      <c r="R392" s="146"/>
      <c r="S392" s="146"/>
      <c r="T392" s="7"/>
      <c r="U392" s="7"/>
    </row>
    <row r="393" customFormat="false" ht="18" hidden="false" customHeight="true" outlineLevel="0" collapsed="false">
      <c r="B393" s="87"/>
      <c r="C393" s="87"/>
      <c r="D393" s="87"/>
      <c r="E393" s="142"/>
      <c r="F393" s="87"/>
      <c r="G393" s="87"/>
      <c r="H393" s="87"/>
      <c r="I393" s="143"/>
      <c r="J393" s="87"/>
      <c r="K393" s="87"/>
      <c r="L393" s="87"/>
      <c r="M393" s="87"/>
      <c r="N393" s="87"/>
      <c r="O393" s="87"/>
      <c r="P393" s="87"/>
      <c r="Q393" s="87"/>
      <c r="R393" s="144"/>
      <c r="S393" s="144"/>
      <c r="T393" s="87"/>
      <c r="U393" s="87"/>
    </row>
    <row r="394" customFormat="false" ht="18" hidden="false" customHeight="true" outlineLevel="0" collapsed="false">
      <c r="B394" s="7"/>
      <c r="C394" s="7"/>
      <c r="D394" s="7"/>
      <c r="E394" s="71"/>
      <c r="F394" s="7"/>
      <c r="G394" s="7"/>
      <c r="H394" s="7"/>
      <c r="I394" s="145"/>
      <c r="J394" s="7"/>
      <c r="K394" s="7"/>
      <c r="L394" s="7"/>
      <c r="M394" s="7"/>
      <c r="N394" s="7"/>
      <c r="O394" s="7"/>
      <c r="P394" s="7"/>
      <c r="Q394" s="7"/>
      <c r="R394" s="146"/>
      <c r="S394" s="146"/>
      <c r="T394" s="7"/>
      <c r="U394" s="7"/>
    </row>
    <row r="395" customFormat="false" ht="18" hidden="false" customHeight="true" outlineLevel="0" collapsed="false">
      <c r="B395" s="87"/>
      <c r="C395" s="87"/>
      <c r="D395" s="87"/>
      <c r="E395" s="142"/>
      <c r="F395" s="87"/>
      <c r="G395" s="87"/>
      <c r="H395" s="87"/>
      <c r="I395" s="143"/>
      <c r="J395" s="87"/>
      <c r="K395" s="87"/>
      <c r="L395" s="87"/>
      <c r="M395" s="87"/>
      <c r="N395" s="87"/>
      <c r="O395" s="87"/>
      <c r="P395" s="87"/>
      <c r="Q395" s="87"/>
      <c r="R395" s="144"/>
      <c r="S395" s="144"/>
      <c r="T395" s="87"/>
      <c r="U395" s="87"/>
    </row>
    <row r="396" customFormat="false" ht="18" hidden="false" customHeight="true" outlineLevel="0" collapsed="false">
      <c r="B396" s="7"/>
      <c r="C396" s="7"/>
      <c r="D396" s="7"/>
      <c r="E396" s="71"/>
      <c r="F396" s="7"/>
      <c r="G396" s="7"/>
      <c r="H396" s="7"/>
      <c r="I396" s="145"/>
      <c r="J396" s="7"/>
      <c r="K396" s="7"/>
      <c r="L396" s="7"/>
      <c r="M396" s="7"/>
      <c r="N396" s="7"/>
      <c r="O396" s="7"/>
      <c r="P396" s="7"/>
      <c r="Q396" s="7"/>
      <c r="R396" s="146"/>
      <c r="S396" s="146"/>
      <c r="T396" s="7"/>
      <c r="U396" s="7"/>
    </row>
    <row r="397" customFormat="false" ht="18" hidden="false" customHeight="true" outlineLevel="0" collapsed="false">
      <c r="B397" s="87"/>
      <c r="C397" s="87"/>
      <c r="D397" s="87"/>
      <c r="E397" s="142"/>
      <c r="F397" s="87"/>
      <c r="G397" s="87"/>
      <c r="H397" s="87"/>
      <c r="I397" s="143"/>
      <c r="J397" s="87"/>
      <c r="K397" s="87"/>
      <c r="L397" s="87"/>
      <c r="M397" s="87"/>
      <c r="N397" s="87"/>
      <c r="O397" s="87"/>
      <c r="P397" s="87"/>
      <c r="Q397" s="87"/>
      <c r="R397" s="144"/>
      <c r="S397" s="144"/>
      <c r="T397" s="87"/>
      <c r="U397" s="87"/>
    </row>
    <row r="398" customFormat="false" ht="18" hidden="false" customHeight="true" outlineLevel="0" collapsed="false">
      <c r="B398" s="7"/>
      <c r="C398" s="7"/>
      <c r="D398" s="7"/>
      <c r="E398" s="71"/>
      <c r="F398" s="7"/>
      <c r="G398" s="7"/>
      <c r="H398" s="7"/>
      <c r="I398" s="145"/>
      <c r="J398" s="7"/>
      <c r="K398" s="7"/>
      <c r="L398" s="7"/>
      <c r="M398" s="7"/>
      <c r="N398" s="7"/>
      <c r="O398" s="7"/>
      <c r="P398" s="7"/>
      <c r="Q398" s="7"/>
      <c r="R398" s="146"/>
      <c r="S398" s="146"/>
      <c r="T398" s="7"/>
      <c r="U398" s="7"/>
    </row>
    <row r="399" customFormat="false" ht="18" hidden="false" customHeight="true" outlineLevel="0" collapsed="false">
      <c r="B399" s="87"/>
      <c r="C399" s="87"/>
      <c r="D399" s="87"/>
      <c r="E399" s="142"/>
      <c r="F399" s="87"/>
      <c r="G399" s="87"/>
      <c r="H399" s="87"/>
      <c r="I399" s="143"/>
      <c r="J399" s="87"/>
      <c r="K399" s="87"/>
      <c r="L399" s="87"/>
      <c r="M399" s="87"/>
      <c r="N399" s="87"/>
      <c r="O399" s="87"/>
      <c r="P399" s="87"/>
      <c r="Q399" s="87"/>
      <c r="R399" s="144"/>
      <c r="S399" s="144"/>
      <c r="T399" s="87"/>
      <c r="U399" s="87"/>
    </row>
    <row r="400" customFormat="false" ht="18" hidden="false" customHeight="true" outlineLevel="0" collapsed="false">
      <c r="B400" s="7"/>
      <c r="C400" s="7"/>
      <c r="D400" s="7"/>
      <c r="E400" s="71"/>
      <c r="F400" s="7"/>
      <c r="G400" s="7"/>
      <c r="H400" s="7"/>
      <c r="I400" s="145"/>
      <c r="J400" s="7"/>
      <c r="K400" s="7"/>
      <c r="L400" s="7"/>
      <c r="M400" s="7"/>
      <c r="N400" s="7"/>
      <c r="O400" s="7"/>
      <c r="P400" s="7"/>
      <c r="Q400" s="7"/>
      <c r="R400" s="146"/>
      <c r="S400" s="146"/>
      <c r="T400" s="7"/>
      <c r="U400" s="7"/>
    </row>
    <row r="401" customFormat="false" ht="18" hidden="false" customHeight="true" outlineLevel="0" collapsed="false">
      <c r="B401" s="87"/>
      <c r="C401" s="87"/>
      <c r="D401" s="87"/>
      <c r="E401" s="142"/>
      <c r="F401" s="87"/>
      <c r="G401" s="87"/>
      <c r="H401" s="87"/>
      <c r="I401" s="143"/>
      <c r="J401" s="87"/>
      <c r="K401" s="87"/>
      <c r="L401" s="87"/>
      <c r="M401" s="87"/>
      <c r="N401" s="87"/>
      <c r="O401" s="87"/>
      <c r="P401" s="87"/>
      <c r="Q401" s="87"/>
      <c r="R401" s="144"/>
      <c r="S401" s="144"/>
      <c r="T401" s="87"/>
      <c r="U401" s="87"/>
    </row>
    <row r="402" customFormat="false" ht="18" hidden="false" customHeight="true" outlineLevel="0" collapsed="false">
      <c r="B402" s="7"/>
      <c r="C402" s="7"/>
      <c r="D402" s="7"/>
      <c r="E402" s="71"/>
      <c r="F402" s="7"/>
      <c r="G402" s="7"/>
      <c r="H402" s="7"/>
      <c r="I402" s="145"/>
      <c r="J402" s="7"/>
      <c r="K402" s="7"/>
      <c r="L402" s="7"/>
      <c r="M402" s="7"/>
      <c r="N402" s="7"/>
      <c r="O402" s="7"/>
      <c r="P402" s="7"/>
      <c r="Q402" s="7"/>
      <c r="R402" s="146"/>
      <c r="S402" s="146"/>
      <c r="T402" s="7"/>
      <c r="U402" s="7"/>
    </row>
    <row r="403" customFormat="false" ht="18" hidden="false" customHeight="true" outlineLevel="0" collapsed="false">
      <c r="B403" s="87"/>
      <c r="C403" s="87"/>
      <c r="D403" s="87"/>
      <c r="E403" s="142"/>
      <c r="F403" s="87"/>
      <c r="G403" s="87"/>
      <c r="H403" s="87"/>
      <c r="I403" s="143"/>
      <c r="J403" s="87"/>
      <c r="K403" s="87"/>
      <c r="L403" s="87"/>
      <c r="M403" s="87"/>
      <c r="N403" s="87"/>
      <c r="O403" s="87"/>
      <c r="P403" s="87"/>
      <c r="Q403" s="87"/>
      <c r="R403" s="144"/>
      <c r="S403" s="144"/>
      <c r="T403" s="87"/>
      <c r="U403" s="87"/>
    </row>
    <row r="404" customFormat="false" ht="18" hidden="false" customHeight="true" outlineLevel="0" collapsed="false">
      <c r="B404" s="7"/>
      <c r="C404" s="7"/>
      <c r="D404" s="7"/>
      <c r="E404" s="71"/>
      <c r="F404" s="7"/>
      <c r="G404" s="7"/>
      <c r="H404" s="7"/>
      <c r="I404" s="145"/>
      <c r="J404" s="7"/>
      <c r="K404" s="7"/>
      <c r="L404" s="7"/>
      <c r="M404" s="7"/>
      <c r="N404" s="7"/>
      <c r="O404" s="7"/>
      <c r="P404" s="7"/>
      <c r="Q404" s="7"/>
      <c r="R404" s="146"/>
      <c r="S404" s="146"/>
      <c r="T404" s="7"/>
      <c r="U404" s="7"/>
    </row>
    <row r="405" customFormat="false" ht="18" hidden="false" customHeight="true" outlineLevel="0" collapsed="false">
      <c r="B405" s="87"/>
      <c r="C405" s="87"/>
      <c r="D405" s="87"/>
      <c r="E405" s="142"/>
      <c r="F405" s="87"/>
      <c r="G405" s="87"/>
      <c r="H405" s="87"/>
      <c r="I405" s="143"/>
      <c r="J405" s="87"/>
      <c r="K405" s="87"/>
      <c r="L405" s="87"/>
      <c r="M405" s="87"/>
      <c r="N405" s="87"/>
      <c r="O405" s="87"/>
      <c r="P405" s="87"/>
      <c r="Q405" s="87"/>
      <c r="R405" s="144"/>
      <c r="S405" s="144"/>
      <c r="T405" s="87"/>
      <c r="U405" s="87"/>
    </row>
    <row r="406" customFormat="false" ht="18" hidden="false" customHeight="true" outlineLevel="0" collapsed="false">
      <c r="B406" s="7"/>
      <c r="C406" s="7"/>
      <c r="D406" s="7"/>
      <c r="E406" s="71"/>
      <c r="F406" s="7"/>
      <c r="G406" s="7"/>
      <c r="H406" s="7"/>
      <c r="I406" s="145"/>
      <c r="J406" s="7"/>
      <c r="K406" s="7"/>
      <c r="L406" s="7"/>
      <c r="M406" s="7"/>
      <c r="N406" s="7"/>
      <c r="O406" s="7"/>
      <c r="P406" s="7"/>
      <c r="Q406" s="7"/>
      <c r="R406" s="146"/>
      <c r="S406" s="146"/>
      <c r="T406" s="7"/>
      <c r="U406" s="7"/>
    </row>
    <row r="407" customFormat="false" ht="18" hidden="false" customHeight="true" outlineLevel="0" collapsed="false">
      <c r="B407" s="87"/>
      <c r="C407" s="87"/>
      <c r="D407" s="87"/>
      <c r="E407" s="142"/>
      <c r="F407" s="87"/>
      <c r="G407" s="87"/>
      <c r="H407" s="87"/>
      <c r="I407" s="143"/>
      <c r="J407" s="87"/>
      <c r="K407" s="87"/>
      <c r="L407" s="87"/>
      <c r="M407" s="87"/>
      <c r="N407" s="87"/>
      <c r="O407" s="87"/>
      <c r="P407" s="87"/>
      <c r="Q407" s="87"/>
      <c r="R407" s="144"/>
      <c r="S407" s="144"/>
      <c r="T407" s="87"/>
      <c r="U407" s="87"/>
    </row>
    <row r="408" customFormat="false" ht="18" hidden="false" customHeight="true" outlineLevel="0" collapsed="false">
      <c r="B408" s="7"/>
      <c r="C408" s="7"/>
      <c r="D408" s="7"/>
      <c r="E408" s="71"/>
      <c r="F408" s="7"/>
      <c r="G408" s="7"/>
      <c r="H408" s="7"/>
      <c r="I408" s="145"/>
      <c r="J408" s="7"/>
      <c r="K408" s="7"/>
      <c r="L408" s="7"/>
      <c r="M408" s="7"/>
      <c r="N408" s="7"/>
      <c r="O408" s="7"/>
      <c r="P408" s="7"/>
      <c r="Q408" s="7"/>
      <c r="R408" s="146"/>
      <c r="S408" s="146"/>
      <c r="T408" s="7"/>
      <c r="U408" s="7"/>
    </row>
    <row r="409" customFormat="false" ht="18" hidden="false" customHeight="true" outlineLevel="0" collapsed="false">
      <c r="B409" s="87"/>
      <c r="C409" s="87"/>
      <c r="D409" s="87"/>
      <c r="E409" s="142"/>
      <c r="F409" s="87"/>
      <c r="G409" s="87"/>
      <c r="H409" s="87"/>
      <c r="I409" s="143"/>
      <c r="J409" s="87"/>
      <c r="K409" s="87"/>
      <c r="L409" s="87"/>
      <c r="M409" s="87"/>
      <c r="N409" s="87"/>
      <c r="O409" s="87"/>
      <c r="P409" s="87"/>
      <c r="Q409" s="87"/>
      <c r="R409" s="144"/>
      <c r="S409" s="144"/>
      <c r="T409" s="87"/>
      <c r="U409" s="87"/>
    </row>
    <row r="410" customFormat="false" ht="18" hidden="false" customHeight="true" outlineLevel="0" collapsed="false">
      <c r="B410" s="7"/>
      <c r="C410" s="7"/>
      <c r="D410" s="7"/>
      <c r="E410" s="71"/>
      <c r="F410" s="7"/>
      <c r="G410" s="7"/>
      <c r="H410" s="7"/>
      <c r="I410" s="145"/>
      <c r="J410" s="7"/>
      <c r="K410" s="7"/>
      <c r="L410" s="7"/>
      <c r="M410" s="7"/>
      <c r="N410" s="7"/>
      <c r="O410" s="7"/>
      <c r="P410" s="7"/>
      <c r="Q410" s="7"/>
      <c r="R410" s="146"/>
      <c r="S410" s="146"/>
      <c r="T410" s="7"/>
      <c r="U410" s="7"/>
    </row>
    <row r="411" customFormat="false" ht="18" hidden="false" customHeight="true" outlineLevel="0" collapsed="false">
      <c r="B411" s="87"/>
      <c r="C411" s="87"/>
      <c r="D411" s="87"/>
      <c r="E411" s="142"/>
      <c r="F411" s="87"/>
      <c r="G411" s="87"/>
      <c r="H411" s="87"/>
      <c r="I411" s="143"/>
      <c r="J411" s="87"/>
      <c r="K411" s="87"/>
      <c r="L411" s="87"/>
      <c r="M411" s="87"/>
      <c r="N411" s="87"/>
      <c r="O411" s="87"/>
      <c r="P411" s="87"/>
      <c r="Q411" s="87"/>
      <c r="R411" s="144"/>
      <c r="S411" s="144"/>
      <c r="T411" s="87"/>
      <c r="U411" s="87"/>
    </row>
    <row r="412" customFormat="false" ht="18" hidden="false" customHeight="true" outlineLevel="0" collapsed="false">
      <c r="B412" s="7"/>
      <c r="C412" s="7"/>
      <c r="D412" s="7"/>
      <c r="E412" s="71"/>
      <c r="F412" s="7"/>
      <c r="G412" s="7"/>
      <c r="H412" s="7"/>
      <c r="I412" s="145"/>
      <c r="J412" s="7"/>
      <c r="K412" s="7"/>
      <c r="L412" s="7"/>
      <c r="M412" s="7"/>
      <c r="N412" s="7"/>
      <c r="O412" s="7"/>
      <c r="P412" s="7"/>
      <c r="Q412" s="7"/>
      <c r="R412" s="146"/>
      <c r="S412" s="146"/>
      <c r="T412" s="7"/>
      <c r="U412" s="7"/>
    </row>
    <row r="413" customFormat="false" ht="18" hidden="false" customHeight="true" outlineLevel="0" collapsed="false">
      <c r="B413" s="87"/>
      <c r="C413" s="87"/>
      <c r="D413" s="87"/>
      <c r="E413" s="142"/>
      <c r="F413" s="87"/>
      <c r="G413" s="87"/>
      <c r="H413" s="87"/>
      <c r="I413" s="143"/>
      <c r="J413" s="87"/>
      <c r="K413" s="87"/>
      <c r="L413" s="87"/>
      <c r="M413" s="87"/>
      <c r="N413" s="87"/>
      <c r="O413" s="87"/>
      <c r="P413" s="87"/>
      <c r="Q413" s="87"/>
      <c r="R413" s="144"/>
      <c r="S413" s="144"/>
      <c r="T413" s="87"/>
      <c r="U413" s="87"/>
    </row>
    <row r="414" customFormat="false" ht="18" hidden="false" customHeight="true" outlineLevel="0" collapsed="false">
      <c r="B414" s="7"/>
      <c r="C414" s="7"/>
      <c r="D414" s="7"/>
      <c r="E414" s="71"/>
      <c r="F414" s="7"/>
      <c r="G414" s="7"/>
      <c r="H414" s="7"/>
      <c r="I414" s="145"/>
      <c r="J414" s="7"/>
      <c r="K414" s="7"/>
      <c r="L414" s="7"/>
      <c r="M414" s="7"/>
      <c r="N414" s="7"/>
      <c r="O414" s="7"/>
      <c r="P414" s="7"/>
      <c r="Q414" s="7"/>
      <c r="R414" s="146"/>
      <c r="S414" s="146"/>
      <c r="T414" s="7"/>
      <c r="U414" s="7"/>
    </row>
    <row r="415" customFormat="false" ht="18" hidden="false" customHeight="true" outlineLevel="0" collapsed="false">
      <c r="B415" s="87"/>
      <c r="C415" s="87"/>
      <c r="D415" s="87"/>
      <c r="E415" s="142"/>
      <c r="F415" s="87"/>
      <c r="G415" s="87"/>
      <c r="H415" s="87"/>
      <c r="I415" s="143"/>
      <c r="J415" s="87"/>
      <c r="K415" s="87"/>
      <c r="L415" s="87"/>
      <c r="M415" s="87"/>
      <c r="N415" s="87"/>
      <c r="O415" s="87"/>
      <c r="P415" s="87"/>
      <c r="Q415" s="87"/>
      <c r="R415" s="144"/>
      <c r="S415" s="144"/>
      <c r="T415" s="87"/>
      <c r="U415" s="87"/>
    </row>
    <row r="416" customFormat="false" ht="18" hidden="false" customHeight="true" outlineLevel="0" collapsed="false">
      <c r="B416" s="7"/>
      <c r="C416" s="7"/>
      <c r="D416" s="7"/>
      <c r="E416" s="71"/>
      <c r="F416" s="7"/>
      <c r="G416" s="7"/>
      <c r="H416" s="7"/>
      <c r="I416" s="145"/>
      <c r="J416" s="7"/>
      <c r="K416" s="7"/>
      <c r="L416" s="7"/>
      <c r="M416" s="7"/>
      <c r="N416" s="7"/>
      <c r="O416" s="7"/>
      <c r="P416" s="7"/>
      <c r="Q416" s="7"/>
      <c r="R416" s="146"/>
      <c r="S416" s="146"/>
      <c r="T416" s="7"/>
      <c r="U416" s="7"/>
    </row>
    <row r="417" customFormat="false" ht="18" hidden="false" customHeight="true" outlineLevel="0" collapsed="false">
      <c r="B417" s="87"/>
      <c r="C417" s="87"/>
      <c r="D417" s="87"/>
      <c r="E417" s="142"/>
      <c r="F417" s="87"/>
      <c r="G417" s="87"/>
      <c r="H417" s="87"/>
      <c r="I417" s="143"/>
      <c r="J417" s="87"/>
      <c r="K417" s="87"/>
      <c r="L417" s="87"/>
      <c r="M417" s="87"/>
      <c r="N417" s="87"/>
      <c r="O417" s="87"/>
      <c r="P417" s="87"/>
      <c r="Q417" s="87"/>
      <c r="R417" s="144"/>
      <c r="S417" s="144"/>
      <c r="T417" s="87"/>
      <c r="U417" s="87"/>
    </row>
    <row r="418" customFormat="false" ht="18" hidden="false" customHeight="true" outlineLevel="0" collapsed="false">
      <c r="B418" s="7"/>
      <c r="C418" s="7"/>
      <c r="D418" s="7"/>
      <c r="E418" s="71"/>
      <c r="F418" s="7"/>
      <c r="G418" s="7"/>
      <c r="H418" s="7"/>
      <c r="I418" s="145"/>
      <c r="J418" s="7"/>
      <c r="K418" s="7"/>
      <c r="L418" s="7"/>
      <c r="M418" s="7"/>
      <c r="N418" s="7"/>
      <c r="O418" s="7"/>
      <c r="P418" s="7"/>
      <c r="Q418" s="7"/>
      <c r="R418" s="146"/>
      <c r="S418" s="146"/>
      <c r="T418" s="7"/>
      <c r="U418" s="7"/>
    </row>
    <row r="419" customFormat="false" ht="18" hidden="false" customHeight="true" outlineLevel="0" collapsed="false">
      <c r="B419" s="87"/>
      <c r="C419" s="87"/>
      <c r="D419" s="87"/>
      <c r="E419" s="142"/>
      <c r="F419" s="87"/>
      <c r="G419" s="87"/>
      <c r="H419" s="87"/>
      <c r="I419" s="143"/>
      <c r="J419" s="87"/>
      <c r="K419" s="87"/>
      <c r="L419" s="87"/>
      <c r="M419" s="87"/>
      <c r="N419" s="87"/>
      <c r="O419" s="87"/>
      <c r="P419" s="87"/>
      <c r="Q419" s="87"/>
      <c r="R419" s="144"/>
      <c r="S419" s="144"/>
      <c r="T419" s="87"/>
      <c r="U419" s="87"/>
    </row>
    <row r="420" customFormat="false" ht="18" hidden="false" customHeight="true" outlineLevel="0" collapsed="false">
      <c r="B420" s="7"/>
      <c r="C420" s="7"/>
      <c r="D420" s="7"/>
      <c r="E420" s="71"/>
      <c r="F420" s="7"/>
      <c r="G420" s="7"/>
      <c r="H420" s="7"/>
      <c r="I420" s="145"/>
      <c r="J420" s="7"/>
      <c r="K420" s="7"/>
      <c r="L420" s="7"/>
      <c r="M420" s="7"/>
      <c r="N420" s="7"/>
      <c r="O420" s="7"/>
      <c r="P420" s="7"/>
      <c r="Q420" s="7"/>
      <c r="R420" s="146"/>
      <c r="S420" s="146"/>
      <c r="T420" s="7"/>
      <c r="U420" s="7"/>
    </row>
    <row r="421" customFormat="false" ht="18" hidden="false" customHeight="true" outlineLevel="0" collapsed="false">
      <c r="B421" s="87"/>
      <c r="C421" s="87"/>
      <c r="D421" s="87"/>
      <c r="E421" s="142"/>
      <c r="F421" s="87"/>
      <c r="G421" s="87"/>
      <c r="H421" s="87"/>
      <c r="I421" s="143"/>
      <c r="J421" s="87"/>
      <c r="K421" s="87"/>
      <c r="L421" s="87"/>
      <c r="M421" s="87"/>
      <c r="N421" s="87"/>
      <c r="O421" s="87"/>
      <c r="P421" s="87"/>
      <c r="Q421" s="87"/>
      <c r="R421" s="144"/>
      <c r="S421" s="144"/>
      <c r="T421" s="87"/>
      <c r="U421" s="87"/>
    </row>
    <row r="422" customFormat="false" ht="18" hidden="false" customHeight="true" outlineLevel="0" collapsed="false">
      <c r="B422" s="7"/>
      <c r="C422" s="7"/>
      <c r="D422" s="7"/>
      <c r="E422" s="71"/>
      <c r="F422" s="7"/>
      <c r="G422" s="7"/>
      <c r="H422" s="7"/>
      <c r="I422" s="145"/>
      <c r="J422" s="7"/>
      <c r="K422" s="7"/>
      <c r="L422" s="7"/>
      <c r="M422" s="7"/>
      <c r="N422" s="7"/>
      <c r="O422" s="7"/>
      <c r="P422" s="7"/>
      <c r="Q422" s="7"/>
      <c r="R422" s="146"/>
      <c r="S422" s="146"/>
      <c r="T422" s="7"/>
      <c r="U422" s="7"/>
    </row>
    <row r="423" customFormat="false" ht="18" hidden="false" customHeight="true" outlineLevel="0" collapsed="false">
      <c r="B423" s="87"/>
      <c r="C423" s="87"/>
      <c r="D423" s="87"/>
      <c r="E423" s="142"/>
      <c r="F423" s="87"/>
      <c r="G423" s="87"/>
      <c r="H423" s="87"/>
      <c r="I423" s="143"/>
      <c r="J423" s="87"/>
      <c r="K423" s="87"/>
      <c r="L423" s="87"/>
      <c r="M423" s="87"/>
      <c r="N423" s="87"/>
      <c r="O423" s="87"/>
      <c r="P423" s="87"/>
      <c r="Q423" s="87"/>
      <c r="R423" s="144"/>
      <c r="S423" s="144"/>
      <c r="T423" s="87"/>
      <c r="U423" s="87"/>
    </row>
    <row r="424" customFormat="false" ht="18" hidden="false" customHeight="true" outlineLevel="0" collapsed="false">
      <c r="B424" s="7"/>
      <c r="C424" s="7"/>
      <c r="D424" s="7"/>
      <c r="E424" s="71"/>
      <c r="F424" s="7"/>
      <c r="G424" s="7"/>
      <c r="H424" s="7"/>
      <c r="I424" s="145"/>
      <c r="J424" s="7"/>
      <c r="K424" s="7"/>
      <c r="L424" s="7"/>
      <c r="M424" s="7"/>
      <c r="N424" s="7"/>
      <c r="O424" s="7"/>
      <c r="P424" s="7"/>
      <c r="Q424" s="7"/>
      <c r="R424" s="146"/>
      <c r="S424" s="146"/>
      <c r="T424" s="7"/>
      <c r="U424" s="7"/>
    </row>
    <row r="425" customFormat="false" ht="18" hidden="false" customHeight="true" outlineLevel="0" collapsed="false">
      <c r="B425" s="87"/>
      <c r="C425" s="87"/>
      <c r="D425" s="87"/>
      <c r="E425" s="142"/>
      <c r="F425" s="87"/>
      <c r="G425" s="87"/>
      <c r="H425" s="87"/>
      <c r="I425" s="143"/>
      <c r="J425" s="87"/>
      <c r="K425" s="87"/>
      <c r="L425" s="87"/>
      <c r="M425" s="87"/>
      <c r="N425" s="87"/>
      <c r="O425" s="87"/>
      <c r="P425" s="87"/>
      <c r="Q425" s="87"/>
      <c r="R425" s="144"/>
      <c r="S425" s="144"/>
      <c r="T425" s="87"/>
      <c r="U425" s="87"/>
    </row>
    <row r="426" customFormat="false" ht="18" hidden="false" customHeight="true" outlineLevel="0" collapsed="false">
      <c r="B426" s="7"/>
      <c r="C426" s="7"/>
      <c r="D426" s="7"/>
      <c r="E426" s="71"/>
      <c r="F426" s="7"/>
      <c r="G426" s="7"/>
      <c r="H426" s="7"/>
      <c r="I426" s="145"/>
      <c r="J426" s="7"/>
      <c r="K426" s="7"/>
      <c r="L426" s="7"/>
      <c r="M426" s="7"/>
      <c r="N426" s="7"/>
      <c r="O426" s="7"/>
      <c r="P426" s="7"/>
      <c r="Q426" s="7"/>
      <c r="R426" s="146"/>
      <c r="S426" s="146"/>
      <c r="T426" s="7"/>
      <c r="U426" s="7"/>
    </row>
    <row r="427" customFormat="false" ht="18" hidden="false" customHeight="true" outlineLevel="0" collapsed="false">
      <c r="B427" s="87"/>
      <c r="C427" s="87"/>
      <c r="D427" s="87"/>
      <c r="E427" s="142"/>
      <c r="F427" s="87"/>
      <c r="G427" s="87"/>
      <c r="H427" s="87"/>
      <c r="I427" s="143"/>
      <c r="J427" s="87"/>
      <c r="K427" s="87"/>
      <c r="L427" s="87"/>
      <c r="M427" s="87"/>
      <c r="N427" s="87"/>
      <c r="O427" s="87"/>
      <c r="P427" s="87"/>
      <c r="Q427" s="87"/>
      <c r="R427" s="144"/>
      <c r="S427" s="144"/>
      <c r="T427" s="87"/>
      <c r="U427" s="87"/>
    </row>
    <row r="428" customFormat="false" ht="18" hidden="false" customHeight="true" outlineLevel="0" collapsed="false">
      <c r="B428" s="7"/>
      <c r="C428" s="7"/>
      <c r="D428" s="7"/>
      <c r="E428" s="71"/>
      <c r="F428" s="7"/>
      <c r="G428" s="7"/>
      <c r="H428" s="7"/>
      <c r="I428" s="145"/>
      <c r="J428" s="7"/>
      <c r="K428" s="7"/>
      <c r="L428" s="7"/>
      <c r="M428" s="7"/>
      <c r="N428" s="7"/>
      <c r="O428" s="7"/>
      <c r="P428" s="7"/>
      <c r="Q428" s="7"/>
      <c r="R428" s="146"/>
      <c r="S428" s="146"/>
      <c r="T428" s="7"/>
      <c r="U428" s="7"/>
    </row>
    <row r="429" customFormat="false" ht="18" hidden="false" customHeight="true" outlineLevel="0" collapsed="false">
      <c r="B429" s="87"/>
      <c r="C429" s="87"/>
      <c r="D429" s="87"/>
      <c r="E429" s="142"/>
      <c r="F429" s="87"/>
      <c r="G429" s="87"/>
      <c r="H429" s="87"/>
      <c r="I429" s="143"/>
      <c r="J429" s="87"/>
      <c r="K429" s="87"/>
      <c r="L429" s="87"/>
      <c r="M429" s="87"/>
      <c r="N429" s="87"/>
      <c r="O429" s="87"/>
      <c r="P429" s="87"/>
      <c r="Q429" s="87"/>
      <c r="R429" s="144"/>
      <c r="S429" s="144"/>
      <c r="T429" s="87"/>
      <c r="U429" s="87"/>
    </row>
    <row r="430" customFormat="false" ht="18" hidden="false" customHeight="true" outlineLevel="0" collapsed="false">
      <c r="B430" s="7"/>
      <c r="C430" s="7"/>
      <c r="D430" s="7"/>
      <c r="E430" s="71"/>
      <c r="F430" s="7"/>
      <c r="G430" s="7"/>
      <c r="H430" s="7"/>
      <c r="I430" s="145"/>
      <c r="J430" s="7"/>
      <c r="K430" s="7"/>
      <c r="L430" s="7"/>
      <c r="M430" s="7"/>
      <c r="N430" s="7"/>
      <c r="O430" s="7"/>
      <c r="P430" s="7"/>
      <c r="Q430" s="7"/>
      <c r="R430" s="146"/>
      <c r="S430" s="146"/>
      <c r="T430" s="7"/>
      <c r="U430" s="7"/>
    </row>
    <row r="431" customFormat="false" ht="18" hidden="false" customHeight="true" outlineLevel="0" collapsed="false">
      <c r="B431" s="87"/>
      <c r="C431" s="87"/>
      <c r="D431" s="87"/>
      <c r="E431" s="142"/>
      <c r="F431" s="87"/>
      <c r="G431" s="87"/>
      <c r="H431" s="87"/>
      <c r="I431" s="143"/>
      <c r="J431" s="87"/>
      <c r="K431" s="87"/>
      <c r="L431" s="87"/>
      <c r="M431" s="87"/>
      <c r="N431" s="87"/>
      <c r="O431" s="87"/>
      <c r="P431" s="87"/>
      <c r="Q431" s="87"/>
      <c r="R431" s="144"/>
      <c r="S431" s="144"/>
      <c r="T431" s="87"/>
      <c r="U431" s="87"/>
    </row>
    <row r="432" customFormat="false" ht="18" hidden="false" customHeight="true" outlineLevel="0" collapsed="false">
      <c r="B432" s="7"/>
      <c r="C432" s="7"/>
      <c r="D432" s="7"/>
      <c r="E432" s="71"/>
      <c r="F432" s="7"/>
      <c r="G432" s="7"/>
      <c r="H432" s="7"/>
      <c r="I432" s="145"/>
      <c r="J432" s="7"/>
      <c r="K432" s="7"/>
      <c r="L432" s="7"/>
      <c r="M432" s="7"/>
      <c r="N432" s="7"/>
      <c r="O432" s="7"/>
      <c r="P432" s="7"/>
      <c r="Q432" s="7"/>
      <c r="R432" s="146"/>
      <c r="S432" s="146"/>
      <c r="T432" s="7"/>
      <c r="U432" s="7"/>
    </row>
    <row r="433" customFormat="false" ht="18" hidden="false" customHeight="true" outlineLevel="0" collapsed="false">
      <c r="B433" s="87"/>
      <c r="C433" s="87"/>
      <c r="D433" s="87"/>
      <c r="E433" s="142"/>
      <c r="F433" s="87"/>
      <c r="G433" s="87"/>
      <c r="H433" s="87"/>
      <c r="I433" s="143"/>
      <c r="J433" s="87"/>
      <c r="K433" s="87"/>
      <c r="L433" s="87"/>
      <c r="M433" s="87"/>
      <c r="N433" s="87"/>
      <c r="O433" s="87"/>
      <c r="P433" s="87"/>
      <c r="Q433" s="87"/>
      <c r="R433" s="144"/>
      <c r="S433" s="144"/>
      <c r="T433" s="87"/>
      <c r="U433" s="87"/>
    </row>
    <row r="434" customFormat="false" ht="18" hidden="false" customHeight="true" outlineLevel="0" collapsed="false">
      <c r="B434" s="7"/>
      <c r="C434" s="7"/>
      <c r="D434" s="7"/>
      <c r="E434" s="71"/>
      <c r="F434" s="7"/>
      <c r="G434" s="7"/>
      <c r="H434" s="7"/>
      <c r="I434" s="145"/>
      <c r="J434" s="7"/>
      <c r="K434" s="7"/>
      <c r="L434" s="7"/>
      <c r="M434" s="7"/>
      <c r="N434" s="7"/>
      <c r="O434" s="7"/>
      <c r="P434" s="7"/>
      <c r="Q434" s="7"/>
      <c r="R434" s="146"/>
      <c r="S434" s="146"/>
      <c r="T434" s="7"/>
      <c r="U434" s="7"/>
    </row>
    <row r="435" customFormat="false" ht="18" hidden="false" customHeight="true" outlineLevel="0" collapsed="false">
      <c r="B435" s="87"/>
      <c r="C435" s="87"/>
      <c r="D435" s="87"/>
      <c r="E435" s="142"/>
      <c r="F435" s="87"/>
      <c r="G435" s="87"/>
      <c r="H435" s="87"/>
      <c r="I435" s="143"/>
      <c r="J435" s="87"/>
      <c r="K435" s="87"/>
      <c r="L435" s="87"/>
      <c r="M435" s="87"/>
      <c r="N435" s="87"/>
      <c r="O435" s="87"/>
      <c r="P435" s="87"/>
      <c r="Q435" s="87"/>
      <c r="R435" s="144"/>
      <c r="S435" s="144"/>
      <c r="T435" s="87"/>
      <c r="U435" s="87"/>
    </row>
    <row r="436" customFormat="false" ht="18" hidden="false" customHeight="true" outlineLevel="0" collapsed="false">
      <c r="B436" s="7"/>
      <c r="C436" s="7"/>
      <c r="D436" s="7"/>
      <c r="E436" s="71"/>
      <c r="F436" s="7"/>
      <c r="G436" s="7"/>
      <c r="H436" s="7"/>
      <c r="I436" s="145"/>
      <c r="J436" s="7"/>
      <c r="K436" s="7"/>
      <c r="L436" s="7"/>
      <c r="M436" s="7"/>
      <c r="N436" s="7"/>
      <c r="O436" s="7"/>
      <c r="P436" s="7"/>
      <c r="Q436" s="7"/>
      <c r="R436" s="146"/>
      <c r="S436" s="146"/>
      <c r="T436" s="7"/>
      <c r="U436" s="7"/>
    </row>
    <row r="437" customFormat="false" ht="18" hidden="false" customHeight="true" outlineLevel="0" collapsed="false">
      <c r="B437" s="87"/>
      <c r="C437" s="87"/>
      <c r="D437" s="87"/>
      <c r="E437" s="142"/>
      <c r="F437" s="87"/>
      <c r="G437" s="87"/>
      <c r="H437" s="87"/>
      <c r="I437" s="143"/>
      <c r="J437" s="87"/>
      <c r="K437" s="87"/>
      <c r="L437" s="87"/>
      <c r="M437" s="87"/>
      <c r="N437" s="87"/>
      <c r="O437" s="87"/>
      <c r="P437" s="87"/>
      <c r="Q437" s="87"/>
      <c r="R437" s="144"/>
      <c r="S437" s="144"/>
      <c r="T437" s="87"/>
      <c r="U437" s="87"/>
    </row>
    <row r="438" customFormat="false" ht="18" hidden="false" customHeight="true" outlineLevel="0" collapsed="false">
      <c r="B438" s="7"/>
      <c r="C438" s="7"/>
      <c r="D438" s="7"/>
      <c r="E438" s="71"/>
      <c r="F438" s="7"/>
      <c r="G438" s="7"/>
      <c r="H438" s="7"/>
      <c r="I438" s="145"/>
      <c r="J438" s="7"/>
      <c r="K438" s="7"/>
      <c r="L438" s="7"/>
      <c r="M438" s="7"/>
      <c r="N438" s="7"/>
      <c r="O438" s="7"/>
      <c r="P438" s="7"/>
      <c r="Q438" s="7"/>
      <c r="R438" s="146"/>
      <c r="S438" s="146"/>
      <c r="T438" s="7"/>
      <c r="U438" s="7"/>
    </row>
    <row r="439" customFormat="false" ht="18" hidden="false" customHeight="true" outlineLevel="0" collapsed="false">
      <c r="B439" s="87"/>
      <c r="C439" s="87"/>
      <c r="D439" s="87"/>
      <c r="E439" s="142"/>
      <c r="F439" s="87"/>
      <c r="G439" s="87"/>
      <c r="H439" s="87"/>
      <c r="I439" s="143"/>
      <c r="J439" s="87"/>
      <c r="K439" s="87"/>
      <c r="L439" s="87"/>
      <c r="M439" s="87"/>
      <c r="N439" s="87"/>
      <c r="O439" s="87"/>
      <c r="P439" s="87"/>
      <c r="Q439" s="87"/>
      <c r="R439" s="144"/>
      <c r="S439" s="144"/>
      <c r="T439" s="87"/>
      <c r="U439" s="87"/>
    </row>
    <row r="440" customFormat="false" ht="18" hidden="false" customHeight="true" outlineLevel="0" collapsed="false">
      <c r="B440" s="7"/>
      <c r="C440" s="7"/>
      <c r="D440" s="7"/>
      <c r="E440" s="71"/>
      <c r="F440" s="7"/>
      <c r="G440" s="7"/>
      <c r="H440" s="7"/>
      <c r="I440" s="145"/>
      <c r="J440" s="7"/>
      <c r="K440" s="7"/>
      <c r="L440" s="7"/>
      <c r="M440" s="7"/>
      <c r="N440" s="7"/>
      <c r="O440" s="7"/>
      <c r="P440" s="7"/>
      <c r="Q440" s="7"/>
      <c r="R440" s="146"/>
      <c r="S440" s="146"/>
      <c r="T440" s="7"/>
      <c r="U440" s="7"/>
    </row>
    <row r="441" customFormat="false" ht="18" hidden="false" customHeight="true" outlineLevel="0" collapsed="false">
      <c r="B441" s="87"/>
      <c r="C441" s="87"/>
      <c r="D441" s="87"/>
      <c r="E441" s="142"/>
      <c r="F441" s="87"/>
      <c r="G441" s="87"/>
      <c r="H441" s="87"/>
      <c r="I441" s="143"/>
      <c r="J441" s="87"/>
      <c r="K441" s="87"/>
      <c r="L441" s="87"/>
      <c r="M441" s="87"/>
      <c r="N441" s="87"/>
      <c r="O441" s="87"/>
      <c r="P441" s="87"/>
      <c r="Q441" s="87"/>
      <c r="R441" s="144"/>
      <c r="S441" s="144"/>
      <c r="T441" s="87"/>
      <c r="U441" s="87"/>
    </row>
    <row r="442" customFormat="false" ht="18" hidden="false" customHeight="true" outlineLevel="0" collapsed="false">
      <c r="B442" s="7"/>
      <c r="C442" s="7"/>
      <c r="D442" s="7"/>
      <c r="E442" s="71"/>
      <c r="F442" s="7"/>
      <c r="G442" s="7"/>
      <c r="H442" s="7"/>
      <c r="I442" s="145"/>
      <c r="J442" s="7"/>
      <c r="K442" s="7"/>
      <c r="L442" s="7"/>
      <c r="M442" s="7"/>
      <c r="N442" s="7"/>
      <c r="O442" s="7"/>
      <c r="P442" s="7"/>
      <c r="Q442" s="7"/>
      <c r="R442" s="146"/>
      <c r="S442" s="146"/>
      <c r="T442" s="7"/>
      <c r="U442" s="7"/>
    </row>
    <row r="443" customFormat="false" ht="18" hidden="false" customHeight="true" outlineLevel="0" collapsed="false">
      <c r="B443" s="87"/>
      <c r="C443" s="87"/>
      <c r="D443" s="87"/>
      <c r="E443" s="142"/>
      <c r="F443" s="87"/>
      <c r="G443" s="87"/>
      <c r="H443" s="87"/>
      <c r="I443" s="143"/>
      <c r="J443" s="87"/>
      <c r="K443" s="87"/>
      <c r="L443" s="87"/>
      <c r="M443" s="87"/>
      <c r="N443" s="87"/>
      <c r="O443" s="87"/>
      <c r="P443" s="87"/>
      <c r="Q443" s="87"/>
      <c r="R443" s="144"/>
      <c r="S443" s="144"/>
      <c r="T443" s="87"/>
      <c r="U443" s="87"/>
    </row>
    <row r="444" customFormat="false" ht="18" hidden="false" customHeight="true" outlineLevel="0" collapsed="false">
      <c r="B444" s="7"/>
      <c r="C444" s="7"/>
      <c r="D444" s="7"/>
      <c r="E444" s="71"/>
      <c r="F444" s="7"/>
      <c r="G444" s="7"/>
      <c r="H444" s="7"/>
      <c r="I444" s="145"/>
      <c r="J444" s="7"/>
      <c r="K444" s="7"/>
      <c r="L444" s="7"/>
      <c r="M444" s="7"/>
      <c r="N444" s="7"/>
      <c r="O444" s="7"/>
      <c r="P444" s="7"/>
      <c r="Q444" s="7"/>
      <c r="R444" s="146"/>
      <c r="S444" s="146"/>
      <c r="T444" s="7"/>
      <c r="U444" s="7"/>
    </row>
    <row r="445" customFormat="false" ht="18" hidden="false" customHeight="true" outlineLevel="0" collapsed="false">
      <c r="B445" s="87"/>
      <c r="C445" s="87"/>
      <c r="D445" s="87"/>
      <c r="E445" s="142"/>
      <c r="F445" s="87"/>
      <c r="G445" s="87"/>
      <c r="H445" s="87"/>
      <c r="I445" s="143"/>
      <c r="J445" s="87"/>
      <c r="K445" s="87"/>
      <c r="L445" s="87"/>
      <c r="M445" s="87"/>
      <c r="N445" s="87"/>
      <c r="O445" s="87"/>
      <c r="P445" s="87"/>
      <c r="Q445" s="87"/>
      <c r="R445" s="144"/>
      <c r="S445" s="144"/>
      <c r="T445" s="87"/>
      <c r="U445" s="87"/>
    </row>
    <row r="446" customFormat="false" ht="18" hidden="false" customHeight="true" outlineLevel="0" collapsed="false">
      <c r="B446" s="7"/>
      <c r="C446" s="7"/>
      <c r="D446" s="7"/>
      <c r="E446" s="71"/>
      <c r="F446" s="7"/>
      <c r="G446" s="7"/>
      <c r="H446" s="7"/>
      <c r="I446" s="145"/>
      <c r="J446" s="7"/>
      <c r="K446" s="7"/>
      <c r="L446" s="7"/>
      <c r="M446" s="7"/>
      <c r="N446" s="7"/>
      <c r="O446" s="7"/>
      <c r="P446" s="7"/>
      <c r="Q446" s="7"/>
      <c r="R446" s="146"/>
      <c r="S446" s="146"/>
      <c r="T446" s="7"/>
      <c r="U446" s="7"/>
    </row>
    <row r="447" customFormat="false" ht="18" hidden="false" customHeight="true" outlineLevel="0" collapsed="false">
      <c r="B447" s="87"/>
      <c r="C447" s="87"/>
      <c r="D447" s="87"/>
      <c r="E447" s="142"/>
      <c r="F447" s="87"/>
      <c r="G447" s="87"/>
      <c r="H447" s="87"/>
      <c r="I447" s="143"/>
      <c r="J447" s="87"/>
      <c r="K447" s="87"/>
      <c r="L447" s="87"/>
      <c r="M447" s="87"/>
      <c r="N447" s="87"/>
      <c r="O447" s="87"/>
      <c r="P447" s="87"/>
      <c r="Q447" s="87"/>
      <c r="R447" s="144"/>
      <c r="S447" s="144"/>
      <c r="T447" s="87"/>
      <c r="U447" s="87"/>
    </row>
    <row r="448" customFormat="false" ht="18" hidden="false" customHeight="true" outlineLevel="0" collapsed="false">
      <c r="B448" s="7"/>
      <c r="C448" s="7"/>
      <c r="D448" s="7"/>
      <c r="E448" s="71"/>
      <c r="F448" s="7"/>
      <c r="G448" s="7"/>
      <c r="H448" s="7"/>
      <c r="I448" s="145"/>
      <c r="J448" s="7"/>
      <c r="K448" s="7"/>
      <c r="L448" s="7"/>
      <c r="M448" s="7"/>
      <c r="N448" s="7"/>
      <c r="O448" s="7"/>
      <c r="P448" s="7"/>
      <c r="Q448" s="7"/>
      <c r="R448" s="146"/>
      <c r="S448" s="146"/>
      <c r="T448" s="7"/>
      <c r="U448" s="7"/>
    </row>
    <row r="449" customFormat="false" ht="18" hidden="false" customHeight="true" outlineLevel="0" collapsed="false">
      <c r="B449" s="87"/>
      <c r="C449" s="87"/>
      <c r="D449" s="87"/>
      <c r="E449" s="142"/>
      <c r="F449" s="87"/>
      <c r="G449" s="87"/>
      <c r="H449" s="87"/>
      <c r="I449" s="143"/>
      <c r="J449" s="87"/>
      <c r="K449" s="87"/>
      <c r="L449" s="87"/>
      <c r="M449" s="87"/>
      <c r="N449" s="87"/>
      <c r="O449" s="87"/>
      <c r="P449" s="87"/>
      <c r="Q449" s="87"/>
      <c r="R449" s="144"/>
      <c r="S449" s="144"/>
      <c r="T449" s="87"/>
      <c r="U449" s="87"/>
    </row>
    <row r="450" customFormat="false" ht="18" hidden="false" customHeight="true" outlineLevel="0" collapsed="false">
      <c r="B450" s="7"/>
      <c r="C450" s="7"/>
      <c r="D450" s="7"/>
      <c r="E450" s="71"/>
      <c r="F450" s="7"/>
      <c r="G450" s="7"/>
      <c r="H450" s="7"/>
      <c r="I450" s="145"/>
      <c r="J450" s="7"/>
      <c r="K450" s="7"/>
      <c r="L450" s="7"/>
      <c r="M450" s="7"/>
      <c r="N450" s="7"/>
      <c r="O450" s="7"/>
      <c r="P450" s="7"/>
      <c r="Q450" s="7"/>
      <c r="R450" s="146"/>
      <c r="S450" s="146"/>
      <c r="T450" s="7"/>
      <c r="U450" s="7"/>
    </row>
    <row r="451" customFormat="false" ht="18" hidden="false" customHeight="true" outlineLevel="0" collapsed="false">
      <c r="B451" s="87"/>
      <c r="C451" s="87"/>
      <c r="D451" s="87"/>
      <c r="E451" s="142"/>
      <c r="F451" s="87"/>
      <c r="G451" s="87"/>
      <c r="H451" s="87"/>
      <c r="I451" s="143"/>
      <c r="J451" s="87"/>
      <c r="K451" s="87"/>
      <c r="L451" s="87"/>
      <c r="M451" s="87"/>
      <c r="N451" s="87"/>
      <c r="O451" s="87"/>
      <c r="P451" s="87"/>
      <c r="Q451" s="87"/>
      <c r="R451" s="144"/>
      <c r="S451" s="144"/>
      <c r="T451" s="87"/>
      <c r="U451" s="87"/>
    </row>
    <row r="452" customFormat="false" ht="18" hidden="false" customHeight="true" outlineLevel="0" collapsed="false">
      <c r="B452" s="7"/>
      <c r="C452" s="7"/>
      <c r="D452" s="7"/>
      <c r="E452" s="71"/>
      <c r="F452" s="7"/>
      <c r="G452" s="7"/>
      <c r="H452" s="7"/>
      <c r="I452" s="145"/>
      <c r="J452" s="7"/>
      <c r="K452" s="7"/>
      <c r="L452" s="7"/>
      <c r="M452" s="7"/>
      <c r="N452" s="7"/>
      <c r="O452" s="7"/>
      <c r="P452" s="7"/>
      <c r="Q452" s="7"/>
      <c r="R452" s="146"/>
      <c r="S452" s="146"/>
      <c r="T452" s="7"/>
      <c r="U452" s="7"/>
    </row>
    <row r="453" customFormat="false" ht="18" hidden="false" customHeight="true" outlineLevel="0" collapsed="false">
      <c r="B453" s="87"/>
      <c r="C453" s="87"/>
      <c r="D453" s="87"/>
      <c r="E453" s="142"/>
      <c r="F453" s="87"/>
      <c r="G453" s="87"/>
      <c r="H453" s="87"/>
      <c r="I453" s="143"/>
      <c r="J453" s="87"/>
      <c r="K453" s="87"/>
      <c r="L453" s="87"/>
      <c r="M453" s="87"/>
      <c r="N453" s="87"/>
      <c r="O453" s="87"/>
      <c r="P453" s="87"/>
      <c r="Q453" s="87"/>
      <c r="R453" s="144"/>
      <c r="S453" s="144"/>
      <c r="T453" s="87"/>
      <c r="U453" s="87"/>
    </row>
    <row r="454" customFormat="false" ht="18" hidden="false" customHeight="true" outlineLevel="0" collapsed="false">
      <c r="B454" s="7"/>
      <c r="C454" s="7"/>
      <c r="D454" s="7"/>
      <c r="E454" s="71"/>
      <c r="F454" s="7"/>
      <c r="G454" s="7"/>
      <c r="H454" s="7"/>
      <c r="I454" s="145"/>
      <c r="J454" s="7"/>
      <c r="K454" s="7"/>
      <c r="L454" s="7"/>
      <c r="M454" s="7"/>
      <c r="N454" s="7"/>
      <c r="O454" s="7"/>
      <c r="P454" s="7"/>
      <c r="Q454" s="7"/>
      <c r="R454" s="146"/>
      <c r="S454" s="146"/>
      <c r="T454" s="7"/>
      <c r="U454" s="7"/>
    </row>
    <row r="455" customFormat="false" ht="18" hidden="false" customHeight="true" outlineLevel="0" collapsed="false">
      <c r="B455" s="87"/>
      <c r="C455" s="87"/>
      <c r="D455" s="87"/>
      <c r="E455" s="142"/>
      <c r="F455" s="87"/>
      <c r="G455" s="87"/>
      <c r="H455" s="87"/>
      <c r="I455" s="143"/>
      <c r="J455" s="87"/>
      <c r="K455" s="87"/>
      <c r="L455" s="87"/>
      <c r="M455" s="87"/>
      <c r="N455" s="87"/>
      <c r="O455" s="87"/>
      <c r="P455" s="87"/>
      <c r="Q455" s="87"/>
      <c r="R455" s="144"/>
      <c r="S455" s="144"/>
      <c r="T455" s="87"/>
      <c r="U455" s="87"/>
    </row>
    <row r="456" customFormat="false" ht="18" hidden="false" customHeight="true" outlineLevel="0" collapsed="false">
      <c r="B456" s="7"/>
      <c r="C456" s="7"/>
      <c r="D456" s="7"/>
      <c r="E456" s="71"/>
      <c r="F456" s="7"/>
      <c r="G456" s="7"/>
      <c r="H456" s="7"/>
      <c r="I456" s="145"/>
      <c r="J456" s="7"/>
      <c r="K456" s="7"/>
      <c r="L456" s="7"/>
      <c r="M456" s="7"/>
      <c r="N456" s="7"/>
      <c r="O456" s="7"/>
      <c r="P456" s="7"/>
      <c r="Q456" s="7"/>
      <c r="R456" s="146"/>
      <c r="S456" s="146"/>
      <c r="T456" s="7"/>
      <c r="U456" s="7"/>
    </row>
    <row r="457" customFormat="false" ht="18" hidden="false" customHeight="true" outlineLevel="0" collapsed="false">
      <c r="B457" s="87"/>
      <c r="C457" s="87"/>
      <c r="D457" s="87"/>
      <c r="E457" s="142"/>
      <c r="F457" s="87"/>
      <c r="G457" s="87"/>
      <c r="H457" s="87"/>
      <c r="I457" s="143"/>
      <c r="J457" s="87"/>
      <c r="K457" s="87"/>
      <c r="L457" s="87"/>
      <c r="M457" s="87"/>
      <c r="N457" s="87"/>
      <c r="O457" s="87"/>
      <c r="P457" s="87"/>
      <c r="Q457" s="87"/>
      <c r="R457" s="144"/>
      <c r="S457" s="144"/>
      <c r="T457" s="87"/>
      <c r="U457" s="87"/>
    </row>
    <row r="458" customFormat="false" ht="18" hidden="false" customHeight="true" outlineLevel="0" collapsed="false">
      <c r="B458" s="7"/>
      <c r="C458" s="7"/>
      <c r="D458" s="7"/>
      <c r="E458" s="71"/>
      <c r="F458" s="7"/>
      <c r="G458" s="7"/>
      <c r="H458" s="7"/>
      <c r="I458" s="145"/>
      <c r="J458" s="7"/>
      <c r="K458" s="7"/>
      <c r="L458" s="7"/>
      <c r="M458" s="7"/>
      <c r="N458" s="7"/>
      <c r="O458" s="7"/>
      <c r="P458" s="7"/>
      <c r="Q458" s="7"/>
      <c r="R458" s="146"/>
      <c r="S458" s="146"/>
      <c r="T458" s="7"/>
      <c r="U458" s="7"/>
    </row>
    <row r="459" customFormat="false" ht="18" hidden="false" customHeight="true" outlineLevel="0" collapsed="false">
      <c r="B459" s="87"/>
      <c r="C459" s="87"/>
      <c r="D459" s="87"/>
      <c r="E459" s="142"/>
      <c r="F459" s="87"/>
      <c r="G459" s="87"/>
      <c r="H459" s="87"/>
      <c r="I459" s="143"/>
      <c r="J459" s="87"/>
      <c r="K459" s="87"/>
      <c r="L459" s="87"/>
      <c r="M459" s="87"/>
      <c r="N459" s="87"/>
      <c r="O459" s="87"/>
      <c r="P459" s="87"/>
      <c r="Q459" s="87"/>
      <c r="R459" s="144"/>
      <c r="S459" s="144"/>
      <c r="T459" s="87"/>
      <c r="U459" s="87"/>
    </row>
    <row r="460" customFormat="false" ht="18" hidden="false" customHeight="true" outlineLevel="0" collapsed="false">
      <c r="B460" s="7"/>
      <c r="C460" s="7"/>
      <c r="D460" s="7"/>
      <c r="E460" s="71"/>
      <c r="F460" s="7"/>
      <c r="G460" s="7"/>
      <c r="H460" s="7"/>
      <c r="I460" s="145"/>
      <c r="J460" s="7"/>
      <c r="K460" s="7"/>
      <c r="L460" s="7"/>
      <c r="M460" s="7"/>
      <c r="N460" s="7"/>
      <c r="O460" s="7"/>
      <c r="P460" s="7"/>
      <c r="Q460" s="7"/>
      <c r="R460" s="146"/>
      <c r="S460" s="146"/>
      <c r="T460" s="7"/>
      <c r="U460" s="7"/>
    </row>
    <row r="461" customFormat="false" ht="18" hidden="false" customHeight="true" outlineLevel="0" collapsed="false">
      <c r="B461" s="87"/>
      <c r="C461" s="87"/>
      <c r="D461" s="87"/>
      <c r="E461" s="142"/>
      <c r="F461" s="87"/>
      <c r="G461" s="87"/>
      <c r="H461" s="87"/>
      <c r="I461" s="143"/>
      <c r="J461" s="87"/>
      <c r="K461" s="87"/>
      <c r="L461" s="87"/>
      <c r="M461" s="87"/>
      <c r="N461" s="87"/>
      <c r="O461" s="87"/>
      <c r="P461" s="87"/>
      <c r="Q461" s="87"/>
      <c r="R461" s="144"/>
      <c r="S461" s="144"/>
      <c r="T461" s="87"/>
      <c r="U461" s="87"/>
    </row>
    <row r="462" customFormat="false" ht="18" hidden="false" customHeight="true" outlineLevel="0" collapsed="false">
      <c r="B462" s="7"/>
      <c r="C462" s="7"/>
      <c r="D462" s="7"/>
      <c r="E462" s="71"/>
      <c r="F462" s="7"/>
      <c r="G462" s="7"/>
      <c r="H462" s="7"/>
      <c r="I462" s="145"/>
      <c r="J462" s="7"/>
      <c r="K462" s="7"/>
      <c r="L462" s="7"/>
      <c r="M462" s="7"/>
      <c r="N462" s="7"/>
      <c r="O462" s="7"/>
      <c r="P462" s="7"/>
      <c r="Q462" s="7"/>
      <c r="R462" s="146"/>
      <c r="S462" s="146"/>
      <c r="T462" s="7"/>
      <c r="U462" s="7"/>
    </row>
    <row r="463" customFormat="false" ht="18" hidden="false" customHeight="true" outlineLevel="0" collapsed="false">
      <c r="B463" s="87"/>
      <c r="C463" s="87"/>
      <c r="D463" s="87"/>
      <c r="E463" s="142"/>
      <c r="F463" s="87"/>
      <c r="G463" s="87"/>
      <c r="H463" s="87"/>
      <c r="I463" s="143"/>
      <c r="J463" s="87"/>
      <c r="K463" s="87"/>
      <c r="L463" s="87"/>
      <c r="M463" s="87"/>
      <c r="N463" s="87"/>
      <c r="O463" s="87"/>
      <c r="P463" s="87"/>
      <c r="Q463" s="87"/>
      <c r="R463" s="144"/>
      <c r="S463" s="144"/>
      <c r="T463" s="87"/>
      <c r="U463" s="87"/>
    </row>
    <row r="464" customFormat="false" ht="18" hidden="false" customHeight="true" outlineLevel="0" collapsed="false">
      <c r="B464" s="7"/>
      <c r="C464" s="7"/>
      <c r="D464" s="7"/>
      <c r="E464" s="71"/>
      <c r="F464" s="7"/>
      <c r="G464" s="7"/>
      <c r="H464" s="7"/>
      <c r="I464" s="145"/>
      <c r="J464" s="7"/>
      <c r="K464" s="7"/>
      <c r="L464" s="7"/>
      <c r="M464" s="7"/>
      <c r="N464" s="7"/>
      <c r="O464" s="7"/>
      <c r="P464" s="7"/>
      <c r="Q464" s="7"/>
      <c r="R464" s="146"/>
      <c r="S464" s="146"/>
      <c r="T464" s="7"/>
      <c r="U464" s="7"/>
    </row>
    <row r="465" customFormat="false" ht="18" hidden="false" customHeight="true" outlineLevel="0" collapsed="false">
      <c r="B465" s="87"/>
      <c r="C465" s="87"/>
      <c r="D465" s="87"/>
      <c r="E465" s="142"/>
      <c r="F465" s="87"/>
      <c r="G465" s="87"/>
      <c r="H465" s="87"/>
      <c r="I465" s="143"/>
      <c r="J465" s="87"/>
      <c r="K465" s="87"/>
      <c r="L465" s="87"/>
      <c r="M465" s="87"/>
      <c r="N465" s="87"/>
      <c r="O465" s="87"/>
      <c r="P465" s="87"/>
      <c r="Q465" s="87"/>
      <c r="R465" s="144"/>
      <c r="S465" s="144"/>
      <c r="T465" s="87"/>
      <c r="U465" s="87"/>
    </row>
    <row r="466" customFormat="false" ht="18" hidden="false" customHeight="true" outlineLevel="0" collapsed="false">
      <c r="B466" s="7"/>
      <c r="C466" s="7"/>
      <c r="D466" s="7"/>
      <c r="E466" s="71"/>
      <c r="F466" s="7"/>
      <c r="G466" s="7"/>
      <c r="H466" s="7"/>
      <c r="I466" s="145"/>
      <c r="J466" s="7"/>
      <c r="K466" s="7"/>
      <c r="L466" s="7"/>
      <c r="M466" s="7"/>
      <c r="N466" s="7"/>
      <c r="O466" s="7"/>
      <c r="P466" s="7"/>
      <c r="Q466" s="7"/>
      <c r="R466" s="146"/>
      <c r="S466" s="146"/>
      <c r="T466" s="7"/>
      <c r="U466" s="7"/>
    </row>
    <row r="467" customFormat="false" ht="18" hidden="false" customHeight="true" outlineLevel="0" collapsed="false">
      <c r="B467" s="87"/>
      <c r="C467" s="87"/>
      <c r="D467" s="87"/>
      <c r="E467" s="142"/>
      <c r="F467" s="87"/>
      <c r="G467" s="87"/>
      <c r="H467" s="87"/>
      <c r="I467" s="143"/>
      <c r="J467" s="87"/>
      <c r="K467" s="87"/>
      <c r="L467" s="87"/>
      <c r="M467" s="87"/>
      <c r="N467" s="87"/>
      <c r="O467" s="87"/>
      <c r="P467" s="87"/>
      <c r="Q467" s="87"/>
      <c r="R467" s="144"/>
      <c r="S467" s="144"/>
      <c r="T467" s="87"/>
      <c r="U467" s="87"/>
    </row>
    <row r="468" customFormat="false" ht="18" hidden="false" customHeight="true" outlineLevel="0" collapsed="false">
      <c r="B468" s="7"/>
      <c r="C468" s="7"/>
      <c r="D468" s="7"/>
      <c r="E468" s="71"/>
      <c r="F468" s="7"/>
      <c r="G468" s="7"/>
      <c r="H468" s="7"/>
      <c r="I468" s="145"/>
      <c r="J468" s="7"/>
      <c r="K468" s="7"/>
      <c r="L468" s="7"/>
      <c r="M468" s="7"/>
      <c r="N468" s="7"/>
      <c r="O468" s="7"/>
      <c r="P468" s="7"/>
      <c r="Q468" s="7"/>
      <c r="R468" s="146"/>
      <c r="S468" s="146"/>
      <c r="T468" s="7"/>
      <c r="U468" s="7"/>
    </row>
    <row r="469" customFormat="false" ht="18" hidden="false" customHeight="true" outlineLevel="0" collapsed="false">
      <c r="B469" s="87"/>
      <c r="C469" s="87"/>
      <c r="D469" s="87"/>
      <c r="E469" s="142"/>
      <c r="F469" s="87"/>
      <c r="G469" s="87"/>
      <c r="H469" s="87"/>
      <c r="I469" s="143"/>
      <c r="J469" s="87"/>
      <c r="K469" s="87"/>
      <c r="L469" s="87"/>
      <c r="M469" s="87"/>
      <c r="N469" s="87"/>
      <c r="O469" s="87"/>
      <c r="P469" s="87"/>
      <c r="Q469" s="87"/>
      <c r="R469" s="144"/>
      <c r="S469" s="144"/>
      <c r="T469" s="87"/>
      <c r="U469" s="87"/>
    </row>
    <row r="470" customFormat="false" ht="18" hidden="false" customHeight="true" outlineLevel="0" collapsed="false">
      <c r="B470" s="7"/>
      <c r="C470" s="7"/>
      <c r="D470" s="7"/>
      <c r="E470" s="71"/>
      <c r="F470" s="7"/>
      <c r="G470" s="7"/>
      <c r="H470" s="7"/>
      <c r="I470" s="145"/>
      <c r="J470" s="7"/>
      <c r="K470" s="7"/>
      <c r="L470" s="7"/>
      <c r="M470" s="7"/>
      <c r="N470" s="7"/>
      <c r="O470" s="7"/>
      <c r="P470" s="7"/>
      <c r="Q470" s="7"/>
      <c r="R470" s="146"/>
      <c r="S470" s="146"/>
      <c r="T470" s="7"/>
      <c r="U470" s="7"/>
    </row>
    <row r="471" customFormat="false" ht="18" hidden="false" customHeight="true" outlineLevel="0" collapsed="false">
      <c r="B471" s="87"/>
      <c r="C471" s="87"/>
      <c r="D471" s="87"/>
      <c r="E471" s="142"/>
      <c r="F471" s="87"/>
      <c r="G471" s="87"/>
      <c r="H471" s="87"/>
      <c r="I471" s="143"/>
      <c r="J471" s="87"/>
      <c r="K471" s="87"/>
      <c r="L471" s="87"/>
      <c r="M471" s="87"/>
      <c r="N471" s="87"/>
      <c r="O471" s="87"/>
      <c r="P471" s="87"/>
      <c r="Q471" s="87"/>
      <c r="R471" s="144"/>
      <c r="S471" s="144"/>
      <c r="T471" s="87"/>
      <c r="U471" s="87"/>
    </row>
    <row r="472" customFormat="false" ht="18" hidden="false" customHeight="true" outlineLevel="0" collapsed="false">
      <c r="B472" s="7"/>
      <c r="C472" s="7"/>
      <c r="D472" s="7"/>
      <c r="E472" s="71"/>
      <c r="F472" s="7"/>
      <c r="G472" s="7"/>
      <c r="H472" s="7"/>
      <c r="I472" s="145"/>
      <c r="J472" s="7"/>
      <c r="K472" s="7"/>
      <c r="L472" s="7"/>
      <c r="M472" s="7"/>
      <c r="N472" s="7"/>
      <c r="O472" s="7"/>
      <c r="P472" s="7"/>
      <c r="Q472" s="7"/>
      <c r="R472" s="146"/>
      <c r="S472" s="146"/>
      <c r="T472" s="7"/>
      <c r="U472" s="7"/>
    </row>
    <row r="473" customFormat="false" ht="18" hidden="false" customHeight="true" outlineLevel="0" collapsed="false">
      <c r="B473" s="87"/>
      <c r="C473" s="87"/>
      <c r="D473" s="87"/>
      <c r="E473" s="142"/>
      <c r="F473" s="87"/>
      <c r="G473" s="87"/>
      <c r="H473" s="87"/>
      <c r="I473" s="143"/>
      <c r="J473" s="87"/>
      <c r="K473" s="87"/>
      <c r="L473" s="87"/>
      <c r="M473" s="87"/>
      <c r="N473" s="87"/>
      <c r="O473" s="87"/>
      <c r="P473" s="87"/>
      <c r="Q473" s="87"/>
      <c r="R473" s="144"/>
      <c r="S473" s="144"/>
      <c r="T473" s="87"/>
      <c r="U473" s="87"/>
    </row>
    <row r="474" customFormat="false" ht="18" hidden="false" customHeight="true" outlineLevel="0" collapsed="false">
      <c r="B474" s="7"/>
      <c r="C474" s="7"/>
      <c r="D474" s="7"/>
      <c r="E474" s="71"/>
      <c r="F474" s="7"/>
      <c r="G474" s="7"/>
      <c r="H474" s="7"/>
      <c r="I474" s="145"/>
      <c r="J474" s="7"/>
      <c r="K474" s="7"/>
      <c r="L474" s="7"/>
      <c r="M474" s="7"/>
      <c r="N474" s="7"/>
      <c r="O474" s="7"/>
      <c r="P474" s="7"/>
      <c r="Q474" s="7"/>
      <c r="R474" s="146"/>
      <c r="S474" s="146"/>
      <c r="T474" s="7"/>
      <c r="U474" s="7"/>
    </row>
    <row r="475" customFormat="false" ht="18" hidden="false" customHeight="true" outlineLevel="0" collapsed="false">
      <c r="B475" s="87"/>
      <c r="C475" s="87"/>
      <c r="D475" s="87"/>
      <c r="E475" s="142"/>
      <c r="F475" s="87"/>
      <c r="G475" s="87"/>
      <c r="H475" s="87"/>
      <c r="I475" s="143"/>
      <c r="J475" s="87"/>
      <c r="K475" s="87"/>
      <c r="L475" s="87"/>
      <c r="M475" s="87"/>
      <c r="N475" s="87"/>
      <c r="O475" s="87"/>
      <c r="P475" s="87"/>
      <c r="Q475" s="87"/>
      <c r="R475" s="144"/>
      <c r="S475" s="144"/>
      <c r="T475" s="87"/>
      <c r="U475" s="87"/>
    </row>
    <row r="476" customFormat="false" ht="18" hidden="false" customHeight="true" outlineLevel="0" collapsed="false">
      <c r="B476" s="7"/>
      <c r="C476" s="7"/>
      <c r="D476" s="7"/>
      <c r="E476" s="71"/>
      <c r="F476" s="7"/>
      <c r="G476" s="7"/>
      <c r="H476" s="7"/>
      <c r="I476" s="145"/>
      <c r="J476" s="7"/>
      <c r="K476" s="7"/>
      <c r="L476" s="7"/>
      <c r="M476" s="7"/>
      <c r="N476" s="7"/>
      <c r="O476" s="7"/>
      <c r="P476" s="7"/>
      <c r="Q476" s="7"/>
      <c r="R476" s="146"/>
      <c r="S476" s="146"/>
      <c r="T476" s="7"/>
      <c r="U476" s="7"/>
    </row>
    <row r="477" customFormat="false" ht="18" hidden="false" customHeight="true" outlineLevel="0" collapsed="false">
      <c r="B477" s="87"/>
      <c r="C477" s="87"/>
      <c r="D477" s="87"/>
      <c r="E477" s="142"/>
      <c r="F477" s="87"/>
      <c r="G477" s="87"/>
      <c r="H477" s="87"/>
      <c r="I477" s="143"/>
      <c r="J477" s="87"/>
      <c r="K477" s="87"/>
      <c r="L477" s="87"/>
      <c r="M477" s="87"/>
      <c r="N477" s="87"/>
      <c r="O477" s="87"/>
      <c r="P477" s="87"/>
      <c r="Q477" s="87"/>
      <c r="R477" s="144"/>
      <c r="S477" s="144"/>
      <c r="T477" s="87"/>
      <c r="U477" s="87"/>
    </row>
    <row r="478" customFormat="false" ht="18" hidden="false" customHeight="true" outlineLevel="0" collapsed="false">
      <c r="B478" s="7"/>
      <c r="C478" s="7"/>
      <c r="D478" s="7"/>
      <c r="E478" s="71"/>
      <c r="F478" s="7"/>
      <c r="G478" s="7"/>
      <c r="H478" s="7"/>
      <c r="I478" s="145"/>
      <c r="J478" s="7"/>
      <c r="K478" s="7"/>
      <c r="L478" s="7"/>
      <c r="M478" s="7"/>
      <c r="N478" s="7"/>
      <c r="O478" s="7"/>
      <c r="P478" s="7"/>
      <c r="Q478" s="7"/>
      <c r="R478" s="146"/>
      <c r="S478" s="146"/>
      <c r="T478" s="7"/>
      <c r="U478" s="7"/>
    </row>
    <row r="479" customFormat="false" ht="18" hidden="false" customHeight="true" outlineLevel="0" collapsed="false">
      <c r="B479" s="87"/>
      <c r="C479" s="87"/>
      <c r="D479" s="87"/>
      <c r="E479" s="142"/>
      <c r="F479" s="87"/>
      <c r="G479" s="87"/>
      <c r="H479" s="87"/>
      <c r="I479" s="143"/>
      <c r="J479" s="87"/>
      <c r="K479" s="87"/>
      <c r="L479" s="87"/>
      <c r="M479" s="87"/>
      <c r="N479" s="87"/>
      <c r="O479" s="87"/>
      <c r="P479" s="87"/>
      <c r="Q479" s="87"/>
      <c r="R479" s="144"/>
      <c r="S479" s="144"/>
      <c r="T479" s="87"/>
      <c r="U479" s="87"/>
    </row>
    <row r="480" customFormat="false" ht="18" hidden="false" customHeight="true" outlineLevel="0" collapsed="false">
      <c r="B480" s="7"/>
      <c r="C480" s="7"/>
      <c r="D480" s="7"/>
      <c r="E480" s="71"/>
      <c r="F480" s="7"/>
      <c r="G480" s="7"/>
      <c r="H480" s="7"/>
      <c r="I480" s="145"/>
      <c r="J480" s="7"/>
      <c r="K480" s="7"/>
      <c r="L480" s="7"/>
      <c r="M480" s="7"/>
      <c r="N480" s="7"/>
      <c r="O480" s="7"/>
      <c r="P480" s="7"/>
      <c r="Q480" s="7"/>
      <c r="R480" s="146"/>
      <c r="S480" s="146"/>
      <c r="T480" s="7"/>
      <c r="U480" s="7"/>
    </row>
    <row r="481" customFormat="false" ht="18" hidden="false" customHeight="true" outlineLevel="0" collapsed="false">
      <c r="B481" s="87"/>
      <c r="C481" s="87"/>
      <c r="D481" s="87"/>
      <c r="E481" s="142"/>
      <c r="F481" s="87"/>
      <c r="G481" s="87"/>
      <c r="H481" s="87"/>
      <c r="I481" s="143"/>
      <c r="J481" s="87"/>
      <c r="K481" s="87"/>
      <c r="L481" s="87"/>
      <c r="M481" s="87"/>
      <c r="N481" s="87"/>
      <c r="O481" s="87"/>
      <c r="P481" s="87"/>
      <c r="Q481" s="87"/>
      <c r="R481" s="144"/>
      <c r="S481" s="144"/>
      <c r="T481" s="87"/>
      <c r="U481" s="87"/>
    </row>
    <row r="482" customFormat="false" ht="18" hidden="false" customHeight="true" outlineLevel="0" collapsed="false">
      <c r="B482" s="7"/>
      <c r="C482" s="7"/>
      <c r="D482" s="7"/>
      <c r="E482" s="71"/>
      <c r="F482" s="7"/>
      <c r="G482" s="7"/>
      <c r="H482" s="7"/>
      <c r="I482" s="145"/>
      <c r="J482" s="7"/>
      <c r="K482" s="7"/>
      <c r="L482" s="7"/>
      <c r="M482" s="7"/>
      <c r="N482" s="7"/>
      <c r="O482" s="7"/>
      <c r="P482" s="7"/>
      <c r="Q482" s="7"/>
      <c r="R482" s="146"/>
      <c r="S482" s="146"/>
      <c r="T482" s="7"/>
      <c r="U482" s="7"/>
    </row>
    <row r="483" customFormat="false" ht="18" hidden="false" customHeight="true" outlineLevel="0" collapsed="false">
      <c r="B483" s="87"/>
      <c r="C483" s="87"/>
      <c r="D483" s="87"/>
      <c r="E483" s="142"/>
      <c r="F483" s="87"/>
      <c r="G483" s="87"/>
      <c r="H483" s="87"/>
      <c r="I483" s="143"/>
      <c r="J483" s="87"/>
      <c r="K483" s="87"/>
      <c r="L483" s="87"/>
      <c r="M483" s="87"/>
      <c r="N483" s="87"/>
      <c r="O483" s="87"/>
      <c r="P483" s="87"/>
      <c r="Q483" s="87"/>
      <c r="R483" s="144"/>
      <c r="S483" s="144"/>
      <c r="T483" s="87"/>
      <c r="U483" s="87"/>
    </row>
    <row r="484" customFormat="false" ht="18" hidden="false" customHeight="true" outlineLevel="0" collapsed="false">
      <c r="B484" s="7"/>
      <c r="C484" s="7"/>
      <c r="D484" s="7"/>
      <c r="E484" s="71"/>
      <c r="F484" s="7"/>
      <c r="G484" s="7"/>
      <c r="H484" s="7"/>
      <c r="I484" s="145"/>
      <c r="J484" s="7"/>
      <c r="K484" s="7"/>
      <c r="L484" s="7"/>
      <c r="M484" s="7"/>
      <c r="N484" s="7"/>
      <c r="O484" s="7"/>
      <c r="P484" s="7"/>
      <c r="Q484" s="7"/>
      <c r="R484" s="146"/>
      <c r="S484" s="146"/>
      <c r="T484" s="7"/>
      <c r="U484" s="7"/>
    </row>
    <row r="485" customFormat="false" ht="18" hidden="false" customHeight="true" outlineLevel="0" collapsed="false">
      <c r="B485" s="87"/>
      <c r="C485" s="87"/>
      <c r="D485" s="87"/>
      <c r="E485" s="142"/>
      <c r="F485" s="87"/>
      <c r="G485" s="87"/>
      <c r="H485" s="87"/>
      <c r="I485" s="143"/>
      <c r="J485" s="87"/>
      <c r="K485" s="87"/>
      <c r="L485" s="87"/>
      <c r="M485" s="87"/>
      <c r="N485" s="87"/>
      <c r="O485" s="87"/>
      <c r="P485" s="87"/>
      <c r="Q485" s="87"/>
      <c r="R485" s="144"/>
      <c r="S485" s="144"/>
      <c r="T485" s="87"/>
      <c r="U485" s="87"/>
    </row>
    <row r="486" customFormat="false" ht="18" hidden="false" customHeight="true" outlineLevel="0" collapsed="false">
      <c r="B486" s="7"/>
      <c r="C486" s="7"/>
      <c r="D486" s="7"/>
      <c r="E486" s="71"/>
      <c r="F486" s="7"/>
      <c r="G486" s="7"/>
      <c r="H486" s="7"/>
      <c r="I486" s="145"/>
      <c r="J486" s="7"/>
      <c r="K486" s="7"/>
      <c r="L486" s="7"/>
      <c r="M486" s="7"/>
      <c r="N486" s="7"/>
      <c r="O486" s="7"/>
      <c r="P486" s="7"/>
      <c r="Q486" s="7"/>
      <c r="R486" s="146"/>
      <c r="S486" s="146"/>
      <c r="T486" s="7"/>
      <c r="U486" s="7"/>
    </row>
    <row r="487" customFormat="false" ht="18" hidden="false" customHeight="true" outlineLevel="0" collapsed="false">
      <c r="B487" s="87"/>
      <c r="C487" s="87"/>
      <c r="D487" s="87"/>
      <c r="E487" s="142"/>
      <c r="F487" s="87"/>
      <c r="G487" s="87"/>
      <c r="H487" s="87"/>
      <c r="I487" s="143"/>
      <c r="J487" s="87"/>
      <c r="K487" s="87"/>
      <c r="L487" s="87"/>
      <c r="M487" s="87"/>
      <c r="N487" s="87"/>
      <c r="O487" s="87"/>
      <c r="P487" s="87"/>
      <c r="Q487" s="87"/>
      <c r="R487" s="144"/>
      <c r="S487" s="144"/>
      <c r="T487" s="87"/>
      <c r="U487" s="87"/>
    </row>
    <row r="488" customFormat="false" ht="18" hidden="false" customHeight="true" outlineLevel="0" collapsed="false">
      <c r="B488" s="7"/>
      <c r="C488" s="7"/>
      <c r="D488" s="7"/>
      <c r="E488" s="71"/>
      <c r="F488" s="7"/>
      <c r="G488" s="7"/>
      <c r="H488" s="7"/>
      <c r="I488" s="145"/>
      <c r="J488" s="7"/>
      <c r="K488" s="7"/>
      <c r="L488" s="7"/>
      <c r="M488" s="7"/>
      <c r="N488" s="7"/>
      <c r="O488" s="7"/>
      <c r="P488" s="7"/>
      <c r="Q488" s="7"/>
      <c r="R488" s="146"/>
      <c r="S488" s="146"/>
      <c r="T488" s="7"/>
      <c r="U488" s="7"/>
    </row>
    <row r="489" customFormat="false" ht="18" hidden="false" customHeight="true" outlineLevel="0" collapsed="false">
      <c r="B489" s="87"/>
      <c r="C489" s="87"/>
      <c r="D489" s="87"/>
      <c r="E489" s="142"/>
      <c r="F489" s="87"/>
      <c r="G489" s="87"/>
      <c r="H489" s="87"/>
      <c r="I489" s="143"/>
      <c r="J489" s="87"/>
      <c r="K489" s="87"/>
      <c r="L489" s="87"/>
      <c r="M489" s="87"/>
      <c r="N489" s="87"/>
      <c r="O489" s="87"/>
      <c r="P489" s="87"/>
      <c r="Q489" s="87"/>
      <c r="R489" s="144"/>
      <c r="S489" s="144"/>
      <c r="T489" s="87"/>
      <c r="U489" s="87"/>
    </row>
    <row r="490" customFormat="false" ht="18" hidden="false" customHeight="true" outlineLevel="0" collapsed="false">
      <c r="B490" s="7"/>
      <c r="C490" s="7"/>
      <c r="D490" s="7"/>
      <c r="E490" s="71"/>
      <c r="F490" s="7"/>
      <c r="G490" s="7"/>
      <c r="H490" s="7"/>
      <c r="I490" s="145"/>
      <c r="J490" s="7"/>
      <c r="K490" s="7"/>
      <c r="L490" s="7"/>
      <c r="M490" s="7"/>
      <c r="N490" s="7"/>
      <c r="O490" s="7"/>
      <c r="P490" s="7"/>
      <c r="Q490" s="7"/>
      <c r="R490" s="146"/>
      <c r="S490" s="146"/>
      <c r="T490" s="7"/>
      <c r="U490" s="7"/>
    </row>
    <row r="491" customFormat="false" ht="18" hidden="false" customHeight="true" outlineLevel="0" collapsed="false">
      <c r="B491" s="87"/>
      <c r="C491" s="87"/>
      <c r="D491" s="87"/>
      <c r="E491" s="142"/>
      <c r="F491" s="87"/>
      <c r="G491" s="87"/>
      <c r="H491" s="87"/>
      <c r="I491" s="143"/>
      <c r="J491" s="87"/>
      <c r="K491" s="87"/>
      <c r="L491" s="87"/>
      <c r="M491" s="87"/>
      <c r="N491" s="87"/>
      <c r="O491" s="87"/>
      <c r="P491" s="87"/>
      <c r="Q491" s="87"/>
      <c r="R491" s="144"/>
      <c r="S491" s="144"/>
      <c r="T491" s="87"/>
      <c r="U491" s="87"/>
    </row>
    <row r="492" customFormat="false" ht="18" hidden="false" customHeight="true" outlineLevel="0" collapsed="false">
      <c r="B492" s="7"/>
      <c r="C492" s="7"/>
      <c r="D492" s="7"/>
      <c r="E492" s="71"/>
      <c r="F492" s="7"/>
      <c r="G492" s="7"/>
      <c r="H492" s="7"/>
      <c r="I492" s="145"/>
      <c r="J492" s="7"/>
      <c r="K492" s="7"/>
      <c r="L492" s="7"/>
      <c r="M492" s="7"/>
      <c r="N492" s="7"/>
      <c r="O492" s="7"/>
      <c r="P492" s="7"/>
      <c r="Q492" s="7"/>
      <c r="R492" s="146"/>
      <c r="S492" s="146"/>
      <c r="T492" s="7"/>
      <c r="U492" s="7"/>
    </row>
    <row r="493" customFormat="false" ht="18" hidden="false" customHeight="true" outlineLevel="0" collapsed="false">
      <c r="B493" s="87"/>
      <c r="C493" s="87"/>
      <c r="D493" s="87"/>
      <c r="E493" s="142"/>
      <c r="F493" s="87"/>
      <c r="G493" s="87"/>
      <c r="H493" s="87"/>
      <c r="I493" s="143"/>
      <c r="J493" s="87"/>
      <c r="K493" s="87"/>
      <c r="L493" s="87"/>
      <c r="M493" s="87"/>
      <c r="N493" s="87"/>
      <c r="O493" s="87"/>
      <c r="P493" s="87"/>
      <c r="Q493" s="87"/>
      <c r="R493" s="144"/>
      <c r="S493" s="144"/>
      <c r="T493" s="87"/>
      <c r="U493" s="87"/>
    </row>
    <row r="494" customFormat="false" ht="18" hidden="false" customHeight="true" outlineLevel="0" collapsed="false">
      <c r="B494" s="7"/>
      <c r="C494" s="7"/>
      <c r="D494" s="7"/>
      <c r="E494" s="71"/>
      <c r="F494" s="7"/>
      <c r="G494" s="7"/>
      <c r="H494" s="7"/>
      <c r="I494" s="145"/>
      <c r="J494" s="7"/>
      <c r="K494" s="7"/>
      <c r="L494" s="7"/>
      <c r="M494" s="7"/>
      <c r="N494" s="7"/>
      <c r="O494" s="7"/>
      <c r="P494" s="7"/>
      <c r="Q494" s="7"/>
      <c r="R494" s="146"/>
      <c r="S494" s="146"/>
      <c r="T494" s="7"/>
      <c r="U494" s="7"/>
    </row>
    <row r="495" customFormat="false" ht="18" hidden="false" customHeight="true" outlineLevel="0" collapsed="false">
      <c r="B495" s="87"/>
      <c r="C495" s="87"/>
      <c r="D495" s="87"/>
      <c r="E495" s="142"/>
      <c r="F495" s="87"/>
      <c r="G495" s="87"/>
      <c r="H495" s="87"/>
      <c r="I495" s="143"/>
      <c r="J495" s="87"/>
      <c r="K495" s="87"/>
      <c r="L495" s="87"/>
      <c r="M495" s="87"/>
      <c r="N495" s="87"/>
      <c r="O495" s="87"/>
      <c r="P495" s="87"/>
      <c r="Q495" s="87"/>
      <c r="R495" s="144"/>
      <c r="S495" s="144"/>
      <c r="T495" s="87"/>
      <c r="U495" s="87"/>
    </row>
    <row r="496" customFormat="false" ht="18" hidden="false" customHeight="true" outlineLevel="0" collapsed="false">
      <c r="B496" s="7"/>
      <c r="C496" s="7"/>
      <c r="D496" s="7"/>
      <c r="E496" s="71"/>
      <c r="F496" s="7"/>
      <c r="G496" s="7"/>
      <c r="H496" s="7"/>
      <c r="I496" s="145"/>
      <c r="J496" s="7"/>
      <c r="K496" s="7"/>
      <c r="L496" s="7"/>
      <c r="M496" s="7"/>
      <c r="N496" s="7"/>
      <c r="O496" s="7"/>
      <c r="P496" s="7"/>
      <c r="Q496" s="7"/>
      <c r="R496" s="146"/>
      <c r="S496" s="146"/>
      <c r="T496" s="7"/>
      <c r="U496" s="7"/>
    </row>
    <row r="497" customFormat="false" ht="18" hidden="false" customHeight="true" outlineLevel="0" collapsed="false">
      <c r="B497" s="87"/>
      <c r="C497" s="87"/>
      <c r="D497" s="87"/>
      <c r="E497" s="142"/>
      <c r="F497" s="87"/>
      <c r="G497" s="87"/>
      <c r="H497" s="87"/>
      <c r="I497" s="143"/>
      <c r="J497" s="87"/>
      <c r="K497" s="87"/>
      <c r="L497" s="87"/>
      <c r="M497" s="87"/>
      <c r="N497" s="87"/>
      <c r="O497" s="87"/>
      <c r="P497" s="87"/>
      <c r="Q497" s="87"/>
      <c r="R497" s="144"/>
      <c r="S497" s="144"/>
      <c r="T497" s="87"/>
      <c r="U497" s="87"/>
    </row>
    <row r="498" customFormat="false" ht="18" hidden="false" customHeight="true" outlineLevel="0" collapsed="false">
      <c r="B498" s="7"/>
      <c r="C498" s="7"/>
      <c r="D498" s="7"/>
      <c r="E498" s="71"/>
      <c r="F498" s="7"/>
      <c r="G498" s="7"/>
      <c r="H498" s="7"/>
      <c r="I498" s="145"/>
      <c r="J498" s="7"/>
      <c r="K498" s="7"/>
      <c r="L498" s="7"/>
      <c r="M498" s="7"/>
      <c r="N498" s="7"/>
      <c r="O498" s="7"/>
      <c r="P498" s="7"/>
      <c r="Q498" s="7"/>
      <c r="R498" s="146"/>
      <c r="S498" s="146"/>
      <c r="T498" s="7"/>
      <c r="U498" s="7"/>
    </row>
    <row r="499" customFormat="false" ht="18" hidden="false" customHeight="true" outlineLevel="0" collapsed="false">
      <c r="B499" s="87"/>
      <c r="C499" s="87"/>
      <c r="D499" s="87"/>
      <c r="E499" s="142"/>
      <c r="F499" s="87"/>
      <c r="G499" s="87"/>
      <c r="H499" s="87"/>
      <c r="I499" s="143"/>
      <c r="J499" s="87"/>
      <c r="K499" s="87"/>
      <c r="L499" s="87"/>
      <c r="M499" s="87"/>
      <c r="N499" s="87"/>
      <c r="O499" s="87"/>
      <c r="P499" s="87"/>
      <c r="Q499" s="87"/>
      <c r="R499" s="144"/>
      <c r="S499" s="144"/>
      <c r="T499" s="87"/>
      <c r="U499" s="87"/>
    </row>
    <row r="500" customFormat="false" ht="18" hidden="false" customHeight="true" outlineLevel="0" collapsed="false">
      <c r="B500" s="7"/>
      <c r="C500" s="7"/>
      <c r="D500" s="7"/>
      <c r="E500" s="71"/>
      <c r="F500" s="7"/>
      <c r="G500" s="7"/>
      <c r="H500" s="7"/>
      <c r="I500" s="145"/>
      <c r="J500" s="7"/>
      <c r="K500" s="7"/>
      <c r="L500" s="7"/>
      <c r="M500" s="7"/>
      <c r="N500" s="7"/>
      <c r="O500" s="7"/>
      <c r="P500" s="7"/>
      <c r="Q500" s="7"/>
      <c r="R500" s="146"/>
      <c r="S500" s="146"/>
      <c r="T500" s="7"/>
      <c r="U500" s="7"/>
    </row>
  </sheetData>
  <mergeCells count="8">
    <mergeCell ref="B2:N2"/>
    <mergeCell ref="B3:N3"/>
    <mergeCell ref="B5:N5"/>
    <mergeCell ref="B6:N6"/>
    <mergeCell ref="B7:N7"/>
    <mergeCell ref="B8:N8"/>
    <mergeCell ref="B9:N9"/>
    <mergeCell ref="B10:N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6985"/>
    <pageSetUpPr fitToPage="false"/>
  </sheetPr>
  <dimension ref="B2:U5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14"/>
    <col collapsed="false" customWidth="true" hidden="false" outlineLevel="0" max="4" min="4" style="1" width="18"/>
    <col collapsed="false" customWidth="true" hidden="false" outlineLevel="0" max="5" min="5" style="1" width="14"/>
    <col collapsed="false" customWidth="true" hidden="false" outlineLevel="0" max="8" min="6" style="1" width="16"/>
    <col collapsed="false" customWidth="true" hidden="false" outlineLevel="0" max="9" min="9" style="1" width="14"/>
    <col collapsed="false" customWidth="true" hidden="false" outlineLevel="0" max="10" min="10" style="1" width="10"/>
    <col collapsed="false" customWidth="true" hidden="false" outlineLevel="0" max="11" min="11" style="1" width="16"/>
    <col collapsed="false" customWidth="true" hidden="false" outlineLevel="0" max="12" min="12" style="1" width="9"/>
    <col collapsed="false" customWidth="true" hidden="false" outlineLevel="0" max="13" min="13" style="1" width="13"/>
    <col collapsed="false" customWidth="true" hidden="false" outlineLevel="0" max="14" min="14" style="1" width="20"/>
    <col collapsed="false" customWidth="true" hidden="false" outlineLevel="0" max="15" min="15" style="1" width="12"/>
    <col collapsed="false" customWidth="true" hidden="false" outlineLevel="0" max="16" min="16" style="1" width="14"/>
    <col collapsed="false" customWidth="true" hidden="false" outlineLevel="0" max="17" min="17" style="1" width="16"/>
    <col collapsed="false" customWidth="true" hidden="false" outlineLevel="0" max="19" min="18" style="1" width="12"/>
    <col collapsed="false" customWidth="true" hidden="false" outlineLevel="0" max="21" min="20" style="1" width="18"/>
  </cols>
  <sheetData>
    <row r="2" customFormat="false" ht="27.75" hidden="false" customHeight="true" outlineLevel="0" collapsed="false">
      <c r="B2" s="134" t="s">
        <v>788</v>
      </c>
      <c r="C2" s="134"/>
      <c r="D2" s="134"/>
      <c r="E2" s="134"/>
      <c r="F2" s="134"/>
      <c r="G2" s="134"/>
      <c r="H2" s="134"/>
      <c r="I2" s="134"/>
      <c r="J2" s="134"/>
      <c r="K2" s="134"/>
      <c r="L2" s="134"/>
      <c r="M2" s="134"/>
      <c r="N2" s="134"/>
    </row>
    <row r="3" customFormat="false" ht="36" hidden="false" customHeight="true" outlineLevel="0" collapsed="false">
      <c r="B3" s="135" t="s">
        <v>742</v>
      </c>
      <c r="C3" s="135"/>
      <c r="D3" s="135"/>
      <c r="E3" s="135"/>
      <c r="F3" s="135"/>
      <c r="G3" s="135"/>
      <c r="H3" s="135"/>
      <c r="I3" s="135"/>
      <c r="J3" s="135"/>
      <c r="K3" s="135"/>
      <c r="L3" s="135"/>
      <c r="M3" s="135"/>
      <c r="N3" s="135"/>
    </row>
    <row r="5" customFormat="false" ht="15" hidden="false" customHeight="true" outlineLevel="0" collapsed="false">
      <c r="B5" s="136" t="s">
        <v>743</v>
      </c>
      <c r="C5" s="136"/>
      <c r="D5" s="136"/>
      <c r="E5" s="136"/>
      <c r="F5" s="136"/>
      <c r="G5" s="136"/>
      <c r="H5" s="136"/>
      <c r="I5" s="136"/>
      <c r="J5" s="136"/>
      <c r="K5" s="136"/>
      <c r="L5" s="136"/>
      <c r="M5" s="136"/>
      <c r="N5" s="136"/>
    </row>
    <row r="6" customFormat="false" ht="18" hidden="false" customHeight="true" outlineLevel="0" collapsed="false">
      <c r="B6" s="137" t="s">
        <v>744</v>
      </c>
      <c r="C6" s="137"/>
      <c r="D6" s="137"/>
      <c r="E6" s="137"/>
      <c r="F6" s="137"/>
      <c r="G6" s="137"/>
      <c r="H6" s="137"/>
      <c r="I6" s="137"/>
      <c r="J6" s="137"/>
      <c r="K6" s="137"/>
      <c r="L6" s="137"/>
      <c r="M6" s="137"/>
      <c r="N6" s="137"/>
    </row>
    <row r="7" customFormat="false" ht="18" hidden="false" customHeight="true" outlineLevel="0" collapsed="false">
      <c r="B7" s="138" t="s">
        <v>745</v>
      </c>
      <c r="C7" s="138"/>
      <c r="D7" s="138"/>
      <c r="E7" s="138"/>
      <c r="F7" s="138"/>
      <c r="G7" s="138"/>
      <c r="H7" s="138"/>
      <c r="I7" s="138"/>
      <c r="J7" s="138"/>
      <c r="K7" s="138"/>
      <c r="L7" s="138"/>
      <c r="M7" s="138"/>
      <c r="N7" s="138"/>
    </row>
    <row r="8" customFormat="false" ht="18" hidden="false" customHeight="true" outlineLevel="0" collapsed="false">
      <c r="B8" s="137" t="s">
        <v>746</v>
      </c>
      <c r="C8" s="137"/>
      <c r="D8" s="137"/>
      <c r="E8" s="137"/>
      <c r="F8" s="137"/>
      <c r="G8" s="137"/>
      <c r="H8" s="137"/>
      <c r="I8" s="137"/>
      <c r="J8" s="137"/>
      <c r="K8" s="137"/>
      <c r="L8" s="137"/>
      <c r="M8" s="137"/>
      <c r="N8" s="137"/>
    </row>
    <row r="9" customFormat="false" ht="18" hidden="false" customHeight="true" outlineLevel="0" collapsed="false">
      <c r="B9" s="138" t="s">
        <v>747</v>
      </c>
      <c r="C9" s="138"/>
      <c r="D9" s="138"/>
      <c r="E9" s="138"/>
      <c r="F9" s="138"/>
      <c r="G9" s="138"/>
      <c r="H9" s="138"/>
      <c r="I9" s="138"/>
      <c r="J9" s="138"/>
      <c r="K9" s="138"/>
      <c r="L9" s="138"/>
      <c r="M9" s="138"/>
      <c r="N9" s="138"/>
    </row>
    <row r="10" customFormat="false" ht="30" hidden="false" customHeight="true" outlineLevel="0" collapsed="false">
      <c r="B10" s="139" t="s">
        <v>748</v>
      </c>
      <c r="C10" s="139"/>
      <c r="D10" s="139"/>
      <c r="E10" s="139"/>
      <c r="F10" s="139"/>
      <c r="G10" s="139"/>
      <c r="H10" s="139"/>
      <c r="I10" s="139"/>
      <c r="J10" s="139"/>
      <c r="K10" s="139"/>
      <c r="L10" s="139"/>
      <c r="M10" s="139"/>
      <c r="N10" s="139"/>
      <c r="O10" s="139"/>
      <c r="P10" s="139"/>
      <c r="Q10" s="139"/>
      <c r="R10" s="139"/>
      <c r="S10" s="139"/>
      <c r="T10" s="139"/>
      <c r="U10" s="139"/>
    </row>
    <row r="11" customFormat="false" ht="27.75" hidden="false" customHeight="true" outlineLevel="0" collapsed="false">
      <c r="B11" s="140" t="s">
        <v>749</v>
      </c>
      <c r="C11" s="140" t="s">
        <v>750</v>
      </c>
      <c r="D11" s="140" t="s">
        <v>751</v>
      </c>
      <c r="E11" s="140" t="s">
        <v>752</v>
      </c>
      <c r="F11" s="140" t="s">
        <v>753</v>
      </c>
      <c r="G11" s="140" t="s">
        <v>754</v>
      </c>
      <c r="H11" s="140" t="s">
        <v>755</v>
      </c>
      <c r="I11" s="140" t="s">
        <v>756</v>
      </c>
      <c r="J11" s="140" t="s">
        <v>757</v>
      </c>
      <c r="K11" s="140" t="s">
        <v>758</v>
      </c>
      <c r="L11" s="140" t="s">
        <v>759</v>
      </c>
      <c r="M11" s="140" t="s">
        <v>760</v>
      </c>
      <c r="N11" s="140" t="s">
        <v>761</v>
      </c>
      <c r="O11" s="140" t="s">
        <v>762</v>
      </c>
      <c r="P11" s="140" t="s">
        <v>763</v>
      </c>
      <c r="Q11" s="140" t="s">
        <v>764</v>
      </c>
      <c r="R11" s="140" t="s">
        <v>765</v>
      </c>
      <c r="S11" s="140" t="s">
        <v>766</v>
      </c>
      <c r="T11" s="140" t="s">
        <v>767</v>
      </c>
      <c r="U11" s="140" t="s">
        <v>768</v>
      </c>
    </row>
    <row r="12" customFormat="false" ht="31.5" hidden="false" customHeight="true" outlineLevel="0" collapsed="false">
      <c r="B12" s="141" t="s">
        <v>769</v>
      </c>
      <c r="C12" s="141" t="s">
        <v>770</v>
      </c>
      <c r="D12" s="141" t="s">
        <v>771</v>
      </c>
      <c r="E12" s="141" t="s">
        <v>772</v>
      </c>
      <c r="F12" s="141" t="s">
        <v>773</v>
      </c>
      <c r="G12" s="141" t="s">
        <v>774</v>
      </c>
      <c r="H12" s="141" t="s">
        <v>775</v>
      </c>
      <c r="I12" s="141" t="s">
        <v>776</v>
      </c>
      <c r="J12" s="141" t="s">
        <v>777</v>
      </c>
      <c r="K12" s="141" t="s">
        <v>778</v>
      </c>
      <c r="L12" s="141" t="s">
        <v>81</v>
      </c>
      <c r="M12" s="141" t="s">
        <v>779</v>
      </c>
      <c r="N12" s="141" t="s">
        <v>780</v>
      </c>
      <c r="O12" s="141" t="s">
        <v>781</v>
      </c>
      <c r="P12" s="141" t="s">
        <v>782</v>
      </c>
      <c r="Q12" s="141" t="s">
        <v>783</v>
      </c>
      <c r="R12" s="141" t="s">
        <v>784</v>
      </c>
      <c r="S12" s="141" t="s">
        <v>785</v>
      </c>
      <c r="T12" s="141" t="s">
        <v>786</v>
      </c>
      <c r="U12" s="141" t="s">
        <v>787</v>
      </c>
    </row>
    <row r="13" customFormat="false" ht="18" hidden="false" customHeight="true" outlineLevel="0" collapsed="false">
      <c r="B13" s="87"/>
      <c r="C13" s="87"/>
      <c r="D13" s="87"/>
      <c r="E13" s="142"/>
      <c r="F13" s="87"/>
      <c r="G13" s="87"/>
      <c r="H13" s="87"/>
      <c r="I13" s="143"/>
      <c r="J13" s="87"/>
      <c r="K13" s="87"/>
      <c r="L13" s="87"/>
      <c r="M13" s="87"/>
      <c r="N13" s="87"/>
      <c r="O13" s="87"/>
      <c r="P13" s="87"/>
      <c r="Q13" s="87"/>
      <c r="R13" s="144"/>
      <c r="S13" s="144"/>
      <c r="T13" s="87"/>
      <c r="U13" s="87"/>
    </row>
    <row r="14" customFormat="false" ht="18" hidden="false" customHeight="true" outlineLevel="0" collapsed="false">
      <c r="B14" s="7"/>
      <c r="C14" s="7"/>
      <c r="D14" s="7"/>
      <c r="E14" s="71"/>
      <c r="F14" s="7"/>
      <c r="G14" s="7"/>
      <c r="H14" s="7"/>
      <c r="I14" s="145"/>
      <c r="J14" s="7"/>
      <c r="K14" s="7"/>
      <c r="L14" s="7"/>
      <c r="M14" s="7"/>
      <c r="N14" s="7"/>
      <c r="O14" s="7"/>
      <c r="P14" s="7"/>
      <c r="Q14" s="7"/>
      <c r="R14" s="146"/>
      <c r="S14" s="146"/>
      <c r="T14" s="7"/>
      <c r="U14" s="7"/>
    </row>
    <row r="15" customFormat="false" ht="18" hidden="false" customHeight="true" outlineLevel="0" collapsed="false">
      <c r="B15" s="87"/>
      <c r="C15" s="87"/>
      <c r="D15" s="87"/>
      <c r="E15" s="142"/>
      <c r="F15" s="87"/>
      <c r="G15" s="87"/>
      <c r="H15" s="87"/>
      <c r="I15" s="143"/>
      <c r="J15" s="87"/>
      <c r="K15" s="87"/>
      <c r="L15" s="87"/>
      <c r="M15" s="87"/>
      <c r="N15" s="87"/>
      <c r="O15" s="87"/>
      <c r="P15" s="87"/>
      <c r="Q15" s="87"/>
      <c r="R15" s="144"/>
      <c r="S15" s="144"/>
      <c r="T15" s="87"/>
      <c r="U15" s="87"/>
    </row>
    <row r="16" customFormat="false" ht="18" hidden="false" customHeight="true" outlineLevel="0" collapsed="false">
      <c r="B16" s="7"/>
      <c r="C16" s="7"/>
      <c r="D16" s="7"/>
      <c r="E16" s="71"/>
      <c r="F16" s="7"/>
      <c r="G16" s="7"/>
      <c r="H16" s="7"/>
      <c r="I16" s="145"/>
      <c r="J16" s="7"/>
      <c r="K16" s="7"/>
      <c r="L16" s="7"/>
      <c r="M16" s="7"/>
      <c r="N16" s="7"/>
      <c r="O16" s="7"/>
      <c r="P16" s="7"/>
      <c r="Q16" s="7"/>
      <c r="R16" s="146"/>
      <c r="S16" s="146"/>
      <c r="T16" s="7"/>
      <c r="U16" s="7"/>
    </row>
    <row r="17" customFormat="false" ht="18" hidden="false" customHeight="true" outlineLevel="0" collapsed="false">
      <c r="B17" s="87"/>
      <c r="C17" s="87"/>
      <c r="D17" s="87"/>
      <c r="E17" s="142"/>
      <c r="F17" s="87"/>
      <c r="G17" s="87"/>
      <c r="H17" s="87"/>
      <c r="I17" s="143"/>
      <c r="J17" s="87"/>
      <c r="K17" s="87"/>
      <c r="L17" s="87"/>
      <c r="M17" s="87"/>
      <c r="N17" s="87"/>
      <c r="O17" s="87"/>
      <c r="P17" s="87"/>
      <c r="Q17" s="87"/>
      <c r="R17" s="144"/>
      <c r="S17" s="144"/>
      <c r="T17" s="87"/>
      <c r="U17" s="87"/>
    </row>
    <row r="18" customFormat="false" ht="18" hidden="false" customHeight="true" outlineLevel="0" collapsed="false">
      <c r="B18" s="7"/>
      <c r="C18" s="7"/>
      <c r="D18" s="7"/>
      <c r="E18" s="71"/>
      <c r="F18" s="7"/>
      <c r="G18" s="7"/>
      <c r="H18" s="7"/>
      <c r="I18" s="145"/>
      <c r="J18" s="7"/>
      <c r="K18" s="7"/>
      <c r="L18" s="7"/>
      <c r="M18" s="7"/>
      <c r="N18" s="7"/>
      <c r="O18" s="7"/>
      <c r="P18" s="7"/>
      <c r="Q18" s="7"/>
      <c r="R18" s="146"/>
      <c r="S18" s="146"/>
      <c r="T18" s="7"/>
      <c r="U18" s="7"/>
    </row>
    <row r="19" customFormat="false" ht="18" hidden="false" customHeight="true" outlineLevel="0" collapsed="false">
      <c r="B19" s="87"/>
      <c r="C19" s="87"/>
      <c r="D19" s="87"/>
      <c r="E19" s="142"/>
      <c r="F19" s="87"/>
      <c r="G19" s="87"/>
      <c r="H19" s="87"/>
      <c r="I19" s="143"/>
      <c r="J19" s="87"/>
      <c r="K19" s="87"/>
      <c r="L19" s="87"/>
      <c r="M19" s="87"/>
      <c r="N19" s="87"/>
      <c r="O19" s="87"/>
      <c r="P19" s="87"/>
      <c r="Q19" s="87"/>
      <c r="R19" s="144"/>
      <c r="S19" s="144"/>
      <c r="T19" s="87"/>
      <c r="U19" s="87"/>
    </row>
    <row r="20" customFormat="false" ht="18" hidden="false" customHeight="true" outlineLevel="0" collapsed="false">
      <c r="B20" s="7"/>
      <c r="C20" s="7"/>
      <c r="D20" s="7"/>
      <c r="E20" s="71"/>
      <c r="F20" s="7"/>
      <c r="G20" s="7"/>
      <c r="H20" s="7"/>
      <c r="I20" s="145"/>
      <c r="J20" s="7"/>
      <c r="K20" s="7"/>
      <c r="L20" s="7"/>
      <c r="M20" s="7"/>
      <c r="N20" s="7"/>
      <c r="O20" s="7"/>
      <c r="P20" s="7"/>
      <c r="Q20" s="7"/>
      <c r="R20" s="146"/>
      <c r="S20" s="146"/>
      <c r="T20" s="7"/>
      <c r="U20" s="7"/>
    </row>
    <row r="21" customFormat="false" ht="18" hidden="false" customHeight="true" outlineLevel="0" collapsed="false">
      <c r="B21" s="87"/>
      <c r="C21" s="87"/>
      <c r="D21" s="87"/>
      <c r="E21" s="142"/>
      <c r="F21" s="87"/>
      <c r="G21" s="87"/>
      <c r="H21" s="87"/>
      <c r="I21" s="143"/>
      <c r="J21" s="87"/>
      <c r="K21" s="87"/>
      <c r="L21" s="87"/>
      <c r="M21" s="87"/>
      <c r="N21" s="87"/>
      <c r="O21" s="87"/>
      <c r="P21" s="87"/>
      <c r="Q21" s="87"/>
      <c r="R21" s="144"/>
      <c r="S21" s="144"/>
      <c r="T21" s="87"/>
      <c r="U21" s="87"/>
    </row>
    <row r="22" customFormat="false" ht="18" hidden="false" customHeight="true" outlineLevel="0" collapsed="false">
      <c r="B22" s="7"/>
      <c r="C22" s="7"/>
      <c r="D22" s="7"/>
      <c r="E22" s="71"/>
      <c r="F22" s="7"/>
      <c r="G22" s="7"/>
      <c r="H22" s="7"/>
      <c r="I22" s="145"/>
      <c r="J22" s="7"/>
      <c r="K22" s="7"/>
      <c r="L22" s="7"/>
      <c r="M22" s="7"/>
      <c r="N22" s="7"/>
      <c r="O22" s="7"/>
      <c r="P22" s="7"/>
      <c r="Q22" s="7"/>
      <c r="R22" s="146"/>
      <c r="S22" s="146"/>
      <c r="T22" s="7"/>
      <c r="U22" s="7"/>
    </row>
    <row r="23" customFormat="false" ht="18" hidden="false" customHeight="true" outlineLevel="0" collapsed="false">
      <c r="B23" s="87"/>
      <c r="C23" s="87"/>
      <c r="D23" s="87"/>
      <c r="E23" s="142"/>
      <c r="F23" s="87"/>
      <c r="G23" s="87"/>
      <c r="H23" s="87"/>
      <c r="I23" s="143"/>
      <c r="J23" s="87"/>
      <c r="K23" s="87"/>
      <c r="L23" s="87"/>
      <c r="M23" s="87"/>
      <c r="N23" s="87"/>
      <c r="O23" s="87"/>
      <c r="P23" s="87"/>
      <c r="Q23" s="87"/>
      <c r="R23" s="144"/>
      <c r="S23" s="144"/>
      <c r="T23" s="87"/>
      <c r="U23" s="87"/>
    </row>
    <row r="24" customFormat="false" ht="18" hidden="false" customHeight="true" outlineLevel="0" collapsed="false">
      <c r="B24" s="7"/>
      <c r="C24" s="7"/>
      <c r="D24" s="7"/>
      <c r="E24" s="71"/>
      <c r="F24" s="7"/>
      <c r="G24" s="7"/>
      <c r="H24" s="7"/>
      <c r="I24" s="145"/>
      <c r="J24" s="7"/>
      <c r="K24" s="7"/>
      <c r="L24" s="7"/>
      <c r="M24" s="7"/>
      <c r="N24" s="7"/>
      <c r="O24" s="7"/>
      <c r="P24" s="7"/>
      <c r="Q24" s="7"/>
      <c r="R24" s="146"/>
      <c r="S24" s="146"/>
      <c r="T24" s="7"/>
      <c r="U24" s="7"/>
    </row>
    <row r="25" customFormat="false" ht="18" hidden="false" customHeight="true" outlineLevel="0" collapsed="false">
      <c r="B25" s="87"/>
      <c r="C25" s="87"/>
      <c r="D25" s="87"/>
      <c r="E25" s="142"/>
      <c r="F25" s="87"/>
      <c r="G25" s="87"/>
      <c r="H25" s="87"/>
      <c r="I25" s="143"/>
      <c r="J25" s="87"/>
      <c r="K25" s="87"/>
      <c r="L25" s="87"/>
      <c r="M25" s="87"/>
      <c r="N25" s="87"/>
      <c r="O25" s="87"/>
      <c r="P25" s="87"/>
      <c r="Q25" s="87"/>
      <c r="R25" s="144"/>
      <c r="S25" s="144"/>
      <c r="T25" s="87"/>
      <c r="U25" s="87"/>
    </row>
    <row r="26" customFormat="false" ht="18" hidden="false" customHeight="true" outlineLevel="0" collapsed="false">
      <c r="B26" s="7"/>
      <c r="C26" s="7"/>
      <c r="D26" s="7"/>
      <c r="E26" s="71"/>
      <c r="F26" s="7"/>
      <c r="G26" s="7"/>
      <c r="H26" s="7"/>
      <c r="I26" s="145"/>
      <c r="J26" s="7"/>
      <c r="K26" s="7"/>
      <c r="L26" s="7"/>
      <c r="M26" s="7"/>
      <c r="N26" s="7"/>
      <c r="O26" s="7"/>
      <c r="P26" s="7"/>
      <c r="Q26" s="7"/>
      <c r="R26" s="146"/>
      <c r="S26" s="146"/>
      <c r="T26" s="7"/>
      <c r="U26" s="7"/>
    </row>
    <row r="27" customFormat="false" ht="18" hidden="false" customHeight="true" outlineLevel="0" collapsed="false">
      <c r="B27" s="87"/>
      <c r="C27" s="87"/>
      <c r="D27" s="87"/>
      <c r="E27" s="142"/>
      <c r="F27" s="87"/>
      <c r="G27" s="87"/>
      <c r="H27" s="87"/>
      <c r="I27" s="143"/>
      <c r="J27" s="87"/>
      <c r="K27" s="87"/>
      <c r="L27" s="87"/>
      <c r="M27" s="87"/>
      <c r="N27" s="87"/>
      <c r="O27" s="87"/>
      <c r="P27" s="87"/>
      <c r="Q27" s="87"/>
      <c r="R27" s="144"/>
      <c r="S27" s="144"/>
      <c r="T27" s="87"/>
      <c r="U27" s="87"/>
    </row>
    <row r="28" customFormat="false" ht="18" hidden="false" customHeight="true" outlineLevel="0" collapsed="false">
      <c r="B28" s="7"/>
      <c r="C28" s="7"/>
      <c r="D28" s="7"/>
      <c r="E28" s="71"/>
      <c r="F28" s="7"/>
      <c r="G28" s="7"/>
      <c r="H28" s="7"/>
      <c r="I28" s="145"/>
      <c r="J28" s="7"/>
      <c r="K28" s="7"/>
      <c r="L28" s="7"/>
      <c r="M28" s="7"/>
      <c r="N28" s="7"/>
      <c r="O28" s="7"/>
      <c r="P28" s="7"/>
      <c r="Q28" s="7"/>
      <c r="R28" s="146"/>
      <c r="S28" s="146"/>
      <c r="T28" s="7"/>
      <c r="U28" s="7"/>
    </row>
    <row r="29" customFormat="false" ht="18" hidden="false" customHeight="true" outlineLevel="0" collapsed="false">
      <c r="B29" s="87"/>
      <c r="C29" s="87"/>
      <c r="D29" s="87"/>
      <c r="E29" s="142"/>
      <c r="F29" s="87"/>
      <c r="G29" s="87"/>
      <c r="H29" s="87"/>
      <c r="I29" s="143"/>
      <c r="J29" s="87"/>
      <c r="K29" s="87"/>
      <c r="L29" s="87"/>
      <c r="M29" s="87"/>
      <c r="N29" s="87"/>
      <c r="O29" s="87"/>
      <c r="P29" s="87"/>
      <c r="Q29" s="87"/>
      <c r="R29" s="144"/>
      <c r="S29" s="144"/>
      <c r="T29" s="87"/>
      <c r="U29" s="87"/>
    </row>
    <row r="30" customFormat="false" ht="18" hidden="false" customHeight="true" outlineLevel="0" collapsed="false">
      <c r="B30" s="7"/>
      <c r="C30" s="7"/>
      <c r="D30" s="7"/>
      <c r="E30" s="71"/>
      <c r="F30" s="7"/>
      <c r="G30" s="7"/>
      <c r="H30" s="7"/>
      <c r="I30" s="145"/>
      <c r="J30" s="7"/>
      <c r="K30" s="7"/>
      <c r="L30" s="7"/>
      <c r="M30" s="7"/>
      <c r="N30" s="7"/>
      <c r="O30" s="7"/>
      <c r="P30" s="7"/>
      <c r="Q30" s="7"/>
      <c r="R30" s="146"/>
      <c r="S30" s="146"/>
      <c r="T30" s="7"/>
      <c r="U30" s="7"/>
    </row>
    <row r="31" customFormat="false" ht="18" hidden="false" customHeight="true" outlineLevel="0" collapsed="false">
      <c r="B31" s="87"/>
      <c r="C31" s="87"/>
      <c r="D31" s="87"/>
      <c r="E31" s="142"/>
      <c r="F31" s="87"/>
      <c r="G31" s="87"/>
      <c r="H31" s="87"/>
      <c r="I31" s="143"/>
      <c r="J31" s="87"/>
      <c r="K31" s="87"/>
      <c r="L31" s="87"/>
      <c r="M31" s="87"/>
      <c r="N31" s="87"/>
      <c r="O31" s="87"/>
      <c r="P31" s="87"/>
      <c r="Q31" s="87"/>
      <c r="R31" s="144"/>
      <c r="S31" s="144"/>
      <c r="T31" s="87"/>
      <c r="U31" s="87"/>
    </row>
    <row r="32" customFormat="false" ht="18" hidden="false" customHeight="true" outlineLevel="0" collapsed="false">
      <c r="B32" s="7"/>
      <c r="C32" s="7"/>
      <c r="D32" s="7"/>
      <c r="E32" s="71"/>
      <c r="F32" s="7"/>
      <c r="G32" s="7"/>
      <c r="H32" s="7"/>
      <c r="I32" s="145"/>
      <c r="J32" s="7"/>
      <c r="K32" s="7"/>
      <c r="L32" s="7"/>
      <c r="M32" s="7"/>
      <c r="N32" s="7"/>
      <c r="O32" s="7"/>
      <c r="P32" s="7"/>
      <c r="Q32" s="7"/>
      <c r="R32" s="146"/>
      <c r="S32" s="146"/>
      <c r="T32" s="7"/>
      <c r="U32" s="7"/>
    </row>
    <row r="33" customFormat="false" ht="18" hidden="false" customHeight="true" outlineLevel="0" collapsed="false">
      <c r="B33" s="87"/>
      <c r="C33" s="87"/>
      <c r="D33" s="87"/>
      <c r="E33" s="142"/>
      <c r="F33" s="87"/>
      <c r="G33" s="87"/>
      <c r="H33" s="87"/>
      <c r="I33" s="143"/>
      <c r="J33" s="87"/>
      <c r="K33" s="87"/>
      <c r="L33" s="87"/>
      <c r="M33" s="87"/>
      <c r="N33" s="87"/>
      <c r="O33" s="87"/>
      <c r="P33" s="87"/>
      <c r="Q33" s="87"/>
      <c r="R33" s="144"/>
      <c r="S33" s="144"/>
      <c r="T33" s="87"/>
      <c r="U33" s="87"/>
    </row>
    <row r="34" customFormat="false" ht="18" hidden="false" customHeight="true" outlineLevel="0" collapsed="false">
      <c r="B34" s="7"/>
      <c r="C34" s="7"/>
      <c r="D34" s="7"/>
      <c r="E34" s="71"/>
      <c r="F34" s="7"/>
      <c r="G34" s="7"/>
      <c r="H34" s="7"/>
      <c r="I34" s="145"/>
      <c r="J34" s="7"/>
      <c r="K34" s="7"/>
      <c r="L34" s="7"/>
      <c r="M34" s="7"/>
      <c r="N34" s="7"/>
      <c r="O34" s="7"/>
      <c r="P34" s="7"/>
      <c r="Q34" s="7"/>
      <c r="R34" s="146"/>
      <c r="S34" s="146"/>
      <c r="T34" s="7"/>
      <c r="U34" s="7"/>
    </row>
    <row r="35" customFormat="false" ht="18" hidden="false" customHeight="true" outlineLevel="0" collapsed="false">
      <c r="B35" s="87"/>
      <c r="C35" s="87"/>
      <c r="D35" s="87"/>
      <c r="E35" s="142"/>
      <c r="F35" s="87"/>
      <c r="G35" s="87"/>
      <c r="H35" s="87"/>
      <c r="I35" s="143"/>
      <c r="J35" s="87"/>
      <c r="K35" s="87"/>
      <c r="L35" s="87"/>
      <c r="M35" s="87"/>
      <c r="N35" s="87"/>
      <c r="O35" s="87"/>
      <c r="P35" s="87"/>
      <c r="Q35" s="87"/>
      <c r="R35" s="144"/>
      <c r="S35" s="144"/>
      <c r="T35" s="87"/>
      <c r="U35" s="87"/>
    </row>
    <row r="36" customFormat="false" ht="18" hidden="false" customHeight="true" outlineLevel="0" collapsed="false">
      <c r="B36" s="7"/>
      <c r="C36" s="7"/>
      <c r="D36" s="7"/>
      <c r="E36" s="71"/>
      <c r="F36" s="7"/>
      <c r="G36" s="7"/>
      <c r="H36" s="7"/>
      <c r="I36" s="145"/>
      <c r="J36" s="7"/>
      <c r="K36" s="7"/>
      <c r="L36" s="7"/>
      <c r="M36" s="7"/>
      <c r="N36" s="7"/>
      <c r="O36" s="7"/>
      <c r="P36" s="7"/>
      <c r="Q36" s="7"/>
      <c r="R36" s="146"/>
      <c r="S36" s="146"/>
      <c r="T36" s="7"/>
      <c r="U36" s="7"/>
    </row>
    <row r="37" customFormat="false" ht="18" hidden="false" customHeight="true" outlineLevel="0" collapsed="false">
      <c r="B37" s="87"/>
      <c r="C37" s="87"/>
      <c r="D37" s="87"/>
      <c r="E37" s="142"/>
      <c r="F37" s="87"/>
      <c r="G37" s="87"/>
      <c r="H37" s="87"/>
      <c r="I37" s="143"/>
      <c r="J37" s="87"/>
      <c r="K37" s="87"/>
      <c r="L37" s="87"/>
      <c r="M37" s="87"/>
      <c r="N37" s="87"/>
      <c r="O37" s="87"/>
      <c r="P37" s="87"/>
      <c r="Q37" s="87"/>
      <c r="R37" s="144"/>
      <c r="S37" s="144"/>
      <c r="T37" s="87"/>
      <c r="U37" s="87"/>
    </row>
    <row r="38" customFormat="false" ht="18" hidden="false" customHeight="true" outlineLevel="0" collapsed="false">
      <c r="B38" s="7"/>
      <c r="C38" s="7"/>
      <c r="D38" s="7"/>
      <c r="E38" s="71"/>
      <c r="F38" s="7"/>
      <c r="G38" s="7"/>
      <c r="H38" s="7"/>
      <c r="I38" s="145"/>
      <c r="J38" s="7"/>
      <c r="K38" s="7"/>
      <c r="L38" s="7"/>
      <c r="M38" s="7"/>
      <c r="N38" s="7"/>
      <c r="O38" s="7"/>
      <c r="P38" s="7"/>
      <c r="Q38" s="7"/>
      <c r="R38" s="146"/>
      <c r="S38" s="146"/>
      <c r="T38" s="7"/>
      <c r="U38" s="7"/>
    </row>
    <row r="39" customFormat="false" ht="18" hidden="false" customHeight="true" outlineLevel="0" collapsed="false">
      <c r="B39" s="87"/>
      <c r="C39" s="87"/>
      <c r="D39" s="87"/>
      <c r="E39" s="142"/>
      <c r="F39" s="87"/>
      <c r="G39" s="87"/>
      <c r="H39" s="87"/>
      <c r="I39" s="143"/>
      <c r="J39" s="87"/>
      <c r="K39" s="87"/>
      <c r="L39" s="87"/>
      <c r="M39" s="87"/>
      <c r="N39" s="87"/>
      <c r="O39" s="87"/>
      <c r="P39" s="87"/>
      <c r="Q39" s="87"/>
      <c r="R39" s="144"/>
      <c r="S39" s="144"/>
      <c r="T39" s="87"/>
      <c r="U39" s="87"/>
    </row>
    <row r="40" customFormat="false" ht="18" hidden="false" customHeight="true" outlineLevel="0" collapsed="false">
      <c r="B40" s="7"/>
      <c r="C40" s="7"/>
      <c r="D40" s="7"/>
      <c r="E40" s="71"/>
      <c r="F40" s="7"/>
      <c r="G40" s="7"/>
      <c r="H40" s="7"/>
      <c r="I40" s="145"/>
      <c r="J40" s="7"/>
      <c r="K40" s="7"/>
      <c r="L40" s="7"/>
      <c r="M40" s="7"/>
      <c r="N40" s="7"/>
      <c r="O40" s="7"/>
      <c r="P40" s="7"/>
      <c r="Q40" s="7"/>
      <c r="R40" s="146"/>
      <c r="S40" s="146"/>
      <c r="T40" s="7"/>
      <c r="U40" s="7"/>
    </row>
    <row r="41" customFormat="false" ht="18" hidden="false" customHeight="true" outlineLevel="0" collapsed="false">
      <c r="B41" s="87"/>
      <c r="C41" s="87"/>
      <c r="D41" s="87"/>
      <c r="E41" s="142"/>
      <c r="F41" s="87"/>
      <c r="G41" s="87"/>
      <c r="H41" s="87"/>
      <c r="I41" s="143"/>
      <c r="J41" s="87"/>
      <c r="K41" s="87"/>
      <c r="L41" s="87"/>
      <c r="M41" s="87"/>
      <c r="N41" s="87"/>
      <c r="O41" s="87"/>
      <c r="P41" s="87"/>
      <c r="Q41" s="87"/>
      <c r="R41" s="144"/>
      <c r="S41" s="144"/>
      <c r="T41" s="87"/>
      <c r="U41" s="87"/>
    </row>
    <row r="42" customFormat="false" ht="18" hidden="false" customHeight="true" outlineLevel="0" collapsed="false">
      <c r="B42" s="7"/>
      <c r="C42" s="7"/>
      <c r="D42" s="7"/>
      <c r="E42" s="71"/>
      <c r="F42" s="7"/>
      <c r="G42" s="7"/>
      <c r="H42" s="7"/>
      <c r="I42" s="145"/>
      <c r="J42" s="7"/>
      <c r="K42" s="7"/>
      <c r="L42" s="7"/>
      <c r="M42" s="7"/>
      <c r="N42" s="7"/>
      <c r="O42" s="7"/>
      <c r="P42" s="7"/>
      <c r="Q42" s="7"/>
      <c r="R42" s="146"/>
      <c r="S42" s="146"/>
      <c r="T42" s="7"/>
      <c r="U42" s="7"/>
    </row>
    <row r="43" customFormat="false" ht="18" hidden="false" customHeight="true" outlineLevel="0" collapsed="false">
      <c r="B43" s="87"/>
      <c r="C43" s="87"/>
      <c r="D43" s="87"/>
      <c r="E43" s="142"/>
      <c r="F43" s="87"/>
      <c r="G43" s="87"/>
      <c r="H43" s="87"/>
      <c r="I43" s="143"/>
      <c r="J43" s="87"/>
      <c r="K43" s="87"/>
      <c r="L43" s="87"/>
      <c r="M43" s="87"/>
      <c r="N43" s="87"/>
      <c r="O43" s="87"/>
      <c r="P43" s="87"/>
      <c r="Q43" s="87"/>
      <c r="R43" s="144"/>
      <c r="S43" s="144"/>
      <c r="T43" s="87"/>
      <c r="U43" s="87"/>
    </row>
    <row r="44" customFormat="false" ht="18" hidden="false" customHeight="true" outlineLevel="0" collapsed="false">
      <c r="B44" s="7"/>
      <c r="C44" s="7"/>
      <c r="D44" s="7"/>
      <c r="E44" s="71"/>
      <c r="F44" s="7"/>
      <c r="G44" s="7"/>
      <c r="H44" s="7"/>
      <c r="I44" s="145"/>
      <c r="J44" s="7"/>
      <c r="K44" s="7"/>
      <c r="L44" s="7"/>
      <c r="M44" s="7"/>
      <c r="N44" s="7"/>
      <c r="O44" s="7"/>
      <c r="P44" s="7"/>
      <c r="Q44" s="7"/>
      <c r="R44" s="146"/>
      <c r="S44" s="146"/>
      <c r="T44" s="7"/>
      <c r="U44" s="7"/>
    </row>
    <row r="45" customFormat="false" ht="18" hidden="false" customHeight="true" outlineLevel="0" collapsed="false">
      <c r="B45" s="87"/>
      <c r="C45" s="87"/>
      <c r="D45" s="87"/>
      <c r="E45" s="142"/>
      <c r="F45" s="87"/>
      <c r="G45" s="87"/>
      <c r="H45" s="87"/>
      <c r="I45" s="143"/>
      <c r="J45" s="87"/>
      <c r="K45" s="87"/>
      <c r="L45" s="87"/>
      <c r="M45" s="87"/>
      <c r="N45" s="87"/>
      <c r="O45" s="87"/>
      <c r="P45" s="87"/>
      <c r="Q45" s="87"/>
      <c r="R45" s="144"/>
      <c r="S45" s="144"/>
      <c r="T45" s="87"/>
      <c r="U45" s="87"/>
    </row>
    <row r="46" customFormat="false" ht="18" hidden="false" customHeight="true" outlineLevel="0" collapsed="false">
      <c r="B46" s="7"/>
      <c r="C46" s="7"/>
      <c r="D46" s="7"/>
      <c r="E46" s="71"/>
      <c r="F46" s="7"/>
      <c r="G46" s="7"/>
      <c r="H46" s="7"/>
      <c r="I46" s="145"/>
      <c r="J46" s="7"/>
      <c r="K46" s="7"/>
      <c r="L46" s="7"/>
      <c r="M46" s="7"/>
      <c r="N46" s="7"/>
      <c r="O46" s="7"/>
      <c r="P46" s="7"/>
      <c r="Q46" s="7"/>
      <c r="R46" s="146"/>
      <c r="S46" s="146"/>
      <c r="T46" s="7"/>
      <c r="U46" s="7"/>
    </row>
    <row r="47" customFormat="false" ht="18" hidden="false" customHeight="true" outlineLevel="0" collapsed="false">
      <c r="B47" s="87"/>
      <c r="C47" s="87"/>
      <c r="D47" s="87"/>
      <c r="E47" s="142"/>
      <c r="F47" s="87"/>
      <c r="G47" s="87"/>
      <c r="H47" s="87"/>
      <c r="I47" s="143"/>
      <c r="J47" s="87"/>
      <c r="K47" s="87"/>
      <c r="L47" s="87"/>
      <c r="M47" s="87"/>
      <c r="N47" s="87"/>
      <c r="O47" s="87"/>
      <c r="P47" s="87"/>
      <c r="Q47" s="87"/>
      <c r="R47" s="144"/>
      <c r="S47" s="144"/>
      <c r="T47" s="87"/>
      <c r="U47" s="87"/>
    </row>
    <row r="48" customFormat="false" ht="18" hidden="false" customHeight="true" outlineLevel="0" collapsed="false">
      <c r="B48" s="7"/>
      <c r="C48" s="7"/>
      <c r="D48" s="7"/>
      <c r="E48" s="71"/>
      <c r="F48" s="7"/>
      <c r="G48" s="7"/>
      <c r="H48" s="7"/>
      <c r="I48" s="145"/>
      <c r="J48" s="7"/>
      <c r="K48" s="7"/>
      <c r="L48" s="7"/>
      <c r="M48" s="7"/>
      <c r="N48" s="7"/>
      <c r="O48" s="7"/>
      <c r="P48" s="7"/>
      <c r="Q48" s="7"/>
      <c r="R48" s="146"/>
      <c r="S48" s="146"/>
      <c r="T48" s="7"/>
      <c r="U48" s="7"/>
    </row>
    <row r="49" customFormat="false" ht="18" hidden="false" customHeight="true" outlineLevel="0" collapsed="false">
      <c r="B49" s="87"/>
      <c r="C49" s="87"/>
      <c r="D49" s="87"/>
      <c r="E49" s="142"/>
      <c r="F49" s="87"/>
      <c r="G49" s="87"/>
      <c r="H49" s="87"/>
      <c r="I49" s="143"/>
      <c r="J49" s="87"/>
      <c r="K49" s="87"/>
      <c r="L49" s="87"/>
      <c r="M49" s="87"/>
      <c r="N49" s="87"/>
      <c r="O49" s="87"/>
      <c r="P49" s="87"/>
      <c r="Q49" s="87"/>
      <c r="R49" s="144"/>
      <c r="S49" s="144"/>
      <c r="T49" s="87"/>
      <c r="U49" s="87"/>
    </row>
    <row r="50" customFormat="false" ht="18" hidden="false" customHeight="true" outlineLevel="0" collapsed="false">
      <c r="B50" s="7"/>
      <c r="C50" s="7"/>
      <c r="D50" s="7"/>
      <c r="E50" s="71"/>
      <c r="F50" s="7"/>
      <c r="G50" s="7"/>
      <c r="H50" s="7"/>
      <c r="I50" s="145"/>
      <c r="J50" s="7"/>
      <c r="K50" s="7"/>
      <c r="L50" s="7"/>
      <c r="M50" s="7"/>
      <c r="N50" s="7"/>
      <c r="O50" s="7"/>
      <c r="P50" s="7"/>
      <c r="Q50" s="7"/>
      <c r="R50" s="146"/>
      <c r="S50" s="146"/>
      <c r="T50" s="7"/>
      <c r="U50" s="7"/>
    </row>
    <row r="51" customFormat="false" ht="18" hidden="false" customHeight="true" outlineLevel="0" collapsed="false">
      <c r="B51" s="87"/>
      <c r="C51" s="87"/>
      <c r="D51" s="87"/>
      <c r="E51" s="142"/>
      <c r="F51" s="87"/>
      <c r="G51" s="87"/>
      <c r="H51" s="87"/>
      <c r="I51" s="143"/>
      <c r="J51" s="87"/>
      <c r="K51" s="87"/>
      <c r="L51" s="87"/>
      <c r="M51" s="87"/>
      <c r="N51" s="87"/>
      <c r="O51" s="87"/>
      <c r="P51" s="87"/>
      <c r="Q51" s="87"/>
      <c r="R51" s="144"/>
      <c r="S51" s="144"/>
      <c r="T51" s="87"/>
      <c r="U51" s="87"/>
    </row>
    <row r="52" customFormat="false" ht="18" hidden="false" customHeight="true" outlineLevel="0" collapsed="false">
      <c r="B52" s="7"/>
      <c r="C52" s="7"/>
      <c r="D52" s="7"/>
      <c r="E52" s="71"/>
      <c r="F52" s="7"/>
      <c r="G52" s="7"/>
      <c r="H52" s="7"/>
      <c r="I52" s="145"/>
      <c r="J52" s="7"/>
      <c r="K52" s="7"/>
      <c r="L52" s="7"/>
      <c r="M52" s="7"/>
      <c r="N52" s="7"/>
      <c r="O52" s="7"/>
      <c r="P52" s="7"/>
      <c r="Q52" s="7"/>
      <c r="R52" s="146"/>
      <c r="S52" s="146"/>
      <c r="T52" s="7"/>
      <c r="U52" s="7"/>
    </row>
    <row r="53" customFormat="false" ht="18" hidden="false" customHeight="true" outlineLevel="0" collapsed="false">
      <c r="B53" s="87"/>
      <c r="C53" s="87"/>
      <c r="D53" s="87"/>
      <c r="E53" s="142"/>
      <c r="F53" s="87"/>
      <c r="G53" s="87"/>
      <c r="H53" s="87"/>
      <c r="I53" s="143"/>
      <c r="J53" s="87"/>
      <c r="K53" s="87"/>
      <c r="L53" s="87"/>
      <c r="M53" s="87"/>
      <c r="N53" s="87"/>
      <c r="O53" s="87"/>
      <c r="P53" s="87"/>
      <c r="Q53" s="87"/>
      <c r="R53" s="144"/>
      <c r="S53" s="144"/>
      <c r="T53" s="87"/>
      <c r="U53" s="87"/>
    </row>
    <row r="54" customFormat="false" ht="18" hidden="false" customHeight="true" outlineLevel="0" collapsed="false">
      <c r="B54" s="7"/>
      <c r="C54" s="7"/>
      <c r="D54" s="7"/>
      <c r="E54" s="71"/>
      <c r="F54" s="7"/>
      <c r="G54" s="7"/>
      <c r="H54" s="7"/>
      <c r="I54" s="145"/>
      <c r="J54" s="7"/>
      <c r="K54" s="7"/>
      <c r="L54" s="7"/>
      <c r="M54" s="7"/>
      <c r="N54" s="7"/>
      <c r="O54" s="7"/>
      <c r="P54" s="7"/>
      <c r="Q54" s="7"/>
      <c r="R54" s="146"/>
      <c r="S54" s="146"/>
      <c r="T54" s="7"/>
      <c r="U54" s="7"/>
    </row>
    <row r="55" customFormat="false" ht="18" hidden="false" customHeight="true" outlineLevel="0" collapsed="false">
      <c r="B55" s="87"/>
      <c r="C55" s="87"/>
      <c r="D55" s="87"/>
      <c r="E55" s="142"/>
      <c r="F55" s="87"/>
      <c r="G55" s="87"/>
      <c r="H55" s="87"/>
      <c r="I55" s="143"/>
      <c r="J55" s="87"/>
      <c r="K55" s="87"/>
      <c r="L55" s="87"/>
      <c r="M55" s="87"/>
      <c r="N55" s="87"/>
      <c r="O55" s="87"/>
      <c r="P55" s="87"/>
      <c r="Q55" s="87"/>
      <c r="R55" s="144"/>
      <c r="S55" s="144"/>
      <c r="T55" s="87"/>
      <c r="U55" s="87"/>
    </row>
    <row r="56" customFormat="false" ht="18" hidden="false" customHeight="true" outlineLevel="0" collapsed="false">
      <c r="B56" s="7"/>
      <c r="C56" s="7"/>
      <c r="D56" s="7"/>
      <c r="E56" s="71"/>
      <c r="F56" s="7"/>
      <c r="G56" s="7"/>
      <c r="H56" s="7"/>
      <c r="I56" s="145"/>
      <c r="J56" s="7"/>
      <c r="K56" s="7"/>
      <c r="L56" s="7"/>
      <c r="M56" s="7"/>
      <c r="N56" s="7"/>
      <c r="O56" s="7"/>
      <c r="P56" s="7"/>
      <c r="Q56" s="7"/>
      <c r="R56" s="146"/>
      <c r="S56" s="146"/>
      <c r="T56" s="7"/>
      <c r="U56" s="7"/>
    </row>
    <row r="57" customFormat="false" ht="18" hidden="false" customHeight="true" outlineLevel="0" collapsed="false">
      <c r="B57" s="87"/>
      <c r="C57" s="87"/>
      <c r="D57" s="87"/>
      <c r="E57" s="142"/>
      <c r="F57" s="87"/>
      <c r="G57" s="87"/>
      <c r="H57" s="87"/>
      <c r="I57" s="143"/>
      <c r="J57" s="87"/>
      <c r="K57" s="87"/>
      <c r="L57" s="87"/>
      <c r="M57" s="87"/>
      <c r="N57" s="87"/>
      <c r="O57" s="87"/>
      <c r="P57" s="87"/>
      <c r="Q57" s="87"/>
      <c r="R57" s="144"/>
      <c r="S57" s="144"/>
      <c r="T57" s="87"/>
      <c r="U57" s="87"/>
    </row>
    <row r="58" customFormat="false" ht="18" hidden="false" customHeight="true" outlineLevel="0" collapsed="false">
      <c r="B58" s="7"/>
      <c r="C58" s="7"/>
      <c r="D58" s="7"/>
      <c r="E58" s="71"/>
      <c r="F58" s="7"/>
      <c r="G58" s="7"/>
      <c r="H58" s="7"/>
      <c r="I58" s="145"/>
      <c r="J58" s="7"/>
      <c r="K58" s="7"/>
      <c r="L58" s="7"/>
      <c r="M58" s="7"/>
      <c r="N58" s="7"/>
      <c r="O58" s="7"/>
      <c r="P58" s="7"/>
      <c r="Q58" s="7"/>
      <c r="R58" s="146"/>
      <c r="S58" s="146"/>
      <c r="T58" s="7"/>
      <c r="U58" s="7"/>
    </row>
    <row r="59" customFormat="false" ht="18" hidden="false" customHeight="true" outlineLevel="0" collapsed="false">
      <c r="B59" s="87"/>
      <c r="C59" s="87"/>
      <c r="D59" s="87"/>
      <c r="E59" s="142"/>
      <c r="F59" s="87"/>
      <c r="G59" s="87"/>
      <c r="H59" s="87"/>
      <c r="I59" s="143"/>
      <c r="J59" s="87"/>
      <c r="K59" s="87"/>
      <c r="L59" s="87"/>
      <c r="M59" s="87"/>
      <c r="N59" s="87"/>
      <c r="O59" s="87"/>
      <c r="P59" s="87"/>
      <c r="Q59" s="87"/>
      <c r="R59" s="144"/>
      <c r="S59" s="144"/>
      <c r="T59" s="87"/>
      <c r="U59" s="87"/>
    </row>
    <row r="60" customFormat="false" ht="18" hidden="false" customHeight="true" outlineLevel="0" collapsed="false">
      <c r="B60" s="7"/>
      <c r="C60" s="7"/>
      <c r="D60" s="7"/>
      <c r="E60" s="71"/>
      <c r="F60" s="7"/>
      <c r="G60" s="7"/>
      <c r="H60" s="7"/>
      <c r="I60" s="145"/>
      <c r="J60" s="7"/>
      <c r="K60" s="7"/>
      <c r="L60" s="7"/>
      <c r="M60" s="7"/>
      <c r="N60" s="7"/>
      <c r="O60" s="7"/>
      <c r="P60" s="7"/>
      <c r="Q60" s="7"/>
      <c r="R60" s="146"/>
      <c r="S60" s="146"/>
      <c r="T60" s="7"/>
      <c r="U60" s="7"/>
    </row>
    <row r="61" customFormat="false" ht="18" hidden="false" customHeight="true" outlineLevel="0" collapsed="false">
      <c r="B61" s="87"/>
      <c r="C61" s="87"/>
      <c r="D61" s="87"/>
      <c r="E61" s="142"/>
      <c r="F61" s="87"/>
      <c r="G61" s="87"/>
      <c r="H61" s="87"/>
      <c r="I61" s="143"/>
      <c r="J61" s="87"/>
      <c r="K61" s="87"/>
      <c r="L61" s="87"/>
      <c r="M61" s="87"/>
      <c r="N61" s="87"/>
      <c r="O61" s="87"/>
      <c r="P61" s="87"/>
      <c r="Q61" s="87"/>
      <c r="R61" s="144"/>
      <c r="S61" s="144"/>
      <c r="T61" s="87"/>
      <c r="U61" s="87"/>
    </row>
    <row r="62" customFormat="false" ht="18" hidden="false" customHeight="true" outlineLevel="0" collapsed="false">
      <c r="B62" s="7"/>
      <c r="C62" s="7"/>
      <c r="D62" s="7"/>
      <c r="E62" s="71"/>
      <c r="F62" s="7"/>
      <c r="G62" s="7"/>
      <c r="H62" s="7"/>
      <c r="I62" s="145"/>
      <c r="J62" s="7"/>
      <c r="K62" s="7"/>
      <c r="L62" s="7"/>
      <c r="M62" s="7"/>
      <c r="N62" s="7"/>
      <c r="O62" s="7"/>
      <c r="P62" s="7"/>
      <c r="Q62" s="7"/>
      <c r="R62" s="146"/>
      <c r="S62" s="146"/>
      <c r="T62" s="7"/>
      <c r="U62" s="7"/>
    </row>
    <row r="63" customFormat="false" ht="18" hidden="false" customHeight="true" outlineLevel="0" collapsed="false">
      <c r="B63" s="87"/>
      <c r="C63" s="87"/>
      <c r="D63" s="87"/>
      <c r="E63" s="142"/>
      <c r="F63" s="87"/>
      <c r="G63" s="87"/>
      <c r="H63" s="87"/>
      <c r="I63" s="143"/>
      <c r="J63" s="87"/>
      <c r="K63" s="87"/>
      <c r="L63" s="87"/>
      <c r="M63" s="87"/>
      <c r="N63" s="87"/>
      <c r="O63" s="87"/>
      <c r="P63" s="87"/>
      <c r="Q63" s="87"/>
      <c r="R63" s="144"/>
      <c r="S63" s="144"/>
      <c r="T63" s="87"/>
      <c r="U63" s="87"/>
    </row>
    <row r="64" customFormat="false" ht="18" hidden="false" customHeight="true" outlineLevel="0" collapsed="false">
      <c r="B64" s="7"/>
      <c r="C64" s="7"/>
      <c r="D64" s="7"/>
      <c r="E64" s="71"/>
      <c r="F64" s="7"/>
      <c r="G64" s="7"/>
      <c r="H64" s="7"/>
      <c r="I64" s="145"/>
      <c r="J64" s="7"/>
      <c r="K64" s="7"/>
      <c r="L64" s="7"/>
      <c r="M64" s="7"/>
      <c r="N64" s="7"/>
      <c r="O64" s="7"/>
      <c r="P64" s="7"/>
      <c r="Q64" s="7"/>
      <c r="R64" s="146"/>
      <c r="S64" s="146"/>
      <c r="T64" s="7"/>
      <c r="U64" s="7"/>
    </row>
    <row r="65" customFormat="false" ht="18" hidden="false" customHeight="true" outlineLevel="0" collapsed="false">
      <c r="B65" s="87"/>
      <c r="C65" s="87"/>
      <c r="D65" s="87"/>
      <c r="E65" s="142"/>
      <c r="F65" s="87"/>
      <c r="G65" s="87"/>
      <c r="H65" s="87"/>
      <c r="I65" s="143"/>
      <c r="J65" s="87"/>
      <c r="K65" s="87"/>
      <c r="L65" s="87"/>
      <c r="M65" s="87"/>
      <c r="N65" s="87"/>
      <c r="O65" s="87"/>
      <c r="P65" s="87"/>
      <c r="Q65" s="87"/>
      <c r="R65" s="144"/>
      <c r="S65" s="144"/>
      <c r="T65" s="87"/>
      <c r="U65" s="87"/>
    </row>
    <row r="66" customFormat="false" ht="18" hidden="false" customHeight="true" outlineLevel="0" collapsed="false">
      <c r="B66" s="7"/>
      <c r="C66" s="7"/>
      <c r="D66" s="7"/>
      <c r="E66" s="71"/>
      <c r="F66" s="7"/>
      <c r="G66" s="7"/>
      <c r="H66" s="7"/>
      <c r="I66" s="145"/>
      <c r="J66" s="7"/>
      <c r="K66" s="7"/>
      <c r="L66" s="7"/>
      <c r="M66" s="7"/>
      <c r="N66" s="7"/>
      <c r="O66" s="7"/>
      <c r="P66" s="7"/>
      <c r="Q66" s="7"/>
      <c r="R66" s="146"/>
      <c r="S66" s="146"/>
      <c r="T66" s="7"/>
      <c r="U66" s="7"/>
    </row>
    <row r="67" customFormat="false" ht="18" hidden="false" customHeight="true" outlineLevel="0" collapsed="false">
      <c r="B67" s="87"/>
      <c r="C67" s="87"/>
      <c r="D67" s="87"/>
      <c r="E67" s="142"/>
      <c r="F67" s="87"/>
      <c r="G67" s="87"/>
      <c r="H67" s="87"/>
      <c r="I67" s="143"/>
      <c r="J67" s="87"/>
      <c r="K67" s="87"/>
      <c r="L67" s="87"/>
      <c r="M67" s="87"/>
      <c r="N67" s="87"/>
      <c r="O67" s="87"/>
      <c r="P67" s="87"/>
      <c r="Q67" s="87"/>
      <c r="R67" s="144"/>
      <c r="S67" s="144"/>
      <c r="T67" s="87"/>
      <c r="U67" s="87"/>
    </row>
    <row r="68" customFormat="false" ht="18" hidden="false" customHeight="true" outlineLevel="0" collapsed="false">
      <c r="B68" s="7"/>
      <c r="C68" s="7"/>
      <c r="D68" s="7"/>
      <c r="E68" s="71"/>
      <c r="F68" s="7"/>
      <c r="G68" s="7"/>
      <c r="H68" s="7"/>
      <c r="I68" s="145"/>
      <c r="J68" s="7"/>
      <c r="K68" s="7"/>
      <c r="L68" s="7"/>
      <c r="M68" s="7"/>
      <c r="N68" s="7"/>
      <c r="O68" s="7"/>
      <c r="P68" s="7"/>
      <c r="Q68" s="7"/>
      <c r="R68" s="146"/>
      <c r="S68" s="146"/>
      <c r="T68" s="7"/>
      <c r="U68" s="7"/>
    </row>
    <row r="69" customFormat="false" ht="18" hidden="false" customHeight="true" outlineLevel="0" collapsed="false">
      <c r="B69" s="87"/>
      <c r="C69" s="87"/>
      <c r="D69" s="87"/>
      <c r="E69" s="142"/>
      <c r="F69" s="87"/>
      <c r="G69" s="87"/>
      <c r="H69" s="87"/>
      <c r="I69" s="143"/>
      <c r="J69" s="87"/>
      <c r="K69" s="87"/>
      <c r="L69" s="87"/>
      <c r="M69" s="87"/>
      <c r="N69" s="87"/>
      <c r="O69" s="87"/>
      <c r="P69" s="87"/>
      <c r="Q69" s="87"/>
      <c r="R69" s="144"/>
      <c r="S69" s="144"/>
      <c r="T69" s="87"/>
      <c r="U69" s="87"/>
    </row>
    <row r="70" customFormat="false" ht="18" hidden="false" customHeight="true" outlineLevel="0" collapsed="false">
      <c r="B70" s="7"/>
      <c r="C70" s="7"/>
      <c r="D70" s="7"/>
      <c r="E70" s="71"/>
      <c r="F70" s="7"/>
      <c r="G70" s="7"/>
      <c r="H70" s="7"/>
      <c r="I70" s="145"/>
      <c r="J70" s="7"/>
      <c r="K70" s="7"/>
      <c r="L70" s="7"/>
      <c r="M70" s="7"/>
      <c r="N70" s="7"/>
      <c r="O70" s="7"/>
      <c r="P70" s="7"/>
      <c r="Q70" s="7"/>
      <c r="R70" s="146"/>
      <c r="S70" s="146"/>
      <c r="T70" s="7"/>
      <c r="U70" s="7"/>
    </row>
    <row r="71" customFormat="false" ht="18" hidden="false" customHeight="true" outlineLevel="0" collapsed="false">
      <c r="B71" s="87"/>
      <c r="C71" s="87"/>
      <c r="D71" s="87"/>
      <c r="E71" s="142"/>
      <c r="F71" s="87"/>
      <c r="G71" s="87"/>
      <c r="H71" s="87"/>
      <c r="I71" s="143"/>
      <c r="J71" s="87"/>
      <c r="K71" s="87"/>
      <c r="L71" s="87"/>
      <c r="M71" s="87"/>
      <c r="N71" s="87"/>
      <c r="O71" s="87"/>
      <c r="P71" s="87"/>
      <c r="Q71" s="87"/>
      <c r="R71" s="144"/>
      <c r="S71" s="144"/>
      <c r="T71" s="87"/>
      <c r="U71" s="87"/>
    </row>
    <row r="72" customFormat="false" ht="18" hidden="false" customHeight="true" outlineLevel="0" collapsed="false">
      <c r="B72" s="7"/>
      <c r="C72" s="7"/>
      <c r="D72" s="7"/>
      <c r="E72" s="71"/>
      <c r="F72" s="7"/>
      <c r="G72" s="7"/>
      <c r="H72" s="7"/>
      <c r="I72" s="145"/>
      <c r="J72" s="7"/>
      <c r="K72" s="7"/>
      <c r="L72" s="7"/>
      <c r="M72" s="7"/>
      <c r="N72" s="7"/>
      <c r="O72" s="7"/>
      <c r="P72" s="7"/>
      <c r="Q72" s="7"/>
      <c r="R72" s="146"/>
      <c r="S72" s="146"/>
      <c r="T72" s="7"/>
      <c r="U72" s="7"/>
    </row>
    <row r="73" customFormat="false" ht="18" hidden="false" customHeight="true" outlineLevel="0" collapsed="false">
      <c r="B73" s="87"/>
      <c r="C73" s="87"/>
      <c r="D73" s="87"/>
      <c r="E73" s="142"/>
      <c r="F73" s="87"/>
      <c r="G73" s="87"/>
      <c r="H73" s="87"/>
      <c r="I73" s="143"/>
      <c r="J73" s="87"/>
      <c r="K73" s="87"/>
      <c r="L73" s="87"/>
      <c r="M73" s="87"/>
      <c r="N73" s="87"/>
      <c r="O73" s="87"/>
      <c r="P73" s="87"/>
      <c r="Q73" s="87"/>
      <c r="R73" s="144"/>
      <c r="S73" s="144"/>
      <c r="T73" s="87"/>
      <c r="U73" s="87"/>
    </row>
    <row r="74" customFormat="false" ht="18" hidden="false" customHeight="true" outlineLevel="0" collapsed="false">
      <c r="B74" s="7"/>
      <c r="C74" s="7"/>
      <c r="D74" s="7"/>
      <c r="E74" s="71"/>
      <c r="F74" s="7"/>
      <c r="G74" s="7"/>
      <c r="H74" s="7"/>
      <c r="I74" s="145"/>
      <c r="J74" s="7"/>
      <c r="K74" s="7"/>
      <c r="L74" s="7"/>
      <c r="M74" s="7"/>
      <c r="N74" s="7"/>
      <c r="O74" s="7"/>
      <c r="P74" s="7"/>
      <c r="Q74" s="7"/>
      <c r="R74" s="146"/>
      <c r="S74" s="146"/>
      <c r="T74" s="7"/>
      <c r="U74" s="7"/>
    </row>
    <row r="75" customFormat="false" ht="18" hidden="false" customHeight="true" outlineLevel="0" collapsed="false">
      <c r="B75" s="87"/>
      <c r="C75" s="87"/>
      <c r="D75" s="87"/>
      <c r="E75" s="142"/>
      <c r="F75" s="87"/>
      <c r="G75" s="87"/>
      <c r="H75" s="87"/>
      <c r="I75" s="143"/>
      <c r="J75" s="87"/>
      <c r="K75" s="87"/>
      <c r="L75" s="87"/>
      <c r="M75" s="87"/>
      <c r="N75" s="87"/>
      <c r="O75" s="87"/>
      <c r="P75" s="87"/>
      <c r="Q75" s="87"/>
      <c r="R75" s="144"/>
      <c r="S75" s="144"/>
      <c r="T75" s="87"/>
      <c r="U75" s="87"/>
    </row>
    <row r="76" customFormat="false" ht="18" hidden="false" customHeight="true" outlineLevel="0" collapsed="false">
      <c r="B76" s="7"/>
      <c r="C76" s="7"/>
      <c r="D76" s="7"/>
      <c r="E76" s="71"/>
      <c r="F76" s="7"/>
      <c r="G76" s="7"/>
      <c r="H76" s="7"/>
      <c r="I76" s="145"/>
      <c r="J76" s="7"/>
      <c r="K76" s="7"/>
      <c r="L76" s="7"/>
      <c r="M76" s="7"/>
      <c r="N76" s="7"/>
      <c r="O76" s="7"/>
      <c r="P76" s="7"/>
      <c r="Q76" s="7"/>
      <c r="R76" s="146"/>
      <c r="S76" s="146"/>
      <c r="T76" s="7"/>
      <c r="U76" s="7"/>
    </row>
    <row r="77" customFormat="false" ht="18" hidden="false" customHeight="true" outlineLevel="0" collapsed="false">
      <c r="B77" s="87"/>
      <c r="C77" s="87"/>
      <c r="D77" s="87"/>
      <c r="E77" s="142"/>
      <c r="F77" s="87"/>
      <c r="G77" s="87"/>
      <c r="H77" s="87"/>
      <c r="I77" s="143"/>
      <c r="J77" s="87"/>
      <c r="K77" s="87"/>
      <c r="L77" s="87"/>
      <c r="M77" s="87"/>
      <c r="N77" s="87"/>
      <c r="O77" s="87"/>
      <c r="P77" s="87"/>
      <c r="Q77" s="87"/>
      <c r="R77" s="144"/>
      <c r="S77" s="144"/>
      <c r="T77" s="87"/>
      <c r="U77" s="87"/>
    </row>
    <row r="78" customFormat="false" ht="18" hidden="false" customHeight="true" outlineLevel="0" collapsed="false">
      <c r="B78" s="7"/>
      <c r="C78" s="7"/>
      <c r="D78" s="7"/>
      <c r="E78" s="71"/>
      <c r="F78" s="7"/>
      <c r="G78" s="7"/>
      <c r="H78" s="7"/>
      <c r="I78" s="145"/>
      <c r="J78" s="7"/>
      <c r="K78" s="7"/>
      <c r="L78" s="7"/>
      <c r="M78" s="7"/>
      <c r="N78" s="7"/>
      <c r="O78" s="7"/>
      <c r="P78" s="7"/>
      <c r="Q78" s="7"/>
      <c r="R78" s="146"/>
      <c r="S78" s="146"/>
      <c r="T78" s="7"/>
      <c r="U78" s="7"/>
    </row>
    <row r="79" customFormat="false" ht="18" hidden="false" customHeight="true" outlineLevel="0" collapsed="false">
      <c r="B79" s="87"/>
      <c r="C79" s="87"/>
      <c r="D79" s="87"/>
      <c r="E79" s="142"/>
      <c r="F79" s="87"/>
      <c r="G79" s="87"/>
      <c r="H79" s="87"/>
      <c r="I79" s="143"/>
      <c r="J79" s="87"/>
      <c r="K79" s="87"/>
      <c r="L79" s="87"/>
      <c r="M79" s="87"/>
      <c r="N79" s="87"/>
      <c r="O79" s="87"/>
      <c r="P79" s="87"/>
      <c r="Q79" s="87"/>
      <c r="R79" s="144"/>
      <c r="S79" s="144"/>
      <c r="T79" s="87"/>
      <c r="U79" s="87"/>
    </row>
    <row r="80" customFormat="false" ht="18" hidden="false" customHeight="true" outlineLevel="0" collapsed="false">
      <c r="B80" s="7"/>
      <c r="C80" s="7"/>
      <c r="D80" s="7"/>
      <c r="E80" s="71"/>
      <c r="F80" s="7"/>
      <c r="G80" s="7"/>
      <c r="H80" s="7"/>
      <c r="I80" s="145"/>
      <c r="J80" s="7"/>
      <c r="K80" s="7"/>
      <c r="L80" s="7"/>
      <c r="M80" s="7"/>
      <c r="N80" s="7"/>
      <c r="O80" s="7"/>
      <c r="P80" s="7"/>
      <c r="Q80" s="7"/>
      <c r="R80" s="146"/>
      <c r="S80" s="146"/>
      <c r="T80" s="7"/>
      <c r="U80" s="7"/>
    </row>
    <row r="81" customFormat="false" ht="18" hidden="false" customHeight="true" outlineLevel="0" collapsed="false">
      <c r="B81" s="87"/>
      <c r="C81" s="87"/>
      <c r="D81" s="87"/>
      <c r="E81" s="142"/>
      <c r="F81" s="87"/>
      <c r="G81" s="87"/>
      <c r="H81" s="87"/>
      <c r="I81" s="143"/>
      <c r="J81" s="87"/>
      <c r="K81" s="87"/>
      <c r="L81" s="87"/>
      <c r="M81" s="87"/>
      <c r="N81" s="87"/>
      <c r="O81" s="87"/>
      <c r="P81" s="87"/>
      <c r="Q81" s="87"/>
      <c r="R81" s="144"/>
      <c r="S81" s="144"/>
      <c r="T81" s="87"/>
      <c r="U81" s="87"/>
    </row>
    <row r="82" customFormat="false" ht="18" hidden="false" customHeight="true" outlineLevel="0" collapsed="false">
      <c r="B82" s="7"/>
      <c r="C82" s="7"/>
      <c r="D82" s="7"/>
      <c r="E82" s="71"/>
      <c r="F82" s="7"/>
      <c r="G82" s="7"/>
      <c r="H82" s="7"/>
      <c r="I82" s="145"/>
      <c r="J82" s="7"/>
      <c r="K82" s="7"/>
      <c r="L82" s="7"/>
      <c r="M82" s="7"/>
      <c r="N82" s="7"/>
      <c r="O82" s="7"/>
      <c r="P82" s="7"/>
      <c r="Q82" s="7"/>
      <c r="R82" s="146"/>
      <c r="S82" s="146"/>
      <c r="T82" s="7"/>
      <c r="U82" s="7"/>
    </row>
    <row r="83" customFormat="false" ht="18" hidden="false" customHeight="true" outlineLevel="0" collapsed="false">
      <c r="B83" s="87"/>
      <c r="C83" s="87"/>
      <c r="D83" s="87"/>
      <c r="E83" s="142"/>
      <c r="F83" s="87"/>
      <c r="G83" s="87"/>
      <c r="H83" s="87"/>
      <c r="I83" s="143"/>
      <c r="J83" s="87"/>
      <c r="K83" s="87"/>
      <c r="L83" s="87"/>
      <c r="M83" s="87"/>
      <c r="N83" s="87"/>
      <c r="O83" s="87"/>
      <c r="P83" s="87"/>
      <c r="Q83" s="87"/>
      <c r="R83" s="144"/>
      <c r="S83" s="144"/>
      <c r="T83" s="87"/>
      <c r="U83" s="87"/>
    </row>
    <row r="84" customFormat="false" ht="18" hidden="false" customHeight="true" outlineLevel="0" collapsed="false">
      <c r="B84" s="7"/>
      <c r="C84" s="7"/>
      <c r="D84" s="7"/>
      <c r="E84" s="71"/>
      <c r="F84" s="7"/>
      <c r="G84" s="7"/>
      <c r="H84" s="7"/>
      <c r="I84" s="145"/>
      <c r="J84" s="7"/>
      <c r="K84" s="7"/>
      <c r="L84" s="7"/>
      <c r="M84" s="7"/>
      <c r="N84" s="7"/>
      <c r="O84" s="7"/>
      <c r="P84" s="7"/>
      <c r="Q84" s="7"/>
      <c r="R84" s="146"/>
      <c r="S84" s="146"/>
      <c r="T84" s="7"/>
      <c r="U84" s="7"/>
    </row>
    <row r="85" customFormat="false" ht="18" hidden="false" customHeight="true" outlineLevel="0" collapsed="false">
      <c r="B85" s="87"/>
      <c r="C85" s="87"/>
      <c r="D85" s="87"/>
      <c r="E85" s="142"/>
      <c r="F85" s="87"/>
      <c r="G85" s="87"/>
      <c r="H85" s="87"/>
      <c r="I85" s="143"/>
      <c r="J85" s="87"/>
      <c r="K85" s="87"/>
      <c r="L85" s="87"/>
      <c r="M85" s="87"/>
      <c r="N85" s="87"/>
      <c r="O85" s="87"/>
      <c r="P85" s="87"/>
      <c r="Q85" s="87"/>
      <c r="R85" s="144"/>
      <c r="S85" s="144"/>
      <c r="T85" s="87"/>
      <c r="U85" s="87"/>
    </row>
    <row r="86" customFormat="false" ht="18" hidden="false" customHeight="true" outlineLevel="0" collapsed="false">
      <c r="B86" s="7"/>
      <c r="C86" s="7"/>
      <c r="D86" s="7"/>
      <c r="E86" s="71"/>
      <c r="F86" s="7"/>
      <c r="G86" s="7"/>
      <c r="H86" s="7"/>
      <c r="I86" s="145"/>
      <c r="J86" s="7"/>
      <c r="K86" s="7"/>
      <c r="L86" s="7"/>
      <c r="M86" s="7"/>
      <c r="N86" s="7"/>
      <c r="O86" s="7"/>
      <c r="P86" s="7"/>
      <c r="Q86" s="7"/>
      <c r="R86" s="146"/>
      <c r="S86" s="146"/>
      <c r="T86" s="7"/>
      <c r="U86" s="7"/>
    </row>
    <row r="87" customFormat="false" ht="18" hidden="false" customHeight="true" outlineLevel="0" collapsed="false">
      <c r="B87" s="87"/>
      <c r="C87" s="87"/>
      <c r="D87" s="87"/>
      <c r="E87" s="142"/>
      <c r="F87" s="87"/>
      <c r="G87" s="87"/>
      <c r="H87" s="87"/>
      <c r="I87" s="143"/>
      <c r="J87" s="87"/>
      <c r="K87" s="87"/>
      <c r="L87" s="87"/>
      <c r="M87" s="87"/>
      <c r="N87" s="87"/>
      <c r="O87" s="87"/>
      <c r="P87" s="87"/>
      <c r="Q87" s="87"/>
      <c r="R87" s="144"/>
      <c r="S87" s="144"/>
      <c r="T87" s="87"/>
      <c r="U87" s="87"/>
    </row>
    <row r="88" customFormat="false" ht="18" hidden="false" customHeight="true" outlineLevel="0" collapsed="false">
      <c r="B88" s="7"/>
      <c r="C88" s="7"/>
      <c r="D88" s="7"/>
      <c r="E88" s="71"/>
      <c r="F88" s="7"/>
      <c r="G88" s="7"/>
      <c r="H88" s="7"/>
      <c r="I88" s="145"/>
      <c r="J88" s="7"/>
      <c r="K88" s="7"/>
      <c r="L88" s="7"/>
      <c r="M88" s="7"/>
      <c r="N88" s="7"/>
      <c r="O88" s="7"/>
      <c r="P88" s="7"/>
      <c r="Q88" s="7"/>
      <c r="R88" s="146"/>
      <c r="S88" s="146"/>
      <c r="T88" s="7"/>
      <c r="U88" s="7"/>
    </row>
    <row r="89" customFormat="false" ht="18" hidden="false" customHeight="true" outlineLevel="0" collapsed="false">
      <c r="B89" s="87"/>
      <c r="C89" s="87"/>
      <c r="D89" s="87"/>
      <c r="E89" s="142"/>
      <c r="F89" s="87"/>
      <c r="G89" s="87"/>
      <c r="H89" s="87"/>
      <c r="I89" s="143"/>
      <c r="J89" s="87"/>
      <c r="K89" s="87"/>
      <c r="L89" s="87"/>
      <c r="M89" s="87"/>
      <c r="N89" s="87"/>
      <c r="O89" s="87"/>
      <c r="P89" s="87"/>
      <c r="Q89" s="87"/>
      <c r="R89" s="144"/>
      <c r="S89" s="144"/>
      <c r="T89" s="87"/>
      <c r="U89" s="87"/>
    </row>
    <row r="90" customFormat="false" ht="18" hidden="false" customHeight="true" outlineLevel="0" collapsed="false">
      <c r="B90" s="7"/>
      <c r="C90" s="7"/>
      <c r="D90" s="7"/>
      <c r="E90" s="71"/>
      <c r="F90" s="7"/>
      <c r="G90" s="7"/>
      <c r="H90" s="7"/>
      <c r="I90" s="145"/>
      <c r="J90" s="7"/>
      <c r="K90" s="7"/>
      <c r="L90" s="7"/>
      <c r="M90" s="7"/>
      <c r="N90" s="7"/>
      <c r="O90" s="7"/>
      <c r="P90" s="7"/>
      <c r="Q90" s="7"/>
      <c r="R90" s="146"/>
      <c r="S90" s="146"/>
      <c r="T90" s="7"/>
      <c r="U90" s="7"/>
    </row>
    <row r="91" customFormat="false" ht="18" hidden="false" customHeight="true" outlineLevel="0" collapsed="false">
      <c r="B91" s="87"/>
      <c r="C91" s="87"/>
      <c r="D91" s="87"/>
      <c r="E91" s="142"/>
      <c r="F91" s="87"/>
      <c r="G91" s="87"/>
      <c r="H91" s="87"/>
      <c r="I91" s="143"/>
      <c r="J91" s="87"/>
      <c r="K91" s="87"/>
      <c r="L91" s="87"/>
      <c r="M91" s="87"/>
      <c r="N91" s="87"/>
      <c r="O91" s="87"/>
      <c r="P91" s="87"/>
      <c r="Q91" s="87"/>
      <c r="R91" s="144"/>
      <c r="S91" s="144"/>
      <c r="T91" s="87"/>
      <c r="U91" s="87"/>
    </row>
    <row r="92" customFormat="false" ht="18" hidden="false" customHeight="true" outlineLevel="0" collapsed="false">
      <c r="B92" s="7"/>
      <c r="C92" s="7"/>
      <c r="D92" s="7"/>
      <c r="E92" s="71"/>
      <c r="F92" s="7"/>
      <c r="G92" s="7"/>
      <c r="H92" s="7"/>
      <c r="I92" s="145"/>
      <c r="J92" s="7"/>
      <c r="K92" s="7"/>
      <c r="L92" s="7"/>
      <c r="M92" s="7"/>
      <c r="N92" s="7"/>
      <c r="O92" s="7"/>
      <c r="P92" s="7"/>
      <c r="Q92" s="7"/>
      <c r="R92" s="146"/>
      <c r="S92" s="146"/>
      <c r="T92" s="7"/>
      <c r="U92" s="7"/>
    </row>
    <row r="93" customFormat="false" ht="18" hidden="false" customHeight="true" outlineLevel="0" collapsed="false">
      <c r="B93" s="87"/>
      <c r="C93" s="87"/>
      <c r="D93" s="87"/>
      <c r="E93" s="142"/>
      <c r="F93" s="87"/>
      <c r="G93" s="87"/>
      <c r="H93" s="87"/>
      <c r="I93" s="143"/>
      <c r="J93" s="87"/>
      <c r="K93" s="87"/>
      <c r="L93" s="87"/>
      <c r="M93" s="87"/>
      <c r="N93" s="87"/>
      <c r="O93" s="87"/>
      <c r="P93" s="87"/>
      <c r="Q93" s="87"/>
      <c r="R93" s="144"/>
      <c r="S93" s="144"/>
      <c r="T93" s="87"/>
      <c r="U93" s="87"/>
    </row>
    <row r="94" customFormat="false" ht="18" hidden="false" customHeight="true" outlineLevel="0" collapsed="false">
      <c r="B94" s="7"/>
      <c r="C94" s="7"/>
      <c r="D94" s="7"/>
      <c r="E94" s="71"/>
      <c r="F94" s="7"/>
      <c r="G94" s="7"/>
      <c r="H94" s="7"/>
      <c r="I94" s="145"/>
      <c r="J94" s="7"/>
      <c r="K94" s="7"/>
      <c r="L94" s="7"/>
      <c r="M94" s="7"/>
      <c r="N94" s="7"/>
      <c r="O94" s="7"/>
      <c r="P94" s="7"/>
      <c r="Q94" s="7"/>
      <c r="R94" s="146"/>
      <c r="S94" s="146"/>
      <c r="T94" s="7"/>
      <c r="U94" s="7"/>
    </row>
    <row r="95" customFormat="false" ht="18" hidden="false" customHeight="true" outlineLevel="0" collapsed="false">
      <c r="B95" s="87"/>
      <c r="C95" s="87"/>
      <c r="D95" s="87"/>
      <c r="E95" s="142"/>
      <c r="F95" s="87"/>
      <c r="G95" s="87"/>
      <c r="H95" s="87"/>
      <c r="I95" s="143"/>
      <c r="J95" s="87"/>
      <c r="K95" s="87"/>
      <c r="L95" s="87"/>
      <c r="M95" s="87"/>
      <c r="N95" s="87"/>
      <c r="O95" s="87"/>
      <c r="P95" s="87"/>
      <c r="Q95" s="87"/>
      <c r="R95" s="144"/>
      <c r="S95" s="144"/>
      <c r="T95" s="87"/>
      <c r="U95" s="87"/>
    </row>
    <row r="96" customFormat="false" ht="18" hidden="false" customHeight="true" outlineLevel="0" collapsed="false">
      <c r="B96" s="7"/>
      <c r="C96" s="7"/>
      <c r="D96" s="7"/>
      <c r="E96" s="71"/>
      <c r="F96" s="7"/>
      <c r="G96" s="7"/>
      <c r="H96" s="7"/>
      <c r="I96" s="145"/>
      <c r="J96" s="7"/>
      <c r="K96" s="7"/>
      <c r="L96" s="7"/>
      <c r="M96" s="7"/>
      <c r="N96" s="7"/>
      <c r="O96" s="7"/>
      <c r="P96" s="7"/>
      <c r="Q96" s="7"/>
      <c r="R96" s="146"/>
      <c r="S96" s="146"/>
      <c r="T96" s="7"/>
      <c r="U96" s="7"/>
    </row>
    <row r="97" customFormat="false" ht="18" hidden="false" customHeight="true" outlineLevel="0" collapsed="false">
      <c r="B97" s="87"/>
      <c r="C97" s="87"/>
      <c r="D97" s="87"/>
      <c r="E97" s="142"/>
      <c r="F97" s="87"/>
      <c r="G97" s="87"/>
      <c r="H97" s="87"/>
      <c r="I97" s="143"/>
      <c r="J97" s="87"/>
      <c r="K97" s="87"/>
      <c r="L97" s="87"/>
      <c r="M97" s="87"/>
      <c r="N97" s="87"/>
      <c r="O97" s="87"/>
      <c r="P97" s="87"/>
      <c r="Q97" s="87"/>
      <c r="R97" s="144"/>
      <c r="S97" s="144"/>
      <c r="T97" s="87"/>
      <c r="U97" s="87"/>
    </row>
    <row r="98" customFormat="false" ht="18" hidden="false" customHeight="true" outlineLevel="0" collapsed="false">
      <c r="B98" s="7"/>
      <c r="C98" s="7"/>
      <c r="D98" s="7"/>
      <c r="E98" s="71"/>
      <c r="F98" s="7"/>
      <c r="G98" s="7"/>
      <c r="H98" s="7"/>
      <c r="I98" s="145"/>
      <c r="J98" s="7"/>
      <c r="K98" s="7"/>
      <c r="L98" s="7"/>
      <c r="M98" s="7"/>
      <c r="N98" s="7"/>
      <c r="O98" s="7"/>
      <c r="P98" s="7"/>
      <c r="Q98" s="7"/>
      <c r="R98" s="146"/>
      <c r="S98" s="146"/>
      <c r="T98" s="7"/>
      <c r="U98" s="7"/>
    </row>
    <row r="99" customFormat="false" ht="18" hidden="false" customHeight="true" outlineLevel="0" collapsed="false">
      <c r="B99" s="87"/>
      <c r="C99" s="87"/>
      <c r="D99" s="87"/>
      <c r="E99" s="142"/>
      <c r="F99" s="87"/>
      <c r="G99" s="87"/>
      <c r="H99" s="87"/>
      <c r="I99" s="143"/>
      <c r="J99" s="87"/>
      <c r="K99" s="87"/>
      <c r="L99" s="87"/>
      <c r="M99" s="87"/>
      <c r="N99" s="87"/>
      <c r="O99" s="87"/>
      <c r="P99" s="87"/>
      <c r="Q99" s="87"/>
      <c r="R99" s="144"/>
      <c r="S99" s="144"/>
      <c r="T99" s="87"/>
      <c r="U99" s="87"/>
    </row>
    <row r="100" customFormat="false" ht="18" hidden="false" customHeight="true" outlineLevel="0" collapsed="false">
      <c r="B100" s="7"/>
      <c r="C100" s="7"/>
      <c r="D100" s="7"/>
      <c r="E100" s="71"/>
      <c r="F100" s="7"/>
      <c r="G100" s="7"/>
      <c r="H100" s="7"/>
      <c r="I100" s="145"/>
      <c r="J100" s="7"/>
      <c r="K100" s="7"/>
      <c r="L100" s="7"/>
      <c r="M100" s="7"/>
      <c r="N100" s="7"/>
      <c r="O100" s="7"/>
      <c r="P100" s="7"/>
      <c r="Q100" s="7"/>
      <c r="R100" s="146"/>
      <c r="S100" s="146"/>
      <c r="T100" s="7"/>
      <c r="U100" s="7"/>
    </row>
    <row r="101" customFormat="false" ht="18" hidden="false" customHeight="true" outlineLevel="0" collapsed="false">
      <c r="B101" s="87"/>
      <c r="C101" s="87"/>
      <c r="D101" s="87"/>
      <c r="E101" s="142"/>
      <c r="F101" s="87"/>
      <c r="G101" s="87"/>
      <c r="H101" s="87"/>
      <c r="I101" s="143"/>
      <c r="J101" s="87"/>
      <c r="K101" s="87"/>
      <c r="L101" s="87"/>
      <c r="M101" s="87"/>
      <c r="N101" s="87"/>
      <c r="O101" s="87"/>
      <c r="P101" s="87"/>
      <c r="Q101" s="87"/>
      <c r="R101" s="144"/>
      <c r="S101" s="144"/>
      <c r="T101" s="87"/>
      <c r="U101" s="87"/>
    </row>
    <row r="102" customFormat="false" ht="18" hidden="false" customHeight="true" outlineLevel="0" collapsed="false">
      <c r="B102" s="7"/>
      <c r="C102" s="7"/>
      <c r="D102" s="7"/>
      <c r="E102" s="71"/>
      <c r="F102" s="7"/>
      <c r="G102" s="7"/>
      <c r="H102" s="7"/>
      <c r="I102" s="145"/>
      <c r="J102" s="7"/>
      <c r="K102" s="7"/>
      <c r="L102" s="7"/>
      <c r="M102" s="7"/>
      <c r="N102" s="7"/>
      <c r="O102" s="7"/>
      <c r="P102" s="7"/>
      <c r="Q102" s="7"/>
      <c r="R102" s="146"/>
      <c r="S102" s="146"/>
      <c r="T102" s="7"/>
      <c r="U102" s="7"/>
    </row>
    <row r="103" customFormat="false" ht="18" hidden="false" customHeight="true" outlineLevel="0" collapsed="false">
      <c r="B103" s="87"/>
      <c r="C103" s="87"/>
      <c r="D103" s="87"/>
      <c r="E103" s="142"/>
      <c r="F103" s="87"/>
      <c r="G103" s="87"/>
      <c r="H103" s="87"/>
      <c r="I103" s="143"/>
      <c r="J103" s="87"/>
      <c r="K103" s="87"/>
      <c r="L103" s="87"/>
      <c r="M103" s="87"/>
      <c r="N103" s="87"/>
      <c r="O103" s="87"/>
      <c r="P103" s="87"/>
      <c r="Q103" s="87"/>
      <c r="R103" s="144"/>
      <c r="S103" s="144"/>
      <c r="T103" s="87"/>
      <c r="U103" s="87"/>
    </row>
    <row r="104" customFormat="false" ht="18" hidden="false" customHeight="true" outlineLevel="0" collapsed="false">
      <c r="B104" s="7"/>
      <c r="C104" s="7"/>
      <c r="D104" s="7"/>
      <c r="E104" s="71"/>
      <c r="F104" s="7"/>
      <c r="G104" s="7"/>
      <c r="H104" s="7"/>
      <c r="I104" s="145"/>
      <c r="J104" s="7"/>
      <c r="K104" s="7"/>
      <c r="L104" s="7"/>
      <c r="M104" s="7"/>
      <c r="N104" s="7"/>
      <c r="O104" s="7"/>
      <c r="P104" s="7"/>
      <c r="Q104" s="7"/>
      <c r="R104" s="146"/>
      <c r="S104" s="146"/>
      <c r="T104" s="7"/>
      <c r="U104" s="7"/>
    </row>
    <row r="105" customFormat="false" ht="18" hidden="false" customHeight="true" outlineLevel="0" collapsed="false">
      <c r="B105" s="87"/>
      <c r="C105" s="87"/>
      <c r="D105" s="87"/>
      <c r="E105" s="142"/>
      <c r="F105" s="87"/>
      <c r="G105" s="87"/>
      <c r="H105" s="87"/>
      <c r="I105" s="143"/>
      <c r="J105" s="87"/>
      <c r="K105" s="87"/>
      <c r="L105" s="87"/>
      <c r="M105" s="87"/>
      <c r="N105" s="87"/>
      <c r="O105" s="87"/>
      <c r="P105" s="87"/>
      <c r="Q105" s="87"/>
      <c r="R105" s="144"/>
      <c r="S105" s="144"/>
      <c r="T105" s="87"/>
      <c r="U105" s="87"/>
    </row>
    <row r="106" customFormat="false" ht="18" hidden="false" customHeight="true" outlineLevel="0" collapsed="false">
      <c r="B106" s="7"/>
      <c r="C106" s="7"/>
      <c r="D106" s="7"/>
      <c r="E106" s="71"/>
      <c r="F106" s="7"/>
      <c r="G106" s="7"/>
      <c r="H106" s="7"/>
      <c r="I106" s="145"/>
      <c r="J106" s="7"/>
      <c r="K106" s="7"/>
      <c r="L106" s="7"/>
      <c r="M106" s="7"/>
      <c r="N106" s="7"/>
      <c r="O106" s="7"/>
      <c r="P106" s="7"/>
      <c r="Q106" s="7"/>
      <c r="R106" s="146"/>
      <c r="S106" s="146"/>
      <c r="T106" s="7"/>
      <c r="U106" s="7"/>
    </row>
    <row r="107" customFormat="false" ht="18" hidden="false" customHeight="true" outlineLevel="0" collapsed="false">
      <c r="B107" s="87"/>
      <c r="C107" s="87"/>
      <c r="D107" s="87"/>
      <c r="E107" s="142"/>
      <c r="F107" s="87"/>
      <c r="G107" s="87"/>
      <c r="H107" s="87"/>
      <c r="I107" s="143"/>
      <c r="J107" s="87"/>
      <c r="K107" s="87"/>
      <c r="L107" s="87"/>
      <c r="M107" s="87"/>
      <c r="N107" s="87"/>
      <c r="O107" s="87"/>
      <c r="P107" s="87"/>
      <c r="Q107" s="87"/>
      <c r="R107" s="144"/>
      <c r="S107" s="144"/>
      <c r="T107" s="87"/>
      <c r="U107" s="87"/>
    </row>
    <row r="108" customFormat="false" ht="18" hidden="false" customHeight="true" outlineLevel="0" collapsed="false">
      <c r="B108" s="7"/>
      <c r="C108" s="7"/>
      <c r="D108" s="7"/>
      <c r="E108" s="71"/>
      <c r="F108" s="7"/>
      <c r="G108" s="7"/>
      <c r="H108" s="7"/>
      <c r="I108" s="145"/>
      <c r="J108" s="7"/>
      <c r="K108" s="7"/>
      <c r="L108" s="7"/>
      <c r="M108" s="7"/>
      <c r="N108" s="7"/>
      <c r="O108" s="7"/>
      <c r="P108" s="7"/>
      <c r="Q108" s="7"/>
      <c r="R108" s="146"/>
      <c r="S108" s="146"/>
      <c r="T108" s="7"/>
      <c r="U108" s="7"/>
    </row>
    <row r="109" customFormat="false" ht="18" hidden="false" customHeight="true" outlineLevel="0" collapsed="false">
      <c r="B109" s="87"/>
      <c r="C109" s="87"/>
      <c r="D109" s="87"/>
      <c r="E109" s="142"/>
      <c r="F109" s="87"/>
      <c r="G109" s="87"/>
      <c r="H109" s="87"/>
      <c r="I109" s="143"/>
      <c r="J109" s="87"/>
      <c r="K109" s="87"/>
      <c r="L109" s="87"/>
      <c r="M109" s="87"/>
      <c r="N109" s="87"/>
      <c r="O109" s="87"/>
      <c r="P109" s="87"/>
      <c r="Q109" s="87"/>
      <c r="R109" s="144"/>
      <c r="S109" s="144"/>
      <c r="T109" s="87"/>
      <c r="U109" s="87"/>
    </row>
    <row r="110" customFormat="false" ht="18" hidden="false" customHeight="true" outlineLevel="0" collapsed="false">
      <c r="B110" s="7"/>
      <c r="C110" s="7"/>
      <c r="D110" s="7"/>
      <c r="E110" s="71"/>
      <c r="F110" s="7"/>
      <c r="G110" s="7"/>
      <c r="H110" s="7"/>
      <c r="I110" s="145"/>
      <c r="J110" s="7"/>
      <c r="K110" s="7"/>
      <c r="L110" s="7"/>
      <c r="M110" s="7"/>
      <c r="N110" s="7"/>
      <c r="O110" s="7"/>
      <c r="P110" s="7"/>
      <c r="Q110" s="7"/>
      <c r="R110" s="146"/>
      <c r="S110" s="146"/>
      <c r="T110" s="7"/>
      <c r="U110" s="7"/>
    </row>
    <row r="111" customFormat="false" ht="18" hidden="false" customHeight="true" outlineLevel="0" collapsed="false">
      <c r="B111" s="87"/>
      <c r="C111" s="87"/>
      <c r="D111" s="87"/>
      <c r="E111" s="142"/>
      <c r="F111" s="87"/>
      <c r="G111" s="87"/>
      <c r="H111" s="87"/>
      <c r="I111" s="143"/>
      <c r="J111" s="87"/>
      <c r="K111" s="87"/>
      <c r="L111" s="87"/>
      <c r="M111" s="87"/>
      <c r="N111" s="87"/>
      <c r="O111" s="87"/>
      <c r="P111" s="87"/>
      <c r="Q111" s="87"/>
      <c r="R111" s="144"/>
      <c r="S111" s="144"/>
      <c r="T111" s="87"/>
      <c r="U111" s="87"/>
    </row>
    <row r="112" customFormat="false" ht="18" hidden="false" customHeight="true" outlineLevel="0" collapsed="false">
      <c r="B112" s="7"/>
      <c r="C112" s="7"/>
      <c r="D112" s="7"/>
      <c r="E112" s="71"/>
      <c r="F112" s="7"/>
      <c r="G112" s="7"/>
      <c r="H112" s="7"/>
      <c r="I112" s="145"/>
      <c r="J112" s="7"/>
      <c r="K112" s="7"/>
      <c r="L112" s="7"/>
      <c r="M112" s="7"/>
      <c r="N112" s="7"/>
      <c r="O112" s="7"/>
      <c r="P112" s="7"/>
      <c r="Q112" s="7"/>
      <c r="R112" s="146"/>
      <c r="S112" s="146"/>
      <c r="T112" s="7"/>
      <c r="U112" s="7"/>
    </row>
    <row r="113" customFormat="false" ht="18" hidden="false" customHeight="true" outlineLevel="0" collapsed="false">
      <c r="B113" s="87"/>
      <c r="C113" s="87"/>
      <c r="D113" s="87"/>
      <c r="E113" s="142"/>
      <c r="F113" s="87"/>
      <c r="G113" s="87"/>
      <c r="H113" s="87"/>
      <c r="I113" s="143"/>
      <c r="J113" s="87"/>
      <c r="K113" s="87"/>
      <c r="L113" s="87"/>
      <c r="M113" s="87"/>
      <c r="N113" s="87"/>
      <c r="O113" s="87"/>
      <c r="P113" s="87"/>
      <c r="Q113" s="87"/>
      <c r="R113" s="144"/>
      <c r="S113" s="144"/>
      <c r="T113" s="87"/>
      <c r="U113" s="87"/>
    </row>
    <row r="114" customFormat="false" ht="18" hidden="false" customHeight="true" outlineLevel="0" collapsed="false">
      <c r="B114" s="7"/>
      <c r="C114" s="7"/>
      <c r="D114" s="7"/>
      <c r="E114" s="71"/>
      <c r="F114" s="7"/>
      <c r="G114" s="7"/>
      <c r="H114" s="7"/>
      <c r="I114" s="145"/>
      <c r="J114" s="7"/>
      <c r="K114" s="7"/>
      <c r="L114" s="7"/>
      <c r="M114" s="7"/>
      <c r="N114" s="7"/>
      <c r="O114" s="7"/>
      <c r="P114" s="7"/>
      <c r="Q114" s="7"/>
      <c r="R114" s="146"/>
      <c r="S114" s="146"/>
      <c r="T114" s="7"/>
      <c r="U114" s="7"/>
    </row>
    <row r="115" customFormat="false" ht="18" hidden="false" customHeight="true" outlineLevel="0" collapsed="false">
      <c r="B115" s="87"/>
      <c r="C115" s="87"/>
      <c r="D115" s="87"/>
      <c r="E115" s="142"/>
      <c r="F115" s="87"/>
      <c r="G115" s="87"/>
      <c r="H115" s="87"/>
      <c r="I115" s="143"/>
      <c r="J115" s="87"/>
      <c r="K115" s="87"/>
      <c r="L115" s="87"/>
      <c r="M115" s="87"/>
      <c r="N115" s="87"/>
      <c r="O115" s="87"/>
      <c r="P115" s="87"/>
      <c r="Q115" s="87"/>
      <c r="R115" s="144"/>
      <c r="S115" s="144"/>
      <c r="T115" s="87"/>
      <c r="U115" s="87"/>
    </row>
    <row r="116" customFormat="false" ht="18" hidden="false" customHeight="true" outlineLevel="0" collapsed="false">
      <c r="B116" s="7"/>
      <c r="C116" s="7"/>
      <c r="D116" s="7"/>
      <c r="E116" s="71"/>
      <c r="F116" s="7"/>
      <c r="G116" s="7"/>
      <c r="H116" s="7"/>
      <c r="I116" s="145"/>
      <c r="J116" s="7"/>
      <c r="K116" s="7"/>
      <c r="L116" s="7"/>
      <c r="M116" s="7"/>
      <c r="N116" s="7"/>
      <c r="O116" s="7"/>
      <c r="P116" s="7"/>
      <c r="Q116" s="7"/>
      <c r="R116" s="146"/>
      <c r="S116" s="146"/>
      <c r="T116" s="7"/>
      <c r="U116" s="7"/>
    </row>
    <row r="117" customFormat="false" ht="18" hidden="false" customHeight="true" outlineLevel="0" collapsed="false">
      <c r="B117" s="87"/>
      <c r="C117" s="87"/>
      <c r="D117" s="87"/>
      <c r="E117" s="142"/>
      <c r="F117" s="87"/>
      <c r="G117" s="87"/>
      <c r="H117" s="87"/>
      <c r="I117" s="143"/>
      <c r="J117" s="87"/>
      <c r="K117" s="87"/>
      <c r="L117" s="87"/>
      <c r="M117" s="87"/>
      <c r="N117" s="87"/>
      <c r="O117" s="87"/>
      <c r="P117" s="87"/>
      <c r="Q117" s="87"/>
      <c r="R117" s="144"/>
      <c r="S117" s="144"/>
      <c r="T117" s="87"/>
      <c r="U117" s="87"/>
    </row>
    <row r="118" customFormat="false" ht="18" hidden="false" customHeight="true" outlineLevel="0" collapsed="false">
      <c r="B118" s="7"/>
      <c r="C118" s="7"/>
      <c r="D118" s="7"/>
      <c r="E118" s="71"/>
      <c r="F118" s="7"/>
      <c r="G118" s="7"/>
      <c r="H118" s="7"/>
      <c r="I118" s="145"/>
      <c r="J118" s="7"/>
      <c r="K118" s="7"/>
      <c r="L118" s="7"/>
      <c r="M118" s="7"/>
      <c r="N118" s="7"/>
      <c r="O118" s="7"/>
      <c r="P118" s="7"/>
      <c r="Q118" s="7"/>
      <c r="R118" s="146"/>
      <c r="S118" s="146"/>
      <c r="T118" s="7"/>
      <c r="U118" s="7"/>
    </row>
    <row r="119" customFormat="false" ht="18" hidden="false" customHeight="true" outlineLevel="0" collapsed="false">
      <c r="B119" s="87"/>
      <c r="C119" s="87"/>
      <c r="D119" s="87"/>
      <c r="E119" s="142"/>
      <c r="F119" s="87"/>
      <c r="G119" s="87"/>
      <c r="H119" s="87"/>
      <c r="I119" s="143"/>
      <c r="J119" s="87"/>
      <c r="K119" s="87"/>
      <c r="L119" s="87"/>
      <c r="M119" s="87"/>
      <c r="N119" s="87"/>
      <c r="O119" s="87"/>
      <c r="P119" s="87"/>
      <c r="Q119" s="87"/>
      <c r="R119" s="144"/>
      <c r="S119" s="144"/>
      <c r="T119" s="87"/>
      <c r="U119" s="87"/>
    </row>
    <row r="120" customFormat="false" ht="18" hidden="false" customHeight="true" outlineLevel="0" collapsed="false">
      <c r="B120" s="7"/>
      <c r="C120" s="7"/>
      <c r="D120" s="7"/>
      <c r="E120" s="71"/>
      <c r="F120" s="7"/>
      <c r="G120" s="7"/>
      <c r="H120" s="7"/>
      <c r="I120" s="145"/>
      <c r="J120" s="7"/>
      <c r="K120" s="7"/>
      <c r="L120" s="7"/>
      <c r="M120" s="7"/>
      <c r="N120" s="7"/>
      <c r="O120" s="7"/>
      <c r="P120" s="7"/>
      <c r="Q120" s="7"/>
      <c r="R120" s="146"/>
      <c r="S120" s="146"/>
      <c r="T120" s="7"/>
      <c r="U120" s="7"/>
    </row>
    <row r="121" customFormat="false" ht="18" hidden="false" customHeight="true" outlineLevel="0" collapsed="false">
      <c r="B121" s="87"/>
      <c r="C121" s="87"/>
      <c r="D121" s="87"/>
      <c r="E121" s="142"/>
      <c r="F121" s="87"/>
      <c r="G121" s="87"/>
      <c r="H121" s="87"/>
      <c r="I121" s="143"/>
      <c r="J121" s="87"/>
      <c r="K121" s="87"/>
      <c r="L121" s="87"/>
      <c r="M121" s="87"/>
      <c r="N121" s="87"/>
      <c r="O121" s="87"/>
      <c r="P121" s="87"/>
      <c r="Q121" s="87"/>
      <c r="R121" s="144"/>
      <c r="S121" s="144"/>
      <c r="T121" s="87"/>
      <c r="U121" s="87"/>
    </row>
    <row r="122" customFormat="false" ht="18" hidden="false" customHeight="true" outlineLevel="0" collapsed="false">
      <c r="B122" s="7"/>
      <c r="C122" s="7"/>
      <c r="D122" s="7"/>
      <c r="E122" s="71"/>
      <c r="F122" s="7"/>
      <c r="G122" s="7"/>
      <c r="H122" s="7"/>
      <c r="I122" s="145"/>
      <c r="J122" s="7"/>
      <c r="K122" s="7"/>
      <c r="L122" s="7"/>
      <c r="M122" s="7"/>
      <c r="N122" s="7"/>
      <c r="O122" s="7"/>
      <c r="P122" s="7"/>
      <c r="Q122" s="7"/>
      <c r="R122" s="146"/>
      <c r="S122" s="146"/>
      <c r="T122" s="7"/>
      <c r="U122" s="7"/>
    </row>
    <row r="123" customFormat="false" ht="18" hidden="false" customHeight="true" outlineLevel="0" collapsed="false">
      <c r="B123" s="87"/>
      <c r="C123" s="87"/>
      <c r="D123" s="87"/>
      <c r="E123" s="142"/>
      <c r="F123" s="87"/>
      <c r="G123" s="87"/>
      <c r="H123" s="87"/>
      <c r="I123" s="143"/>
      <c r="J123" s="87"/>
      <c r="K123" s="87"/>
      <c r="L123" s="87"/>
      <c r="M123" s="87"/>
      <c r="N123" s="87"/>
      <c r="O123" s="87"/>
      <c r="P123" s="87"/>
      <c r="Q123" s="87"/>
      <c r="R123" s="144"/>
      <c r="S123" s="144"/>
      <c r="T123" s="87"/>
      <c r="U123" s="87"/>
    </row>
    <row r="124" customFormat="false" ht="18" hidden="false" customHeight="true" outlineLevel="0" collapsed="false">
      <c r="B124" s="7"/>
      <c r="C124" s="7"/>
      <c r="D124" s="7"/>
      <c r="E124" s="71"/>
      <c r="F124" s="7"/>
      <c r="G124" s="7"/>
      <c r="H124" s="7"/>
      <c r="I124" s="145"/>
      <c r="J124" s="7"/>
      <c r="K124" s="7"/>
      <c r="L124" s="7"/>
      <c r="M124" s="7"/>
      <c r="N124" s="7"/>
      <c r="O124" s="7"/>
      <c r="P124" s="7"/>
      <c r="Q124" s="7"/>
      <c r="R124" s="146"/>
      <c r="S124" s="146"/>
      <c r="T124" s="7"/>
      <c r="U124" s="7"/>
    </row>
    <row r="125" customFormat="false" ht="18" hidden="false" customHeight="true" outlineLevel="0" collapsed="false">
      <c r="B125" s="87"/>
      <c r="C125" s="87"/>
      <c r="D125" s="87"/>
      <c r="E125" s="142"/>
      <c r="F125" s="87"/>
      <c r="G125" s="87"/>
      <c r="H125" s="87"/>
      <c r="I125" s="143"/>
      <c r="J125" s="87"/>
      <c r="K125" s="87"/>
      <c r="L125" s="87"/>
      <c r="M125" s="87"/>
      <c r="N125" s="87"/>
      <c r="O125" s="87"/>
      <c r="P125" s="87"/>
      <c r="Q125" s="87"/>
      <c r="R125" s="144"/>
      <c r="S125" s="144"/>
      <c r="T125" s="87"/>
      <c r="U125" s="87"/>
    </row>
    <row r="126" customFormat="false" ht="18" hidden="false" customHeight="true" outlineLevel="0" collapsed="false">
      <c r="B126" s="7"/>
      <c r="C126" s="7"/>
      <c r="D126" s="7"/>
      <c r="E126" s="71"/>
      <c r="F126" s="7"/>
      <c r="G126" s="7"/>
      <c r="H126" s="7"/>
      <c r="I126" s="145"/>
      <c r="J126" s="7"/>
      <c r="K126" s="7"/>
      <c r="L126" s="7"/>
      <c r="M126" s="7"/>
      <c r="N126" s="7"/>
      <c r="O126" s="7"/>
      <c r="P126" s="7"/>
      <c r="Q126" s="7"/>
      <c r="R126" s="146"/>
      <c r="S126" s="146"/>
      <c r="T126" s="7"/>
      <c r="U126" s="7"/>
    </row>
    <row r="127" customFormat="false" ht="18" hidden="false" customHeight="true" outlineLevel="0" collapsed="false">
      <c r="B127" s="87"/>
      <c r="C127" s="87"/>
      <c r="D127" s="87"/>
      <c r="E127" s="142"/>
      <c r="F127" s="87"/>
      <c r="G127" s="87"/>
      <c r="H127" s="87"/>
      <c r="I127" s="143"/>
      <c r="J127" s="87"/>
      <c r="K127" s="87"/>
      <c r="L127" s="87"/>
      <c r="M127" s="87"/>
      <c r="N127" s="87"/>
      <c r="O127" s="87"/>
      <c r="P127" s="87"/>
      <c r="Q127" s="87"/>
      <c r="R127" s="144"/>
      <c r="S127" s="144"/>
      <c r="T127" s="87"/>
      <c r="U127" s="87"/>
    </row>
    <row r="128" customFormat="false" ht="18" hidden="false" customHeight="true" outlineLevel="0" collapsed="false">
      <c r="B128" s="7"/>
      <c r="C128" s="7"/>
      <c r="D128" s="7"/>
      <c r="E128" s="71"/>
      <c r="F128" s="7"/>
      <c r="G128" s="7"/>
      <c r="H128" s="7"/>
      <c r="I128" s="145"/>
      <c r="J128" s="7"/>
      <c r="K128" s="7"/>
      <c r="L128" s="7"/>
      <c r="M128" s="7"/>
      <c r="N128" s="7"/>
      <c r="O128" s="7"/>
      <c r="P128" s="7"/>
      <c r="Q128" s="7"/>
      <c r="R128" s="146"/>
      <c r="S128" s="146"/>
      <c r="T128" s="7"/>
      <c r="U128" s="7"/>
    </row>
    <row r="129" customFormat="false" ht="18" hidden="false" customHeight="true" outlineLevel="0" collapsed="false">
      <c r="B129" s="87"/>
      <c r="C129" s="87"/>
      <c r="D129" s="87"/>
      <c r="E129" s="142"/>
      <c r="F129" s="87"/>
      <c r="G129" s="87"/>
      <c r="H129" s="87"/>
      <c r="I129" s="143"/>
      <c r="J129" s="87"/>
      <c r="K129" s="87"/>
      <c r="L129" s="87"/>
      <c r="M129" s="87"/>
      <c r="N129" s="87"/>
      <c r="O129" s="87"/>
      <c r="P129" s="87"/>
      <c r="Q129" s="87"/>
      <c r="R129" s="144"/>
      <c r="S129" s="144"/>
      <c r="T129" s="87"/>
      <c r="U129" s="87"/>
    </row>
    <row r="130" customFormat="false" ht="18" hidden="false" customHeight="true" outlineLevel="0" collapsed="false">
      <c r="B130" s="7"/>
      <c r="C130" s="7"/>
      <c r="D130" s="7"/>
      <c r="E130" s="71"/>
      <c r="F130" s="7"/>
      <c r="G130" s="7"/>
      <c r="H130" s="7"/>
      <c r="I130" s="145"/>
      <c r="J130" s="7"/>
      <c r="K130" s="7"/>
      <c r="L130" s="7"/>
      <c r="M130" s="7"/>
      <c r="N130" s="7"/>
      <c r="O130" s="7"/>
      <c r="P130" s="7"/>
      <c r="Q130" s="7"/>
      <c r="R130" s="146"/>
      <c r="S130" s="146"/>
      <c r="T130" s="7"/>
      <c r="U130" s="7"/>
    </row>
    <row r="131" customFormat="false" ht="18" hidden="false" customHeight="true" outlineLevel="0" collapsed="false">
      <c r="B131" s="87"/>
      <c r="C131" s="87"/>
      <c r="D131" s="87"/>
      <c r="E131" s="142"/>
      <c r="F131" s="87"/>
      <c r="G131" s="87"/>
      <c r="H131" s="87"/>
      <c r="I131" s="143"/>
      <c r="J131" s="87"/>
      <c r="K131" s="87"/>
      <c r="L131" s="87"/>
      <c r="M131" s="87"/>
      <c r="N131" s="87"/>
      <c r="O131" s="87"/>
      <c r="P131" s="87"/>
      <c r="Q131" s="87"/>
      <c r="R131" s="144"/>
      <c r="S131" s="144"/>
      <c r="T131" s="87"/>
      <c r="U131" s="87"/>
    </row>
    <row r="132" customFormat="false" ht="18" hidden="false" customHeight="true" outlineLevel="0" collapsed="false">
      <c r="B132" s="7"/>
      <c r="C132" s="7"/>
      <c r="D132" s="7"/>
      <c r="E132" s="71"/>
      <c r="F132" s="7"/>
      <c r="G132" s="7"/>
      <c r="H132" s="7"/>
      <c r="I132" s="145"/>
      <c r="J132" s="7"/>
      <c r="K132" s="7"/>
      <c r="L132" s="7"/>
      <c r="M132" s="7"/>
      <c r="N132" s="7"/>
      <c r="O132" s="7"/>
      <c r="P132" s="7"/>
      <c r="Q132" s="7"/>
      <c r="R132" s="146"/>
      <c r="S132" s="146"/>
      <c r="T132" s="7"/>
      <c r="U132" s="7"/>
    </row>
    <row r="133" customFormat="false" ht="18" hidden="false" customHeight="true" outlineLevel="0" collapsed="false">
      <c r="B133" s="87"/>
      <c r="C133" s="87"/>
      <c r="D133" s="87"/>
      <c r="E133" s="142"/>
      <c r="F133" s="87"/>
      <c r="G133" s="87"/>
      <c r="H133" s="87"/>
      <c r="I133" s="143"/>
      <c r="J133" s="87"/>
      <c r="K133" s="87"/>
      <c r="L133" s="87"/>
      <c r="M133" s="87"/>
      <c r="N133" s="87"/>
      <c r="O133" s="87"/>
      <c r="P133" s="87"/>
      <c r="Q133" s="87"/>
      <c r="R133" s="144"/>
      <c r="S133" s="144"/>
      <c r="T133" s="87"/>
      <c r="U133" s="87"/>
    </row>
    <row r="134" customFormat="false" ht="18" hidden="false" customHeight="true" outlineLevel="0" collapsed="false">
      <c r="B134" s="7"/>
      <c r="C134" s="7"/>
      <c r="D134" s="7"/>
      <c r="E134" s="71"/>
      <c r="F134" s="7"/>
      <c r="G134" s="7"/>
      <c r="H134" s="7"/>
      <c r="I134" s="145"/>
      <c r="J134" s="7"/>
      <c r="K134" s="7"/>
      <c r="L134" s="7"/>
      <c r="M134" s="7"/>
      <c r="N134" s="7"/>
      <c r="O134" s="7"/>
      <c r="P134" s="7"/>
      <c r="Q134" s="7"/>
      <c r="R134" s="146"/>
      <c r="S134" s="146"/>
      <c r="T134" s="7"/>
      <c r="U134" s="7"/>
    </row>
    <row r="135" customFormat="false" ht="18" hidden="false" customHeight="true" outlineLevel="0" collapsed="false">
      <c r="B135" s="87"/>
      <c r="C135" s="87"/>
      <c r="D135" s="87"/>
      <c r="E135" s="142"/>
      <c r="F135" s="87"/>
      <c r="G135" s="87"/>
      <c r="H135" s="87"/>
      <c r="I135" s="143"/>
      <c r="J135" s="87"/>
      <c r="K135" s="87"/>
      <c r="L135" s="87"/>
      <c r="M135" s="87"/>
      <c r="N135" s="87"/>
      <c r="O135" s="87"/>
      <c r="P135" s="87"/>
      <c r="Q135" s="87"/>
      <c r="R135" s="144"/>
      <c r="S135" s="144"/>
      <c r="T135" s="87"/>
      <c r="U135" s="87"/>
    </row>
    <row r="136" customFormat="false" ht="18" hidden="false" customHeight="true" outlineLevel="0" collapsed="false">
      <c r="B136" s="7"/>
      <c r="C136" s="7"/>
      <c r="D136" s="7"/>
      <c r="E136" s="71"/>
      <c r="F136" s="7"/>
      <c r="G136" s="7"/>
      <c r="H136" s="7"/>
      <c r="I136" s="145"/>
      <c r="J136" s="7"/>
      <c r="K136" s="7"/>
      <c r="L136" s="7"/>
      <c r="M136" s="7"/>
      <c r="N136" s="7"/>
      <c r="O136" s="7"/>
      <c r="P136" s="7"/>
      <c r="Q136" s="7"/>
      <c r="R136" s="146"/>
      <c r="S136" s="146"/>
      <c r="T136" s="7"/>
      <c r="U136" s="7"/>
    </row>
    <row r="137" customFormat="false" ht="18" hidden="false" customHeight="true" outlineLevel="0" collapsed="false">
      <c r="B137" s="87"/>
      <c r="C137" s="87"/>
      <c r="D137" s="87"/>
      <c r="E137" s="142"/>
      <c r="F137" s="87"/>
      <c r="G137" s="87"/>
      <c r="H137" s="87"/>
      <c r="I137" s="143"/>
      <c r="J137" s="87"/>
      <c r="K137" s="87"/>
      <c r="L137" s="87"/>
      <c r="M137" s="87"/>
      <c r="N137" s="87"/>
      <c r="O137" s="87"/>
      <c r="P137" s="87"/>
      <c r="Q137" s="87"/>
      <c r="R137" s="144"/>
      <c r="S137" s="144"/>
      <c r="T137" s="87"/>
      <c r="U137" s="87"/>
    </row>
    <row r="138" customFormat="false" ht="18" hidden="false" customHeight="true" outlineLevel="0" collapsed="false">
      <c r="B138" s="7"/>
      <c r="C138" s="7"/>
      <c r="D138" s="7"/>
      <c r="E138" s="71"/>
      <c r="F138" s="7"/>
      <c r="G138" s="7"/>
      <c r="H138" s="7"/>
      <c r="I138" s="145"/>
      <c r="J138" s="7"/>
      <c r="K138" s="7"/>
      <c r="L138" s="7"/>
      <c r="M138" s="7"/>
      <c r="N138" s="7"/>
      <c r="O138" s="7"/>
      <c r="P138" s="7"/>
      <c r="Q138" s="7"/>
      <c r="R138" s="146"/>
      <c r="S138" s="146"/>
      <c r="T138" s="7"/>
      <c r="U138" s="7"/>
    </row>
    <row r="139" customFormat="false" ht="18" hidden="false" customHeight="true" outlineLevel="0" collapsed="false">
      <c r="B139" s="87"/>
      <c r="C139" s="87"/>
      <c r="D139" s="87"/>
      <c r="E139" s="142"/>
      <c r="F139" s="87"/>
      <c r="G139" s="87"/>
      <c r="H139" s="87"/>
      <c r="I139" s="143"/>
      <c r="J139" s="87"/>
      <c r="K139" s="87"/>
      <c r="L139" s="87"/>
      <c r="M139" s="87"/>
      <c r="N139" s="87"/>
      <c r="O139" s="87"/>
      <c r="P139" s="87"/>
      <c r="Q139" s="87"/>
      <c r="R139" s="144"/>
      <c r="S139" s="144"/>
      <c r="T139" s="87"/>
      <c r="U139" s="87"/>
    </row>
    <row r="140" customFormat="false" ht="18" hidden="false" customHeight="true" outlineLevel="0" collapsed="false">
      <c r="B140" s="7"/>
      <c r="C140" s="7"/>
      <c r="D140" s="7"/>
      <c r="E140" s="71"/>
      <c r="F140" s="7"/>
      <c r="G140" s="7"/>
      <c r="H140" s="7"/>
      <c r="I140" s="145"/>
      <c r="J140" s="7"/>
      <c r="K140" s="7"/>
      <c r="L140" s="7"/>
      <c r="M140" s="7"/>
      <c r="N140" s="7"/>
      <c r="O140" s="7"/>
      <c r="P140" s="7"/>
      <c r="Q140" s="7"/>
      <c r="R140" s="146"/>
      <c r="S140" s="146"/>
      <c r="T140" s="7"/>
      <c r="U140" s="7"/>
    </row>
    <row r="141" customFormat="false" ht="18" hidden="false" customHeight="true" outlineLevel="0" collapsed="false">
      <c r="B141" s="87"/>
      <c r="C141" s="87"/>
      <c r="D141" s="87"/>
      <c r="E141" s="142"/>
      <c r="F141" s="87"/>
      <c r="G141" s="87"/>
      <c r="H141" s="87"/>
      <c r="I141" s="143"/>
      <c r="J141" s="87"/>
      <c r="K141" s="87"/>
      <c r="L141" s="87"/>
      <c r="M141" s="87"/>
      <c r="N141" s="87"/>
      <c r="O141" s="87"/>
      <c r="P141" s="87"/>
      <c r="Q141" s="87"/>
      <c r="R141" s="144"/>
      <c r="S141" s="144"/>
      <c r="T141" s="87"/>
      <c r="U141" s="87"/>
    </row>
    <row r="142" customFormat="false" ht="18" hidden="false" customHeight="true" outlineLevel="0" collapsed="false">
      <c r="B142" s="7"/>
      <c r="C142" s="7"/>
      <c r="D142" s="7"/>
      <c r="E142" s="71"/>
      <c r="F142" s="7"/>
      <c r="G142" s="7"/>
      <c r="H142" s="7"/>
      <c r="I142" s="145"/>
      <c r="J142" s="7"/>
      <c r="K142" s="7"/>
      <c r="L142" s="7"/>
      <c r="M142" s="7"/>
      <c r="N142" s="7"/>
      <c r="O142" s="7"/>
      <c r="P142" s="7"/>
      <c r="Q142" s="7"/>
      <c r="R142" s="146"/>
      <c r="S142" s="146"/>
      <c r="T142" s="7"/>
      <c r="U142" s="7"/>
    </row>
    <row r="143" customFormat="false" ht="18" hidden="false" customHeight="true" outlineLevel="0" collapsed="false">
      <c r="B143" s="87"/>
      <c r="C143" s="87"/>
      <c r="D143" s="87"/>
      <c r="E143" s="142"/>
      <c r="F143" s="87"/>
      <c r="G143" s="87"/>
      <c r="H143" s="87"/>
      <c r="I143" s="143"/>
      <c r="J143" s="87"/>
      <c r="K143" s="87"/>
      <c r="L143" s="87"/>
      <c r="M143" s="87"/>
      <c r="N143" s="87"/>
      <c r="O143" s="87"/>
      <c r="P143" s="87"/>
      <c r="Q143" s="87"/>
      <c r="R143" s="144"/>
      <c r="S143" s="144"/>
      <c r="T143" s="87"/>
      <c r="U143" s="87"/>
    </row>
    <row r="144" customFormat="false" ht="18" hidden="false" customHeight="true" outlineLevel="0" collapsed="false">
      <c r="B144" s="7"/>
      <c r="C144" s="7"/>
      <c r="D144" s="7"/>
      <c r="E144" s="71"/>
      <c r="F144" s="7"/>
      <c r="G144" s="7"/>
      <c r="H144" s="7"/>
      <c r="I144" s="145"/>
      <c r="J144" s="7"/>
      <c r="K144" s="7"/>
      <c r="L144" s="7"/>
      <c r="M144" s="7"/>
      <c r="N144" s="7"/>
      <c r="O144" s="7"/>
      <c r="P144" s="7"/>
      <c r="Q144" s="7"/>
      <c r="R144" s="146"/>
      <c r="S144" s="146"/>
      <c r="T144" s="7"/>
      <c r="U144" s="7"/>
    </row>
    <row r="145" customFormat="false" ht="18" hidden="false" customHeight="true" outlineLevel="0" collapsed="false">
      <c r="B145" s="87"/>
      <c r="C145" s="87"/>
      <c r="D145" s="87"/>
      <c r="E145" s="142"/>
      <c r="F145" s="87"/>
      <c r="G145" s="87"/>
      <c r="H145" s="87"/>
      <c r="I145" s="143"/>
      <c r="J145" s="87"/>
      <c r="K145" s="87"/>
      <c r="L145" s="87"/>
      <c r="M145" s="87"/>
      <c r="N145" s="87"/>
      <c r="O145" s="87"/>
      <c r="P145" s="87"/>
      <c r="Q145" s="87"/>
      <c r="R145" s="144"/>
      <c r="S145" s="144"/>
      <c r="T145" s="87"/>
      <c r="U145" s="87"/>
    </row>
    <row r="146" customFormat="false" ht="18" hidden="false" customHeight="true" outlineLevel="0" collapsed="false">
      <c r="B146" s="7"/>
      <c r="C146" s="7"/>
      <c r="D146" s="7"/>
      <c r="E146" s="71"/>
      <c r="F146" s="7"/>
      <c r="G146" s="7"/>
      <c r="H146" s="7"/>
      <c r="I146" s="145"/>
      <c r="J146" s="7"/>
      <c r="K146" s="7"/>
      <c r="L146" s="7"/>
      <c r="M146" s="7"/>
      <c r="N146" s="7"/>
      <c r="O146" s="7"/>
      <c r="P146" s="7"/>
      <c r="Q146" s="7"/>
      <c r="R146" s="146"/>
      <c r="S146" s="146"/>
      <c r="T146" s="7"/>
      <c r="U146" s="7"/>
    </row>
    <row r="147" customFormat="false" ht="18" hidden="false" customHeight="true" outlineLevel="0" collapsed="false">
      <c r="B147" s="87"/>
      <c r="C147" s="87"/>
      <c r="D147" s="87"/>
      <c r="E147" s="142"/>
      <c r="F147" s="87"/>
      <c r="G147" s="87"/>
      <c r="H147" s="87"/>
      <c r="I147" s="143"/>
      <c r="J147" s="87"/>
      <c r="K147" s="87"/>
      <c r="L147" s="87"/>
      <c r="M147" s="87"/>
      <c r="N147" s="87"/>
      <c r="O147" s="87"/>
      <c r="P147" s="87"/>
      <c r="Q147" s="87"/>
      <c r="R147" s="144"/>
      <c r="S147" s="144"/>
      <c r="T147" s="87"/>
      <c r="U147" s="87"/>
    </row>
    <row r="148" customFormat="false" ht="18" hidden="false" customHeight="true" outlineLevel="0" collapsed="false">
      <c r="B148" s="7"/>
      <c r="C148" s="7"/>
      <c r="D148" s="7"/>
      <c r="E148" s="71"/>
      <c r="F148" s="7"/>
      <c r="G148" s="7"/>
      <c r="H148" s="7"/>
      <c r="I148" s="145"/>
      <c r="J148" s="7"/>
      <c r="K148" s="7"/>
      <c r="L148" s="7"/>
      <c r="M148" s="7"/>
      <c r="N148" s="7"/>
      <c r="O148" s="7"/>
      <c r="P148" s="7"/>
      <c r="Q148" s="7"/>
      <c r="R148" s="146"/>
      <c r="S148" s="146"/>
      <c r="T148" s="7"/>
      <c r="U148" s="7"/>
    </row>
    <row r="149" customFormat="false" ht="18" hidden="false" customHeight="true" outlineLevel="0" collapsed="false">
      <c r="B149" s="87"/>
      <c r="C149" s="87"/>
      <c r="D149" s="87"/>
      <c r="E149" s="142"/>
      <c r="F149" s="87"/>
      <c r="G149" s="87"/>
      <c r="H149" s="87"/>
      <c r="I149" s="143"/>
      <c r="J149" s="87"/>
      <c r="K149" s="87"/>
      <c r="L149" s="87"/>
      <c r="M149" s="87"/>
      <c r="N149" s="87"/>
      <c r="O149" s="87"/>
      <c r="P149" s="87"/>
      <c r="Q149" s="87"/>
      <c r="R149" s="144"/>
      <c r="S149" s="144"/>
      <c r="T149" s="87"/>
      <c r="U149" s="87"/>
    </row>
    <row r="150" customFormat="false" ht="18" hidden="false" customHeight="true" outlineLevel="0" collapsed="false">
      <c r="B150" s="7"/>
      <c r="C150" s="7"/>
      <c r="D150" s="7"/>
      <c r="E150" s="71"/>
      <c r="F150" s="7"/>
      <c r="G150" s="7"/>
      <c r="H150" s="7"/>
      <c r="I150" s="145"/>
      <c r="J150" s="7"/>
      <c r="K150" s="7"/>
      <c r="L150" s="7"/>
      <c r="M150" s="7"/>
      <c r="N150" s="7"/>
      <c r="O150" s="7"/>
      <c r="P150" s="7"/>
      <c r="Q150" s="7"/>
      <c r="R150" s="146"/>
      <c r="S150" s="146"/>
      <c r="T150" s="7"/>
      <c r="U150" s="7"/>
    </row>
    <row r="151" customFormat="false" ht="18" hidden="false" customHeight="true" outlineLevel="0" collapsed="false">
      <c r="B151" s="87"/>
      <c r="C151" s="87"/>
      <c r="D151" s="87"/>
      <c r="E151" s="142"/>
      <c r="F151" s="87"/>
      <c r="G151" s="87"/>
      <c r="H151" s="87"/>
      <c r="I151" s="143"/>
      <c r="J151" s="87"/>
      <c r="K151" s="87"/>
      <c r="L151" s="87"/>
      <c r="M151" s="87"/>
      <c r="N151" s="87"/>
      <c r="O151" s="87"/>
      <c r="P151" s="87"/>
      <c r="Q151" s="87"/>
      <c r="R151" s="144"/>
      <c r="S151" s="144"/>
      <c r="T151" s="87"/>
      <c r="U151" s="87"/>
    </row>
    <row r="152" customFormat="false" ht="18" hidden="false" customHeight="true" outlineLevel="0" collapsed="false">
      <c r="B152" s="7"/>
      <c r="C152" s="7"/>
      <c r="D152" s="7"/>
      <c r="E152" s="71"/>
      <c r="F152" s="7"/>
      <c r="G152" s="7"/>
      <c r="H152" s="7"/>
      <c r="I152" s="145"/>
      <c r="J152" s="7"/>
      <c r="K152" s="7"/>
      <c r="L152" s="7"/>
      <c r="M152" s="7"/>
      <c r="N152" s="7"/>
      <c r="O152" s="7"/>
      <c r="P152" s="7"/>
      <c r="Q152" s="7"/>
      <c r="R152" s="146"/>
      <c r="S152" s="146"/>
      <c r="T152" s="7"/>
      <c r="U152" s="7"/>
    </row>
    <row r="153" customFormat="false" ht="18" hidden="false" customHeight="true" outlineLevel="0" collapsed="false">
      <c r="B153" s="87"/>
      <c r="C153" s="87"/>
      <c r="D153" s="87"/>
      <c r="E153" s="142"/>
      <c r="F153" s="87"/>
      <c r="G153" s="87"/>
      <c r="H153" s="87"/>
      <c r="I153" s="143"/>
      <c r="J153" s="87"/>
      <c r="K153" s="87"/>
      <c r="L153" s="87"/>
      <c r="M153" s="87"/>
      <c r="N153" s="87"/>
      <c r="O153" s="87"/>
      <c r="P153" s="87"/>
      <c r="Q153" s="87"/>
      <c r="R153" s="144"/>
      <c r="S153" s="144"/>
      <c r="T153" s="87"/>
      <c r="U153" s="87"/>
    </row>
    <row r="154" customFormat="false" ht="18" hidden="false" customHeight="true" outlineLevel="0" collapsed="false">
      <c r="B154" s="7"/>
      <c r="C154" s="7"/>
      <c r="D154" s="7"/>
      <c r="E154" s="71"/>
      <c r="F154" s="7"/>
      <c r="G154" s="7"/>
      <c r="H154" s="7"/>
      <c r="I154" s="145"/>
      <c r="J154" s="7"/>
      <c r="K154" s="7"/>
      <c r="L154" s="7"/>
      <c r="M154" s="7"/>
      <c r="N154" s="7"/>
      <c r="O154" s="7"/>
      <c r="P154" s="7"/>
      <c r="Q154" s="7"/>
      <c r="R154" s="146"/>
      <c r="S154" s="146"/>
      <c r="T154" s="7"/>
      <c r="U154" s="7"/>
    </row>
    <row r="155" customFormat="false" ht="18" hidden="false" customHeight="true" outlineLevel="0" collapsed="false">
      <c r="B155" s="87"/>
      <c r="C155" s="87"/>
      <c r="D155" s="87"/>
      <c r="E155" s="142"/>
      <c r="F155" s="87"/>
      <c r="G155" s="87"/>
      <c r="H155" s="87"/>
      <c r="I155" s="143"/>
      <c r="J155" s="87"/>
      <c r="K155" s="87"/>
      <c r="L155" s="87"/>
      <c r="M155" s="87"/>
      <c r="N155" s="87"/>
      <c r="O155" s="87"/>
      <c r="P155" s="87"/>
      <c r="Q155" s="87"/>
      <c r="R155" s="144"/>
      <c r="S155" s="144"/>
      <c r="T155" s="87"/>
      <c r="U155" s="87"/>
    </row>
    <row r="156" customFormat="false" ht="18" hidden="false" customHeight="true" outlineLevel="0" collapsed="false">
      <c r="B156" s="7"/>
      <c r="C156" s="7"/>
      <c r="D156" s="7"/>
      <c r="E156" s="71"/>
      <c r="F156" s="7"/>
      <c r="G156" s="7"/>
      <c r="H156" s="7"/>
      <c r="I156" s="145"/>
      <c r="J156" s="7"/>
      <c r="K156" s="7"/>
      <c r="L156" s="7"/>
      <c r="M156" s="7"/>
      <c r="N156" s="7"/>
      <c r="O156" s="7"/>
      <c r="P156" s="7"/>
      <c r="Q156" s="7"/>
      <c r="R156" s="146"/>
      <c r="S156" s="146"/>
      <c r="T156" s="7"/>
      <c r="U156" s="7"/>
    </row>
    <row r="157" customFormat="false" ht="18" hidden="false" customHeight="true" outlineLevel="0" collapsed="false">
      <c r="B157" s="87"/>
      <c r="C157" s="87"/>
      <c r="D157" s="87"/>
      <c r="E157" s="142"/>
      <c r="F157" s="87"/>
      <c r="G157" s="87"/>
      <c r="H157" s="87"/>
      <c r="I157" s="143"/>
      <c r="J157" s="87"/>
      <c r="K157" s="87"/>
      <c r="L157" s="87"/>
      <c r="M157" s="87"/>
      <c r="N157" s="87"/>
      <c r="O157" s="87"/>
      <c r="P157" s="87"/>
      <c r="Q157" s="87"/>
      <c r="R157" s="144"/>
      <c r="S157" s="144"/>
      <c r="T157" s="87"/>
      <c r="U157" s="87"/>
    </row>
    <row r="158" customFormat="false" ht="18" hidden="false" customHeight="true" outlineLevel="0" collapsed="false">
      <c r="B158" s="7"/>
      <c r="C158" s="7"/>
      <c r="D158" s="7"/>
      <c r="E158" s="71"/>
      <c r="F158" s="7"/>
      <c r="G158" s="7"/>
      <c r="H158" s="7"/>
      <c r="I158" s="145"/>
      <c r="J158" s="7"/>
      <c r="K158" s="7"/>
      <c r="L158" s="7"/>
      <c r="M158" s="7"/>
      <c r="N158" s="7"/>
      <c r="O158" s="7"/>
      <c r="P158" s="7"/>
      <c r="Q158" s="7"/>
      <c r="R158" s="146"/>
      <c r="S158" s="146"/>
      <c r="T158" s="7"/>
      <c r="U158" s="7"/>
    </row>
    <row r="159" customFormat="false" ht="18" hidden="false" customHeight="true" outlineLevel="0" collapsed="false">
      <c r="B159" s="87"/>
      <c r="C159" s="87"/>
      <c r="D159" s="87"/>
      <c r="E159" s="142"/>
      <c r="F159" s="87"/>
      <c r="G159" s="87"/>
      <c r="H159" s="87"/>
      <c r="I159" s="143"/>
      <c r="J159" s="87"/>
      <c r="K159" s="87"/>
      <c r="L159" s="87"/>
      <c r="M159" s="87"/>
      <c r="N159" s="87"/>
      <c r="O159" s="87"/>
      <c r="P159" s="87"/>
      <c r="Q159" s="87"/>
      <c r="R159" s="144"/>
      <c r="S159" s="144"/>
      <c r="T159" s="87"/>
      <c r="U159" s="87"/>
    </row>
    <row r="160" customFormat="false" ht="18" hidden="false" customHeight="true" outlineLevel="0" collapsed="false">
      <c r="B160" s="7"/>
      <c r="C160" s="7"/>
      <c r="D160" s="7"/>
      <c r="E160" s="71"/>
      <c r="F160" s="7"/>
      <c r="G160" s="7"/>
      <c r="H160" s="7"/>
      <c r="I160" s="145"/>
      <c r="J160" s="7"/>
      <c r="K160" s="7"/>
      <c r="L160" s="7"/>
      <c r="M160" s="7"/>
      <c r="N160" s="7"/>
      <c r="O160" s="7"/>
      <c r="P160" s="7"/>
      <c r="Q160" s="7"/>
      <c r="R160" s="146"/>
      <c r="S160" s="146"/>
      <c r="T160" s="7"/>
      <c r="U160" s="7"/>
    </row>
    <row r="161" customFormat="false" ht="18" hidden="false" customHeight="true" outlineLevel="0" collapsed="false">
      <c r="B161" s="87"/>
      <c r="C161" s="87"/>
      <c r="D161" s="87"/>
      <c r="E161" s="142"/>
      <c r="F161" s="87"/>
      <c r="G161" s="87"/>
      <c r="H161" s="87"/>
      <c r="I161" s="143"/>
      <c r="J161" s="87"/>
      <c r="K161" s="87"/>
      <c r="L161" s="87"/>
      <c r="M161" s="87"/>
      <c r="N161" s="87"/>
      <c r="O161" s="87"/>
      <c r="P161" s="87"/>
      <c r="Q161" s="87"/>
      <c r="R161" s="144"/>
      <c r="S161" s="144"/>
      <c r="T161" s="87"/>
      <c r="U161" s="87"/>
    </row>
    <row r="162" customFormat="false" ht="18" hidden="false" customHeight="true" outlineLevel="0" collapsed="false">
      <c r="B162" s="7"/>
      <c r="C162" s="7"/>
      <c r="D162" s="7"/>
      <c r="E162" s="71"/>
      <c r="F162" s="7"/>
      <c r="G162" s="7"/>
      <c r="H162" s="7"/>
      <c r="I162" s="145"/>
      <c r="J162" s="7"/>
      <c r="K162" s="7"/>
      <c r="L162" s="7"/>
      <c r="M162" s="7"/>
      <c r="N162" s="7"/>
      <c r="O162" s="7"/>
      <c r="P162" s="7"/>
      <c r="Q162" s="7"/>
      <c r="R162" s="146"/>
      <c r="S162" s="146"/>
      <c r="T162" s="7"/>
      <c r="U162" s="7"/>
    </row>
    <row r="163" customFormat="false" ht="18" hidden="false" customHeight="true" outlineLevel="0" collapsed="false">
      <c r="B163" s="87"/>
      <c r="C163" s="87"/>
      <c r="D163" s="87"/>
      <c r="E163" s="142"/>
      <c r="F163" s="87"/>
      <c r="G163" s="87"/>
      <c r="H163" s="87"/>
      <c r="I163" s="143"/>
      <c r="J163" s="87"/>
      <c r="K163" s="87"/>
      <c r="L163" s="87"/>
      <c r="M163" s="87"/>
      <c r="N163" s="87"/>
      <c r="O163" s="87"/>
      <c r="P163" s="87"/>
      <c r="Q163" s="87"/>
      <c r="R163" s="144"/>
      <c r="S163" s="144"/>
      <c r="T163" s="87"/>
      <c r="U163" s="87"/>
    </row>
    <row r="164" customFormat="false" ht="18" hidden="false" customHeight="true" outlineLevel="0" collapsed="false">
      <c r="B164" s="7"/>
      <c r="C164" s="7"/>
      <c r="D164" s="7"/>
      <c r="E164" s="71"/>
      <c r="F164" s="7"/>
      <c r="G164" s="7"/>
      <c r="H164" s="7"/>
      <c r="I164" s="145"/>
      <c r="J164" s="7"/>
      <c r="K164" s="7"/>
      <c r="L164" s="7"/>
      <c r="M164" s="7"/>
      <c r="N164" s="7"/>
      <c r="O164" s="7"/>
      <c r="P164" s="7"/>
      <c r="Q164" s="7"/>
      <c r="R164" s="146"/>
      <c r="S164" s="146"/>
      <c r="T164" s="7"/>
      <c r="U164" s="7"/>
    </row>
    <row r="165" customFormat="false" ht="18" hidden="false" customHeight="true" outlineLevel="0" collapsed="false">
      <c r="B165" s="87"/>
      <c r="C165" s="87"/>
      <c r="D165" s="87"/>
      <c r="E165" s="142"/>
      <c r="F165" s="87"/>
      <c r="G165" s="87"/>
      <c r="H165" s="87"/>
      <c r="I165" s="143"/>
      <c r="J165" s="87"/>
      <c r="K165" s="87"/>
      <c r="L165" s="87"/>
      <c r="M165" s="87"/>
      <c r="N165" s="87"/>
      <c r="O165" s="87"/>
      <c r="P165" s="87"/>
      <c r="Q165" s="87"/>
      <c r="R165" s="144"/>
      <c r="S165" s="144"/>
      <c r="T165" s="87"/>
      <c r="U165" s="87"/>
    </row>
    <row r="166" customFormat="false" ht="18" hidden="false" customHeight="true" outlineLevel="0" collapsed="false">
      <c r="B166" s="7"/>
      <c r="C166" s="7"/>
      <c r="D166" s="7"/>
      <c r="E166" s="71"/>
      <c r="F166" s="7"/>
      <c r="G166" s="7"/>
      <c r="H166" s="7"/>
      <c r="I166" s="145"/>
      <c r="J166" s="7"/>
      <c r="K166" s="7"/>
      <c r="L166" s="7"/>
      <c r="M166" s="7"/>
      <c r="N166" s="7"/>
      <c r="O166" s="7"/>
      <c r="P166" s="7"/>
      <c r="Q166" s="7"/>
      <c r="R166" s="146"/>
      <c r="S166" s="146"/>
      <c r="T166" s="7"/>
      <c r="U166" s="7"/>
    </row>
    <row r="167" customFormat="false" ht="18" hidden="false" customHeight="true" outlineLevel="0" collapsed="false">
      <c r="B167" s="87"/>
      <c r="C167" s="87"/>
      <c r="D167" s="87"/>
      <c r="E167" s="142"/>
      <c r="F167" s="87"/>
      <c r="G167" s="87"/>
      <c r="H167" s="87"/>
      <c r="I167" s="143"/>
      <c r="J167" s="87"/>
      <c r="K167" s="87"/>
      <c r="L167" s="87"/>
      <c r="M167" s="87"/>
      <c r="N167" s="87"/>
      <c r="O167" s="87"/>
      <c r="P167" s="87"/>
      <c r="Q167" s="87"/>
      <c r="R167" s="144"/>
      <c r="S167" s="144"/>
      <c r="T167" s="87"/>
      <c r="U167" s="87"/>
    </row>
    <row r="168" customFormat="false" ht="18" hidden="false" customHeight="true" outlineLevel="0" collapsed="false">
      <c r="B168" s="7"/>
      <c r="C168" s="7"/>
      <c r="D168" s="7"/>
      <c r="E168" s="71"/>
      <c r="F168" s="7"/>
      <c r="G168" s="7"/>
      <c r="H168" s="7"/>
      <c r="I168" s="145"/>
      <c r="J168" s="7"/>
      <c r="K168" s="7"/>
      <c r="L168" s="7"/>
      <c r="M168" s="7"/>
      <c r="N168" s="7"/>
      <c r="O168" s="7"/>
      <c r="P168" s="7"/>
      <c r="Q168" s="7"/>
      <c r="R168" s="146"/>
      <c r="S168" s="146"/>
      <c r="T168" s="7"/>
      <c r="U168" s="7"/>
    </row>
    <row r="169" customFormat="false" ht="18" hidden="false" customHeight="true" outlineLevel="0" collapsed="false">
      <c r="B169" s="87"/>
      <c r="C169" s="87"/>
      <c r="D169" s="87"/>
      <c r="E169" s="142"/>
      <c r="F169" s="87"/>
      <c r="G169" s="87"/>
      <c r="H169" s="87"/>
      <c r="I169" s="143"/>
      <c r="J169" s="87"/>
      <c r="K169" s="87"/>
      <c r="L169" s="87"/>
      <c r="M169" s="87"/>
      <c r="N169" s="87"/>
      <c r="O169" s="87"/>
      <c r="P169" s="87"/>
      <c r="Q169" s="87"/>
      <c r="R169" s="144"/>
      <c r="S169" s="144"/>
      <c r="T169" s="87"/>
      <c r="U169" s="87"/>
    </row>
    <row r="170" customFormat="false" ht="18" hidden="false" customHeight="true" outlineLevel="0" collapsed="false">
      <c r="B170" s="7"/>
      <c r="C170" s="7"/>
      <c r="D170" s="7"/>
      <c r="E170" s="71"/>
      <c r="F170" s="7"/>
      <c r="G170" s="7"/>
      <c r="H170" s="7"/>
      <c r="I170" s="145"/>
      <c r="J170" s="7"/>
      <c r="K170" s="7"/>
      <c r="L170" s="7"/>
      <c r="M170" s="7"/>
      <c r="N170" s="7"/>
      <c r="O170" s="7"/>
      <c r="P170" s="7"/>
      <c r="Q170" s="7"/>
      <c r="R170" s="146"/>
      <c r="S170" s="146"/>
      <c r="T170" s="7"/>
      <c r="U170" s="7"/>
    </row>
    <row r="171" customFormat="false" ht="18" hidden="false" customHeight="true" outlineLevel="0" collapsed="false">
      <c r="B171" s="87"/>
      <c r="C171" s="87"/>
      <c r="D171" s="87"/>
      <c r="E171" s="142"/>
      <c r="F171" s="87"/>
      <c r="G171" s="87"/>
      <c r="H171" s="87"/>
      <c r="I171" s="143"/>
      <c r="J171" s="87"/>
      <c r="K171" s="87"/>
      <c r="L171" s="87"/>
      <c r="M171" s="87"/>
      <c r="N171" s="87"/>
      <c r="O171" s="87"/>
      <c r="P171" s="87"/>
      <c r="Q171" s="87"/>
      <c r="R171" s="144"/>
      <c r="S171" s="144"/>
      <c r="T171" s="87"/>
      <c r="U171" s="87"/>
    </row>
    <row r="172" customFormat="false" ht="18" hidden="false" customHeight="true" outlineLevel="0" collapsed="false">
      <c r="B172" s="7"/>
      <c r="C172" s="7"/>
      <c r="D172" s="7"/>
      <c r="E172" s="71"/>
      <c r="F172" s="7"/>
      <c r="G172" s="7"/>
      <c r="H172" s="7"/>
      <c r="I172" s="145"/>
      <c r="J172" s="7"/>
      <c r="K172" s="7"/>
      <c r="L172" s="7"/>
      <c r="M172" s="7"/>
      <c r="N172" s="7"/>
      <c r="O172" s="7"/>
      <c r="P172" s="7"/>
      <c r="Q172" s="7"/>
      <c r="R172" s="146"/>
      <c r="S172" s="146"/>
      <c r="T172" s="7"/>
      <c r="U172" s="7"/>
    </row>
    <row r="173" customFormat="false" ht="18" hidden="false" customHeight="true" outlineLevel="0" collapsed="false">
      <c r="B173" s="87"/>
      <c r="C173" s="87"/>
      <c r="D173" s="87"/>
      <c r="E173" s="142"/>
      <c r="F173" s="87"/>
      <c r="G173" s="87"/>
      <c r="H173" s="87"/>
      <c r="I173" s="143"/>
      <c r="J173" s="87"/>
      <c r="K173" s="87"/>
      <c r="L173" s="87"/>
      <c r="M173" s="87"/>
      <c r="N173" s="87"/>
      <c r="O173" s="87"/>
      <c r="P173" s="87"/>
      <c r="Q173" s="87"/>
      <c r="R173" s="144"/>
      <c r="S173" s="144"/>
      <c r="T173" s="87"/>
      <c r="U173" s="87"/>
    </row>
    <row r="174" customFormat="false" ht="18" hidden="false" customHeight="true" outlineLevel="0" collapsed="false">
      <c r="B174" s="7"/>
      <c r="C174" s="7"/>
      <c r="D174" s="7"/>
      <c r="E174" s="71"/>
      <c r="F174" s="7"/>
      <c r="G174" s="7"/>
      <c r="H174" s="7"/>
      <c r="I174" s="145"/>
      <c r="J174" s="7"/>
      <c r="K174" s="7"/>
      <c r="L174" s="7"/>
      <c r="M174" s="7"/>
      <c r="N174" s="7"/>
      <c r="O174" s="7"/>
      <c r="P174" s="7"/>
      <c r="Q174" s="7"/>
      <c r="R174" s="146"/>
      <c r="S174" s="146"/>
      <c r="T174" s="7"/>
      <c r="U174" s="7"/>
    </row>
    <row r="175" customFormat="false" ht="18" hidden="false" customHeight="true" outlineLevel="0" collapsed="false">
      <c r="B175" s="87"/>
      <c r="C175" s="87"/>
      <c r="D175" s="87"/>
      <c r="E175" s="142"/>
      <c r="F175" s="87"/>
      <c r="G175" s="87"/>
      <c r="H175" s="87"/>
      <c r="I175" s="143"/>
      <c r="J175" s="87"/>
      <c r="K175" s="87"/>
      <c r="L175" s="87"/>
      <c r="M175" s="87"/>
      <c r="N175" s="87"/>
      <c r="O175" s="87"/>
      <c r="P175" s="87"/>
      <c r="Q175" s="87"/>
      <c r="R175" s="144"/>
      <c r="S175" s="144"/>
      <c r="T175" s="87"/>
      <c r="U175" s="87"/>
    </row>
    <row r="176" customFormat="false" ht="18" hidden="false" customHeight="true" outlineLevel="0" collapsed="false">
      <c r="B176" s="7"/>
      <c r="C176" s="7"/>
      <c r="D176" s="7"/>
      <c r="E176" s="71"/>
      <c r="F176" s="7"/>
      <c r="G176" s="7"/>
      <c r="H176" s="7"/>
      <c r="I176" s="145"/>
      <c r="J176" s="7"/>
      <c r="K176" s="7"/>
      <c r="L176" s="7"/>
      <c r="M176" s="7"/>
      <c r="N176" s="7"/>
      <c r="O176" s="7"/>
      <c r="P176" s="7"/>
      <c r="Q176" s="7"/>
      <c r="R176" s="146"/>
      <c r="S176" s="146"/>
      <c r="T176" s="7"/>
      <c r="U176" s="7"/>
    </row>
    <row r="177" customFormat="false" ht="18" hidden="false" customHeight="true" outlineLevel="0" collapsed="false">
      <c r="B177" s="87"/>
      <c r="C177" s="87"/>
      <c r="D177" s="87"/>
      <c r="E177" s="142"/>
      <c r="F177" s="87"/>
      <c r="G177" s="87"/>
      <c r="H177" s="87"/>
      <c r="I177" s="143"/>
      <c r="J177" s="87"/>
      <c r="K177" s="87"/>
      <c r="L177" s="87"/>
      <c r="M177" s="87"/>
      <c r="N177" s="87"/>
      <c r="O177" s="87"/>
      <c r="P177" s="87"/>
      <c r="Q177" s="87"/>
      <c r="R177" s="144"/>
      <c r="S177" s="144"/>
      <c r="T177" s="87"/>
      <c r="U177" s="87"/>
    </row>
    <row r="178" customFormat="false" ht="18" hidden="false" customHeight="true" outlineLevel="0" collapsed="false">
      <c r="B178" s="7"/>
      <c r="C178" s="7"/>
      <c r="D178" s="7"/>
      <c r="E178" s="71"/>
      <c r="F178" s="7"/>
      <c r="G178" s="7"/>
      <c r="H178" s="7"/>
      <c r="I178" s="145"/>
      <c r="J178" s="7"/>
      <c r="K178" s="7"/>
      <c r="L178" s="7"/>
      <c r="M178" s="7"/>
      <c r="N178" s="7"/>
      <c r="O178" s="7"/>
      <c r="P178" s="7"/>
      <c r="Q178" s="7"/>
      <c r="R178" s="146"/>
      <c r="S178" s="146"/>
      <c r="T178" s="7"/>
      <c r="U178" s="7"/>
    </row>
    <row r="179" customFormat="false" ht="18" hidden="false" customHeight="true" outlineLevel="0" collapsed="false">
      <c r="B179" s="87"/>
      <c r="C179" s="87"/>
      <c r="D179" s="87"/>
      <c r="E179" s="142"/>
      <c r="F179" s="87"/>
      <c r="G179" s="87"/>
      <c r="H179" s="87"/>
      <c r="I179" s="143"/>
      <c r="J179" s="87"/>
      <c r="K179" s="87"/>
      <c r="L179" s="87"/>
      <c r="M179" s="87"/>
      <c r="N179" s="87"/>
      <c r="O179" s="87"/>
      <c r="P179" s="87"/>
      <c r="Q179" s="87"/>
      <c r="R179" s="144"/>
      <c r="S179" s="144"/>
      <c r="T179" s="87"/>
      <c r="U179" s="87"/>
    </row>
    <row r="180" customFormat="false" ht="18" hidden="false" customHeight="true" outlineLevel="0" collapsed="false">
      <c r="B180" s="7"/>
      <c r="C180" s="7"/>
      <c r="D180" s="7"/>
      <c r="E180" s="71"/>
      <c r="F180" s="7"/>
      <c r="G180" s="7"/>
      <c r="H180" s="7"/>
      <c r="I180" s="145"/>
      <c r="J180" s="7"/>
      <c r="K180" s="7"/>
      <c r="L180" s="7"/>
      <c r="M180" s="7"/>
      <c r="N180" s="7"/>
      <c r="O180" s="7"/>
      <c r="P180" s="7"/>
      <c r="Q180" s="7"/>
      <c r="R180" s="146"/>
      <c r="S180" s="146"/>
      <c r="T180" s="7"/>
      <c r="U180" s="7"/>
    </row>
    <row r="181" customFormat="false" ht="18" hidden="false" customHeight="true" outlineLevel="0" collapsed="false">
      <c r="B181" s="87"/>
      <c r="C181" s="87"/>
      <c r="D181" s="87"/>
      <c r="E181" s="142"/>
      <c r="F181" s="87"/>
      <c r="G181" s="87"/>
      <c r="H181" s="87"/>
      <c r="I181" s="143"/>
      <c r="J181" s="87"/>
      <c r="K181" s="87"/>
      <c r="L181" s="87"/>
      <c r="M181" s="87"/>
      <c r="N181" s="87"/>
      <c r="O181" s="87"/>
      <c r="P181" s="87"/>
      <c r="Q181" s="87"/>
      <c r="R181" s="144"/>
      <c r="S181" s="144"/>
      <c r="T181" s="87"/>
      <c r="U181" s="87"/>
    </row>
    <row r="182" customFormat="false" ht="18" hidden="false" customHeight="true" outlineLevel="0" collapsed="false">
      <c r="B182" s="7"/>
      <c r="C182" s="7"/>
      <c r="D182" s="7"/>
      <c r="E182" s="71"/>
      <c r="F182" s="7"/>
      <c r="G182" s="7"/>
      <c r="H182" s="7"/>
      <c r="I182" s="145"/>
      <c r="J182" s="7"/>
      <c r="K182" s="7"/>
      <c r="L182" s="7"/>
      <c r="M182" s="7"/>
      <c r="N182" s="7"/>
      <c r="O182" s="7"/>
      <c r="P182" s="7"/>
      <c r="Q182" s="7"/>
      <c r="R182" s="146"/>
      <c r="S182" s="146"/>
      <c r="T182" s="7"/>
      <c r="U182" s="7"/>
    </row>
    <row r="183" customFormat="false" ht="18" hidden="false" customHeight="true" outlineLevel="0" collapsed="false">
      <c r="B183" s="87"/>
      <c r="C183" s="87"/>
      <c r="D183" s="87"/>
      <c r="E183" s="142"/>
      <c r="F183" s="87"/>
      <c r="G183" s="87"/>
      <c r="H183" s="87"/>
      <c r="I183" s="143"/>
      <c r="J183" s="87"/>
      <c r="K183" s="87"/>
      <c r="L183" s="87"/>
      <c r="M183" s="87"/>
      <c r="N183" s="87"/>
      <c r="O183" s="87"/>
      <c r="P183" s="87"/>
      <c r="Q183" s="87"/>
      <c r="R183" s="144"/>
      <c r="S183" s="144"/>
      <c r="T183" s="87"/>
      <c r="U183" s="87"/>
    </row>
    <row r="184" customFormat="false" ht="18" hidden="false" customHeight="true" outlineLevel="0" collapsed="false">
      <c r="B184" s="7"/>
      <c r="C184" s="7"/>
      <c r="D184" s="7"/>
      <c r="E184" s="71"/>
      <c r="F184" s="7"/>
      <c r="G184" s="7"/>
      <c r="H184" s="7"/>
      <c r="I184" s="145"/>
      <c r="J184" s="7"/>
      <c r="K184" s="7"/>
      <c r="L184" s="7"/>
      <c r="M184" s="7"/>
      <c r="N184" s="7"/>
      <c r="O184" s="7"/>
      <c r="P184" s="7"/>
      <c r="Q184" s="7"/>
      <c r="R184" s="146"/>
      <c r="S184" s="146"/>
      <c r="T184" s="7"/>
      <c r="U184" s="7"/>
    </row>
    <row r="185" customFormat="false" ht="18" hidden="false" customHeight="true" outlineLevel="0" collapsed="false">
      <c r="B185" s="87"/>
      <c r="C185" s="87"/>
      <c r="D185" s="87"/>
      <c r="E185" s="142"/>
      <c r="F185" s="87"/>
      <c r="G185" s="87"/>
      <c r="H185" s="87"/>
      <c r="I185" s="143"/>
      <c r="J185" s="87"/>
      <c r="K185" s="87"/>
      <c r="L185" s="87"/>
      <c r="M185" s="87"/>
      <c r="N185" s="87"/>
      <c r="O185" s="87"/>
      <c r="P185" s="87"/>
      <c r="Q185" s="87"/>
      <c r="R185" s="144"/>
      <c r="S185" s="144"/>
      <c r="T185" s="87"/>
      <c r="U185" s="87"/>
    </row>
    <row r="186" customFormat="false" ht="18" hidden="false" customHeight="true" outlineLevel="0" collapsed="false">
      <c r="B186" s="7"/>
      <c r="C186" s="7"/>
      <c r="D186" s="7"/>
      <c r="E186" s="71"/>
      <c r="F186" s="7"/>
      <c r="G186" s="7"/>
      <c r="H186" s="7"/>
      <c r="I186" s="145"/>
      <c r="J186" s="7"/>
      <c r="K186" s="7"/>
      <c r="L186" s="7"/>
      <c r="M186" s="7"/>
      <c r="N186" s="7"/>
      <c r="O186" s="7"/>
      <c r="P186" s="7"/>
      <c r="Q186" s="7"/>
      <c r="R186" s="146"/>
      <c r="S186" s="146"/>
      <c r="T186" s="7"/>
      <c r="U186" s="7"/>
    </row>
    <row r="187" customFormat="false" ht="18" hidden="false" customHeight="true" outlineLevel="0" collapsed="false">
      <c r="B187" s="87"/>
      <c r="C187" s="87"/>
      <c r="D187" s="87"/>
      <c r="E187" s="142"/>
      <c r="F187" s="87"/>
      <c r="G187" s="87"/>
      <c r="H187" s="87"/>
      <c r="I187" s="143"/>
      <c r="J187" s="87"/>
      <c r="K187" s="87"/>
      <c r="L187" s="87"/>
      <c r="M187" s="87"/>
      <c r="N187" s="87"/>
      <c r="O187" s="87"/>
      <c r="P187" s="87"/>
      <c r="Q187" s="87"/>
      <c r="R187" s="144"/>
      <c r="S187" s="144"/>
      <c r="T187" s="87"/>
      <c r="U187" s="87"/>
    </row>
    <row r="188" customFormat="false" ht="18" hidden="false" customHeight="true" outlineLevel="0" collapsed="false">
      <c r="B188" s="7"/>
      <c r="C188" s="7"/>
      <c r="D188" s="7"/>
      <c r="E188" s="71"/>
      <c r="F188" s="7"/>
      <c r="G188" s="7"/>
      <c r="H188" s="7"/>
      <c r="I188" s="145"/>
      <c r="J188" s="7"/>
      <c r="K188" s="7"/>
      <c r="L188" s="7"/>
      <c r="M188" s="7"/>
      <c r="N188" s="7"/>
      <c r="O188" s="7"/>
      <c r="P188" s="7"/>
      <c r="Q188" s="7"/>
      <c r="R188" s="146"/>
      <c r="S188" s="146"/>
      <c r="T188" s="7"/>
      <c r="U188" s="7"/>
    </row>
    <row r="189" customFormat="false" ht="18" hidden="false" customHeight="true" outlineLevel="0" collapsed="false">
      <c r="B189" s="87"/>
      <c r="C189" s="87"/>
      <c r="D189" s="87"/>
      <c r="E189" s="142"/>
      <c r="F189" s="87"/>
      <c r="G189" s="87"/>
      <c r="H189" s="87"/>
      <c r="I189" s="143"/>
      <c r="J189" s="87"/>
      <c r="K189" s="87"/>
      <c r="L189" s="87"/>
      <c r="M189" s="87"/>
      <c r="N189" s="87"/>
      <c r="O189" s="87"/>
      <c r="P189" s="87"/>
      <c r="Q189" s="87"/>
      <c r="R189" s="144"/>
      <c r="S189" s="144"/>
      <c r="T189" s="87"/>
      <c r="U189" s="87"/>
    </row>
    <row r="190" customFormat="false" ht="18" hidden="false" customHeight="true" outlineLevel="0" collapsed="false">
      <c r="B190" s="7"/>
      <c r="C190" s="7"/>
      <c r="D190" s="7"/>
      <c r="E190" s="71"/>
      <c r="F190" s="7"/>
      <c r="G190" s="7"/>
      <c r="H190" s="7"/>
      <c r="I190" s="145"/>
      <c r="J190" s="7"/>
      <c r="K190" s="7"/>
      <c r="L190" s="7"/>
      <c r="M190" s="7"/>
      <c r="N190" s="7"/>
      <c r="O190" s="7"/>
      <c r="P190" s="7"/>
      <c r="Q190" s="7"/>
      <c r="R190" s="146"/>
      <c r="S190" s="146"/>
      <c r="T190" s="7"/>
      <c r="U190" s="7"/>
    </row>
    <row r="191" customFormat="false" ht="18" hidden="false" customHeight="true" outlineLevel="0" collapsed="false">
      <c r="B191" s="87"/>
      <c r="C191" s="87"/>
      <c r="D191" s="87"/>
      <c r="E191" s="142"/>
      <c r="F191" s="87"/>
      <c r="G191" s="87"/>
      <c r="H191" s="87"/>
      <c r="I191" s="143"/>
      <c r="J191" s="87"/>
      <c r="K191" s="87"/>
      <c r="L191" s="87"/>
      <c r="M191" s="87"/>
      <c r="N191" s="87"/>
      <c r="O191" s="87"/>
      <c r="P191" s="87"/>
      <c r="Q191" s="87"/>
      <c r="R191" s="144"/>
      <c r="S191" s="144"/>
      <c r="T191" s="87"/>
      <c r="U191" s="87"/>
    </row>
    <row r="192" customFormat="false" ht="18" hidden="false" customHeight="true" outlineLevel="0" collapsed="false">
      <c r="B192" s="7"/>
      <c r="C192" s="7"/>
      <c r="D192" s="7"/>
      <c r="E192" s="71"/>
      <c r="F192" s="7"/>
      <c r="G192" s="7"/>
      <c r="H192" s="7"/>
      <c r="I192" s="145"/>
      <c r="J192" s="7"/>
      <c r="K192" s="7"/>
      <c r="L192" s="7"/>
      <c r="M192" s="7"/>
      <c r="N192" s="7"/>
      <c r="O192" s="7"/>
      <c r="P192" s="7"/>
      <c r="Q192" s="7"/>
      <c r="R192" s="146"/>
      <c r="S192" s="146"/>
      <c r="T192" s="7"/>
      <c r="U192" s="7"/>
    </row>
    <row r="193" customFormat="false" ht="18" hidden="false" customHeight="true" outlineLevel="0" collapsed="false">
      <c r="B193" s="87"/>
      <c r="C193" s="87"/>
      <c r="D193" s="87"/>
      <c r="E193" s="142"/>
      <c r="F193" s="87"/>
      <c r="G193" s="87"/>
      <c r="H193" s="87"/>
      <c r="I193" s="143"/>
      <c r="J193" s="87"/>
      <c r="K193" s="87"/>
      <c r="L193" s="87"/>
      <c r="M193" s="87"/>
      <c r="N193" s="87"/>
      <c r="O193" s="87"/>
      <c r="P193" s="87"/>
      <c r="Q193" s="87"/>
      <c r="R193" s="144"/>
      <c r="S193" s="144"/>
      <c r="T193" s="87"/>
      <c r="U193" s="87"/>
    </row>
    <row r="194" customFormat="false" ht="18" hidden="false" customHeight="true" outlineLevel="0" collapsed="false">
      <c r="B194" s="7"/>
      <c r="C194" s="7"/>
      <c r="D194" s="7"/>
      <c r="E194" s="71"/>
      <c r="F194" s="7"/>
      <c r="G194" s="7"/>
      <c r="H194" s="7"/>
      <c r="I194" s="145"/>
      <c r="J194" s="7"/>
      <c r="K194" s="7"/>
      <c r="L194" s="7"/>
      <c r="M194" s="7"/>
      <c r="N194" s="7"/>
      <c r="O194" s="7"/>
      <c r="P194" s="7"/>
      <c r="Q194" s="7"/>
      <c r="R194" s="146"/>
      <c r="S194" s="146"/>
      <c r="T194" s="7"/>
      <c r="U194" s="7"/>
    </row>
    <row r="195" customFormat="false" ht="18" hidden="false" customHeight="true" outlineLevel="0" collapsed="false">
      <c r="B195" s="87"/>
      <c r="C195" s="87"/>
      <c r="D195" s="87"/>
      <c r="E195" s="142"/>
      <c r="F195" s="87"/>
      <c r="G195" s="87"/>
      <c r="H195" s="87"/>
      <c r="I195" s="143"/>
      <c r="J195" s="87"/>
      <c r="K195" s="87"/>
      <c r="L195" s="87"/>
      <c r="M195" s="87"/>
      <c r="N195" s="87"/>
      <c r="O195" s="87"/>
      <c r="P195" s="87"/>
      <c r="Q195" s="87"/>
      <c r="R195" s="144"/>
      <c r="S195" s="144"/>
      <c r="T195" s="87"/>
      <c r="U195" s="87"/>
    </row>
    <row r="196" customFormat="false" ht="18" hidden="false" customHeight="true" outlineLevel="0" collapsed="false">
      <c r="B196" s="7"/>
      <c r="C196" s="7"/>
      <c r="D196" s="7"/>
      <c r="E196" s="71"/>
      <c r="F196" s="7"/>
      <c r="G196" s="7"/>
      <c r="H196" s="7"/>
      <c r="I196" s="145"/>
      <c r="J196" s="7"/>
      <c r="K196" s="7"/>
      <c r="L196" s="7"/>
      <c r="M196" s="7"/>
      <c r="N196" s="7"/>
      <c r="O196" s="7"/>
      <c r="P196" s="7"/>
      <c r="Q196" s="7"/>
      <c r="R196" s="146"/>
      <c r="S196" s="146"/>
      <c r="T196" s="7"/>
      <c r="U196" s="7"/>
    </row>
    <row r="197" customFormat="false" ht="18" hidden="false" customHeight="true" outlineLevel="0" collapsed="false">
      <c r="B197" s="87"/>
      <c r="C197" s="87"/>
      <c r="D197" s="87"/>
      <c r="E197" s="142"/>
      <c r="F197" s="87"/>
      <c r="G197" s="87"/>
      <c r="H197" s="87"/>
      <c r="I197" s="143"/>
      <c r="J197" s="87"/>
      <c r="K197" s="87"/>
      <c r="L197" s="87"/>
      <c r="M197" s="87"/>
      <c r="N197" s="87"/>
      <c r="O197" s="87"/>
      <c r="P197" s="87"/>
      <c r="Q197" s="87"/>
      <c r="R197" s="144"/>
      <c r="S197" s="144"/>
      <c r="T197" s="87"/>
      <c r="U197" s="87"/>
    </row>
    <row r="198" customFormat="false" ht="18" hidden="false" customHeight="true" outlineLevel="0" collapsed="false">
      <c r="B198" s="7"/>
      <c r="C198" s="7"/>
      <c r="D198" s="7"/>
      <c r="E198" s="71"/>
      <c r="F198" s="7"/>
      <c r="G198" s="7"/>
      <c r="H198" s="7"/>
      <c r="I198" s="145"/>
      <c r="J198" s="7"/>
      <c r="K198" s="7"/>
      <c r="L198" s="7"/>
      <c r="M198" s="7"/>
      <c r="N198" s="7"/>
      <c r="O198" s="7"/>
      <c r="P198" s="7"/>
      <c r="Q198" s="7"/>
      <c r="R198" s="146"/>
      <c r="S198" s="146"/>
      <c r="T198" s="7"/>
      <c r="U198" s="7"/>
    </row>
    <row r="199" customFormat="false" ht="18" hidden="false" customHeight="true" outlineLevel="0" collapsed="false">
      <c r="B199" s="87"/>
      <c r="C199" s="87"/>
      <c r="D199" s="87"/>
      <c r="E199" s="142"/>
      <c r="F199" s="87"/>
      <c r="G199" s="87"/>
      <c r="H199" s="87"/>
      <c r="I199" s="143"/>
      <c r="J199" s="87"/>
      <c r="K199" s="87"/>
      <c r="L199" s="87"/>
      <c r="M199" s="87"/>
      <c r="N199" s="87"/>
      <c r="O199" s="87"/>
      <c r="P199" s="87"/>
      <c r="Q199" s="87"/>
      <c r="R199" s="144"/>
      <c r="S199" s="144"/>
      <c r="T199" s="87"/>
      <c r="U199" s="87"/>
    </row>
    <row r="200" customFormat="false" ht="18" hidden="false" customHeight="true" outlineLevel="0" collapsed="false">
      <c r="B200" s="7"/>
      <c r="C200" s="7"/>
      <c r="D200" s="7"/>
      <c r="E200" s="71"/>
      <c r="F200" s="7"/>
      <c r="G200" s="7"/>
      <c r="H200" s="7"/>
      <c r="I200" s="145"/>
      <c r="J200" s="7"/>
      <c r="K200" s="7"/>
      <c r="L200" s="7"/>
      <c r="M200" s="7"/>
      <c r="N200" s="7"/>
      <c r="O200" s="7"/>
      <c r="P200" s="7"/>
      <c r="Q200" s="7"/>
      <c r="R200" s="146"/>
      <c r="S200" s="146"/>
      <c r="T200" s="7"/>
      <c r="U200" s="7"/>
    </row>
    <row r="201" customFormat="false" ht="18" hidden="false" customHeight="true" outlineLevel="0" collapsed="false">
      <c r="B201" s="87"/>
      <c r="C201" s="87"/>
      <c r="D201" s="87"/>
      <c r="E201" s="142"/>
      <c r="F201" s="87"/>
      <c r="G201" s="87"/>
      <c r="H201" s="87"/>
      <c r="I201" s="143"/>
      <c r="J201" s="87"/>
      <c r="K201" s="87"/>
      <c r="L201" s="87"/>
      <c r="M201" s="87"/>
      <c r="N201" s="87"/>
      <c r="O201" s="87"/>
      <c r="P201" s="87"/>
      <c r="Q201" s="87"/>
      <c r="R201" s="144"/>
      <c r="S201" s="144"/>
      <c r="T201" s="87"/>
      <c r="U201" s="87"/>
    </row>
    <row r="202" customFormat="false" ht="18" hidden="false" customHeight="true" outlineLevel="0" collapsed="false">
      <c r="B202" s="7"/>
      <c r="C202" s="7"/>
      <c r="D202" s="7"/>
      <c r="E202" s="71"/>
      <c r="F202" s="7"/>
      <c r="G202" s="7"/>
      <c r="H202" s="7"/>
      <c r="I202" s="145"/>
      <c r="J202" s="7"/>
      <c r="K202" s="7"/>
      <c r="L202" s="7"/>
      <c r="M202" s="7"/>
      <c r="N202" s="7"/>
      <c r="O202" s="7"/>
      <c r="P202" s="7"/>
      <c r="Q202" s="7"/>
      <c r="R202" s="146"/>
      <c r="S202" s="146"/>
      <c r="T202" s="7"/>
      <c r="U202" s="7"/>
    </row>
    <row r="203" customFormat="false" ht="18" hidden="false" customHeight="true" outlineLevel="0" collapsed="false">
      <c r="B203" s="87"/>
      <c r="C203" s="87"/>
      <c r="D203" s="87"/>
      <c r="E203" s="142"/>
      <c r="F203" s="87"/>
      <c r="G203" s="87"/>
      <c r="H203" s="87"/>
      <c r="I203" s="143"/>
      <c r="J203" s="87"/>
      <c r="K203" s="87"/>
      <c r="L203" s="87"/>
      <c r="M203" s="87"/>
      <c r="N203" s="87"/>
      <c r="O203" s="87"/>
      <c r="P203" s="87"/>
      <c r="Q203" s="87"/>
      <c r="R203" s="144"/>
      <c r="S203" s="144"/>
      <c r="T203" s="87"/>
      <c r="U203" s="87"/>
    </row>
    <row r="204" customFormat="false" ht="18" hidden="false" customHeight="true" outlineLevel="0" collapsed="false">
      <c r="B204" s="7"/>
      <c r="C204" s="7"/>
      <c r="D204" s="7"/>
      <c r="E204" s="71"/>
      <c r="F204" s="7"/>
      <c r="G204" s="7"/>
      <c r="H204" s="7"/>
      <c r="I204" s="145"/>
      <c r="J204" s="7"/>
      <c r="K204" s="7"/>
      <c r="L204" s="7"/>
      <c r="M204" s="7"/>
      <c r="N204" s="7"/>
      <c r="O204" s="7"/>
      <c r="P204" s="7"/>
      <c r="Q204" s="7"/>
      <c r="R204" s="146"/>
      <c r="S204" s="146"/>
      <c r="T204" s="7"/>
      <c r="U204" s="7"/>
    </row>
    <row r="205" customFormat="false" ht="18" hidden="false" customHeight="true" outlineLevel="0" collapsed="false">
      <c r="B205" s="87"/>
      <c r="C205" s="87"/>
      <c r="D205" s="87"/>
      <c r="E205" s="142"/>
      <c r="F205" s="87"/>
      <c r="G205" s="87"/>
      <c r="H205" s="87"/>
      <c r="I205" s="143"/>
      <c r="J205" s="87"/>
      <c r="K205" s="87"/>
      <c r="L205" s="87"/>
      <c r="M205" s="87"/>
      <c r="N205" s="87"/>
      <c r="O205" s="87"/>
      <c r="P205" s="87"/>
      <c r="Q205" s="87"/>
      <c r="R205" s="144"/>
      <c r="S205" s="144"/>
      <c r="T205" s="87"/>
      <c r="U205" s="87"/>
    </row>
    <row r="206" customFormat="false" ht="18" hidden="false" customHeight="true" outlineLevel="0" collapsed="false">
      <c r="B206" s="7"/>
      <c r="C206" s="7"/>
      <c r="D206" s="7"/>
      <c r="E206" s="71"/>
      <c r="F206" s="7"/>
      <c r="G206" s="7"/>
      <c r="H206" s="7"/>
      <c r="I206" s="145"/>
      <c r="J206" s="7"/>
      <c r="K206" s="7"/>
      <c r="L206" s="7"/>
      <c r="M206" s="7"/>
      <c r="N206" s="7"/>
      <c r="O206" s="7"/>
      <c r="P206" s="7"/>
      <c r="Q206" s="7"/>
      <c r="R206" s="146"/>
      <c r="S206" s="146"/>
      <c r="T206" s="7"/>
      <c r="U206" s="7"/>
    </row>
    <row r="207" customFormat="false" ht="18" hidden="false" customHeight="true" outlineLevel="0" collapsed="false">
      <c r="B207" s="87"/>
      <c r="C207" s="87"/>
      <c r="D207" s="87"/>
      <c r="E207" s="142"/>
      <c r="F207" s="87"/>
      <c r="G207" s="87"/>
      <c r="H207" s="87"/>
      <c r="I207" s="143"/>
      <c r="J207" s="87"/>
      <c r="K207" s="87"/>
      <c r="L207" s="87"/>
      <c r="M207" s="87"/>
      <c r="N207" s="87"/>
      <c r="O207" s="87"/>
      <c r="P207" s="87"/>
      <c r="Q207" s="87"/>
      <c r="R207" s="144"/>
      <c r="S207" s="144"/>
      <c r="T207" s="87"/>
      <c r="U207" s="87"/>
    </row>
    <row r="208" customFormat="false" ht="18" hidden="false" customHeight="true" outlineLevel="0" collapsed="false">
      <c r="B208" s="7"/>
      <c r="C208" s="7"/>
      <c r="D208" s="7"/>
      <c r="E208" s="71"/>
      <c r="F208" s="7"/>
      <c r="G208" s="7"/>
      <c r="H208" s="7"/>
      <c r="I208" s="145"/>
      <c r="J208" s="7"/>
      <c r="K208" s="7"/>
      <c r="L208" s="7"/>
      <c r="M208" s="7"/>
      <c r="N208" s="7"/>
      <c r="O208" s="7"/>
      <c r="P208" s="7"/>
      <c r="Q208" s="7"/>
      <c r="R208" s="146"/>
      <c r="S208" s="146"/>
      <c r="T208" s="7"/>
      <c r="U208" s="7"/>
    </row>
    <row r="209" customFormat="false" ht="18" hidden="false" customHeight="true" outlineLevel="0" collapsed="false">
      <c r="B209" s="87"/>
      <c r="C209" s="87"/>
      <c r="D209" s="87"/>
      <c r="E209" s="142"/>
      <c r="F209" s="87"/>
      <c r="G209" s="87"/>
      <c r="H209" s="87"/>
      <c r="I209" s="143"/>
      <c r="J209" s="87"/>
      <c r="K209" s="87"/>
      <c r="L209" s="87"/>
      <c r="M209" s="87"/>
      <c r="N209" s="87"/>
      <c r="O209" s="87"/>
      <c r="P209" s="87"/>
      <c r="Q209" s="87"/>
      <c r="R209" s="144"/>
      <c r="S209" s="144"/>
      <c r="T209" s="87"/>
      <c r="U209" s="87"/>
    </row>
    <row r="210" customFormat="false" ht="18" hidden="false" customHeight="true" outlineLevel="0" collapsed="false">
      <c r="B210" s="7"/>
      <c r="C210" s="7"/>
      <c r="D210" s="7"/>
      <c r="E210" s="71"/>
      <c r="F210" s="7"/>
      <c r="G210" s="7"/>
      <c r="H210" s="7"/>
      <c r="I210" s="145"/>
      <c r="J210" s="7"/>
      <c r="K210" s="7"/>
      <c r="L210" s="7"/>
      <c r="M210" s="7"/>
      <c r="N210" s="7"/>
      <c r="O210" s="7"/>
      <c r="P210" s="7"/>
      <c r="Q210" s="7"/>
      <c r="R210" s="146"/>
      <c r="S210" s="146"/>
      <c r="T210" s="7"/>
      <c r="U210" s="7"/>
    </row>
    <row r="211" customFormat="false" ht="18" hidden="false" customHeight="true" outlineLevel="0" collapsed="false">
      <c r="B211" s="87"/>
      <c r="C211" s="87"/>
      <c r="D211" s="87"/>
      <c r="E211" s="142"/>
      <c r="F211" s="87"/>
      <c r="G211" s="87"/>
      <c r="H211" s="87"/>
      <c r="I211" s="143"/>
      <c r="J211" s="87"/>
      <c r="K211" s="87"/>
      <c r="L211" s="87"/>
      <c r="M211" s="87"/>
      <c r="N211" s="87"/>
      <c r="O211" s="87"/>
      <c r="P211" s="87"/>
      <c r="Q211" s="87"/>
      <c r="R211" s="144"/>
      <c r="S211" s="144"/>
      <c r="T211" s="87"/>
      <c r="U211" s="87"/>
    </row>
    <row r="212" customFormat="false" ht="18" hidden="false" customHeight="true" outlineLevel="0" collapsed="false">
      <c r="B212" s="7"/>
      <c r="C212" s="7"/>
      <c r="D212" s="7"/>
      <c r="E212" s="71"/>
      <c r="F212" s="7"/>
      <c r="G212" s="7"/>
      <c r="H212" s="7"/>
      <c r="I212" s="145"/>
      <c r="J212" s="7"/>
      <c r="K212" s="7"/>
      <c r="L212" s="7"/>
      <c r="M212" s="7"/>
      <c r="N212" s="7"/>
      <c r="O212" s="7"/>
      <c r="P212" s="7"/>
      <c r="Q212" s="7"/>
      <c r="R212" s="146"/>
      <c r="S212" s="146"/>
      <c r="T212" s="7"/>
      <c r="U212" s="7"/>
    </row>
    <row r="213" customFormat="false" ht="18" hidden="false" customHeight="true" outlineLevel="0" collapsed="false">
      <c r="B213" s="87"/>
      <c r="C213" s="87"/>
      <c r="D213" s="87"/>
      <c r="E213" s="142"/>
      <c r="F213" s="87"/>
      <c r="G213" s="87"/>
      <c r="H213" s="87"/>
      <c r="I213" s="143"/>
      <c r="J213" s="87"/>
      <c r="K213" s="87"/>
      <c r="L213" s="87"/>
      <c r="M213" s="87"/>
      <c r="N213" s="87"/>
      <c r="O213" s="87"/>
      <c r="P213" s="87"/>
      <c r="Q213" s="87"/>
      <c r="R213" s="144"/>
      <c r="S213" s="144"/>
      <c r="T213" s="87"/>
      <c r="U213" s="87"/>
    </row>
    <row r="214" customFormat="false" ht="18" hidden="false" customHeight="true" outlineLevel="0" collapsed="false">
      <c r="B214" s="7"/>
      <c r="C214" s="7"/>
      <c r="D214" s="7"/>
      <c r="E214" s="71"/>
      <c r="F214" s="7"/>
      <c r="G214" s="7"/>
      <c r="H214" s="7"/>
      <c r="I214" s="145"/>
      <c r="J214" s="7"/>
      <c r="K214" s="7"/>
      <c r="L214" s="7"/>
      <c r="M214" s="7"/>
      <c r="N214" s="7"/>
      <c r="O214" s="7"/>
      <c r="P214" s="7"/>
      <c r="Q214" s="7"/>
      <c r="R214" s="146"/>
      <c r="S214" s="146"/>
      <c r="T214" s="7"/>
      <c r="U214" s="7"/>
    </row>
    <row r="215" customFormat="false" ht="18" hidden="false" customHeight="true" outlineLevel="0" collapsed="false">
      <c r="B215" s="87"/>
      <c r="C215" s="87"/>
      <c r="D215" s="87"/>
      <c r="E215" s="142"/>
      <c r="F215" s="87"/>
      <c r="G215" s="87"/>
      <c r="H215" s="87"/>
      <c r="I215" s="143"/>
      <c r="J215" s="87"/>
      <c r="K215" s="87"/>
      <c r="L215" s="87"/>
      <c r="M215" s="87"/>
      <c r="N215" s="87"/>
      <c r="O215" s="87"/>
      <c r="P215" s="87"/>
      <c r="Q215" s="87"/>
      <c r="R215" s="144"/>
      <c r="S215" s="144"/>
      <c r="T215" s="87"/>
      <c r="U215" s="87"/>
    </row>
    <row r="216" customFormat="false" ht="18" hidden="false" customHeight="true" outlineLevel="0" collapsed="false">
      <c r="B216" s="7"/>
      <c r="C216" s="7"/>
      <c r="D216" s="7"/>
      <c r="E216" s="71"/>
      <c r="F216" s="7"/>
      <c r="G216" s="7"/>
      <c r="H216" s="7"/>
      <c r="I216" s="145"/>
      <c r="J216" s="7"/>
      <c r="K216" s="7"/>
      <c r="L216" s="7"/>
      <c r="M216" s="7"/>
      <c r="N216" s="7"/>
      <c r="O216" s="7"/>
      <c r="P216" s="7"/>
      <c r="Q216" s="7"/>
      <c r="R216" s="146"/>
      <c r="S216" s="146"/>
      <c r="T216" s="7"/>
      <c r="U216" s="7"/>
    </row>
    <row r="217" customFormat="false" ht="18" hidden="false" customHeight="true" outlineLevel="0" collapsed="false">
      <c r="B217" s="87"/>
      <c r="C217" s="87"/>
      <c r="D217" s="87"/>
      <c r="E217" s="142"/>
      <c r="F217" s="87"/>
      <c r="G217" s="87"/>
      <c r="H217" s="87"/>
      <c r="I217" s="143"/>
      <c r="J217" s="87"/>
      <c r="K217" s="87"/>
      <c r="L217" s="87"/>
      <c r="M217" s="87"/>
      <c r="N217" s="87"/>
      <c r="O217" s="87"/>
      <c r="P217" s="87"/>
      <c r="Q217" s="87"/>
      <c r="R217" s="144"/>
      <c r="S217" s="144"/>
      <c r="T217" s="87"/>
      <c r="U217" s="87"/>
    </row>
    <row r="218" customFormat="false" ht="18" hidden="false" customHeight="true" outlineLevel="0" collapsed="false">
      <c r="B218" s="7"/>
      <c r="C218" s="7"/>
      <c r="D218" s="7"/>
      <c r="E218" s="71"/>
      <c r="F218" s="7"/>
      <c r="G218" s="7"/>
      <c r="H218" s="7"/>
      <c r="I218" s="145"/>
      <c r="J218" s="7"/>
      <c r="K218" s="7"/>
      <c r="L218" s="7"/>
      <c r="M218" s="7"/>
      <c r="N218" s="7"/>
      <c r="O218" s="7"/>
      <c r="P218" s="7"/>
      <c r="Q218" s="7"/>
      <c r="R218" s="146"/>
      <c r="S218" s="146"/>
      <c r="T218" s="7"/>
      <c r="U218" s="7"/>
    </row>
    <row r="219" customFormat="false" ht="18" hidden="false" customHeight="true" outlineLevel="0" collapsed="false">
      <c r="B219" s="87"/>
      <c r="C219" s="87"/>
      <c r="D219" s="87"/>
      <c r="E219" s="142"/>
      <c r="F219" s="87"/>
      <c r="G219" s="87"/>
      <c r="H219" s="87"/>
      <c r="I219" s="143"/>
      <c r="J219" s="87"/>
      <c r="K219" s="87"/>
      <c r="L219" s="87"/>
      <c r="M219" s="87"/>
      <c r="N219" s="87"/>
      <c r="O219" s="87"/>
      <c r="P219" s="87"/>
      <c r="Q219" s="87"/>
      <c r="R219" s="144"/>
      <c r="S219" s="144"/>
      <c r="T219" s="87"/>
      <c r="U219" s="87"/>
    </row>
    <row r="220" customFormat="false" ht="18" hidden="false" customHeight="true" outlineLevel="0" collapsed="false">
      <c r="B220" s="7"/>
      <c r="C220" s="7"/>
      <c r="D220" s="7"/>
      <c r="E220" s="71"/>
      <c r="F220" s="7"/>
      <c r="G220" s="7"/>
      <c r="H220" s="7"/>
      <c r="I220" s="145"/>
      <c r="J220" s="7"/>
      <c r="K220" s="7"/>
      <c r="L220" s="7"/>
      <c r="M220" s="7"/>
      <c r="N220" s="7"/>
      <c r="O220" s="7"/>
      <c r="P220" s="7"/>
      <c r="Q220" s="7"/>
      <c r="R220" s="146"/>
      <c r="S220" s="146"/>
      <c r="T220" s="7"/>
      <c r="U220" s="7"/>
    </row>
    <row r="221" customFormat="false" ht="18" hidden="false" customHeight="true" outlineLevel="0" collapsed="false">
      <c r="B221" s="87"/>
      <c r="C221" s="87"/>
      <c r="D221" s="87"/>
      <c r="E221" s="142"/>
      <c r="F221" s="87"/>
      <c r="G221" s="87"/>
      <c r="H221" s="87"/>
      <c r="I221" s="143"/>
      <c r="J221" s="87"/>
      <c r="K221" s="87"/>
      <c r="L221" s="87"/>
      <c r="M221" s="87"/>
      <c r="N221" s="87"/>
      <c r="O221" s="87"/>
      <c r="P221" s="87"/>
      <c r="Q221" s="87"/>
      <c r="R221" s="144"/>
      <c r="S221" s="144"/>
      <c r="T221" s="87"/>
      <c r="U221" s="87"/>
    </row>
    <row r="222" customFormat="false" ht="18" hidden="false" customHeight="true" outlineLevel="0" collapsed="false">
      <c r="B222" s="7"/>
      <c r="C222" s="7"/>
      <c r="D222" s="7"/>
      <c r="E222" s="71"/>
      <c r="F222" s="7"/>
      <c r="G222" s="7"/>
      <c r="H222" s="7"/>
      <c r="I222" s="145"/>
      <c r="J222" s="7"/>
      <c r="K222" s="7"/>
      <c r="L222" s="7"/>
      <c r="M222" s="7"/>
      <c r="N222" s="7"/>
      <c r="O222" s="7"/>
      <c r="P222" s="7"/>
      <c r="Q222" s="7"/>
      <c r="R222" s="146"/>
      <c r="S222" s="146"/>
      <c r="T222" s="7"/>
      <c r="U222" s="7"/>
    </row>
    <row r="223" customFormat="false" ht="18" hidden="false" customHeight="true" outlineLevel="0" collapsed="false">
      <c r="B223" s="87"/>
      <c r="C223" s="87"/>
      <c r="D223" s="87"/>
      <c r="E223" s="142"/>
      <c r="F223" s="87"/>
      <c r="G223" s="87"/>
      <c r="H223" s="87"/>
      <c r="I223" s="143"/>
      <c r="J223" s="87"/>
      <c r="K223" s="87"/>
      <c r="L223" s="87"/>
      <c r="M223" s="87"/>
      <c r="N223" s="87"/>
      <c r="O223" s="87"/>
      <c r="P223" s="87"/>
      <c r="Q223" s="87"/>
      <c r="R223" s="144"/>
      <c r="S223" s="144"/>
      <c r="T223" s="87"/>
      <c r="U223" s="87"/>
    </row>
    <row r="224" customFormat="false" ht="18" hidden="false" customHeight="true" outlineLevel="0" collapsed="false">
      <c r="B224" s="7"/>
      <c r="C224" s="7"/>
      <c r="D224" s="7"/>
      <c r="E224" s="71"/>
      <c r="F224" s="7"/>
      <c r="G224" s="7"/>
      <c r="H224" s="7"/>
      <c r="I224" s="145"/>
      <c r="J224" s="7"/>
      <c r="K224" s="7"/>
      <c r="L224" s="7"/>
      <c r="M224" s="7"/>
      <c r="N224" s="7"/>
      <c r="O224" s="7"/>
      <c r="P224" s="7"/>
      <c r="Q224" s="7"/>
      <c r="R224" s="146"/>
      <c r="S224" s="146"/>
      <c r="T224" s="7"/>
      <c r="U224" s="7"/>
    </row>
    <row r="225" customFormat="false" ht="18" hidden="false" customHeight="true" outlineLevel="0" collapsed="false">
      <c r="B225" s="87"/>
      <c r="C225" s="87"/>
      <c r="D225" s="87"/>
      <c r="E225" s="142"/>
      <c r="F225" s="87"/>
      <c r="G225" s="87"/>
      <c r="H225" s="87"/>
      <c r="I225" s="143"/>
      <c r="J225" s="87"/>
      <c r="K225" s="87"/>
      <c r="L225" s="87"/>
      <c r="M225" s="87"/>
      <c r="N225" s="87"/>
      <c r="O225" s="87"/>
      <c r="P225" s="87"/>
      <c r="Q225" s="87"/>
      <c r="R225" s="144"/>
      <c r="S225" s="144"/>
      <c r="T225" s="87"/>
      <c r="U225" s="87"/>
    </row>
    <row r="226" customFormat="false" ht="18" hidden="false" customHeight="true" outlineLevel="0" collapsed="false">
      <c r="B226" s="7"/>
      <c r="C226" s="7"/>
      <c r="D226" s="7"/>
      <c r="E226" s="71"/>
      <c r="F226" s="7"/>
      <c r="G226" s="7"/>
      <c r="H226" s="7"/>
      <c r="I226" s="145"/>
      <c r="J226" s="7"/>
      <c r="K226" s="7"/>
      <c r="L226" s="7"/>
      <c r="M226" s="7"/>
      <c r="N226" s="7"/>
      <c r="O226" s="7"/>
      <c r="P226" s="7"/>
      <c r="Q226" s="7"/>
      <c r="R226" s="146"/>
      <c r="S226" s="146"/>
      <c r="T226" s="7"/>
      <c r="U226" s="7"/>
    </row>
    <row r="227" customFormat="false" ht="18" hidden="false" customHeight="true" outlineLevel="0" collapsed="false">
      <c r="B227" s="87"/>
      <c r="C227" s="87"/>
      <c r="D227" s="87"/>
      <c r="E227" s="142"/>
      <c r="F227" s="87"/>
      <c r="G227" s="87"/>
      <c r="H227" s="87"/>
      <c r="I227" s="143"/>
      <c r="J227" s="87"/>
      <c r="K227" s="87"/>
      <c r="L227" s="87"/>
      <c r="M227" s="87"/>
      <c r="N227" s="87"/>
      <c r="O227" s="87"/>
      <c r="P227" s="87"/>
      <c r="Q227" s="87"/>
      <c r="R227" s="144"/>
      <c r="S227" s="144"/>
      <c r="T227" s="87"/>
      <c r="U227" s="87"/>
    </row>
    <row r="228" customFormat="false" ht="18" hidden="false" customHeight="true" outlineLevel="0" collapsed="false">
      <c r="B228" s="7"/>
      <c r="C228" s="7"/>
      <c r="D228" s="7"/>
      <c r="E228" s="71"/>
      <c r="F228" s="7"/>
      <c r="G228" s="7"/>
      <c r="H228" s="7"/>
      <c r="I228" s="145"/>
      <c r="J228" s="7"/>
      <c r="K228" s="7"/>
      <c r="L228" s="7"/>
      <c r="M228" s="7"/>
      <c r="N228" s="7"/>
      <c r="O228" s="7"/>
      <c r="P228" s="7"/>
      <c r="Q228" s="7"/>
      <c r="R228" s="146"/>
      <c r="S228" s="146"/>
      <c r="T228" s="7"/>
      <c r="U228" s="7"/>
    </row>
    <row r="229" customFormat="false" ht="18" hidden="false" customHeight="true" outlineLevel="0" collapsed="false">
      <c r="B229" s="87"/>
      <c r="C229" s="87"/>
      <c r="D229" s="87"/>
      <c r="E229" s="142"/>
      <c r="F229" s="87"/>
      <c r="G229" s="87"/>
      <c r="H229" s="87"/>
      <c r="I229" s="143"/>
      <c r="J229" s="87"/>
      <c r="K229" s="87"/>
      <c r="L229" s="87"/>
      <c r="M229" s="87"/>
      <c r="N229" s="87"/>
      <c r="O229" s="87"/>
      <c r="P229" s="87"/>
      <c r="Q229" s="87"/>
      <c r="R229" s="144"/>
      <c r="S229" s="144"/>
      <c r="T229" s="87"/>
      <c r="U229" s="87"/>
    </row>
    <row r="230" customFormat="false" ht="18" hidden="false" customHeight="true" outlineLevel="0" collapsed="false">
      <c r="B230" s="7"/>
      <c r="C230" s="7"/>
      <c r="D230" s="7"/>
      <c r="E230" s="71"/>
      <c r="F230" s="7"/>
      <c r="G230" s="7"/>
      <c r="H230" s="7"/>
      <c r="I230" s="145"/>
      <c r="J230" s="7"/>
      <c r="K230" s="7"/>
      <c r="L230" s="7"/>
      <c r="M230" s="7"/>
      <c r="N230" s="7"/>
      <c r="O230" s="7"/>
      <c r="P230" s="7"/>
      <c r="Q230" s="7"/>
      <c r="R230" s="146"/>
      <c r="S230" s="146"/>
      <c r="T230" s="7"/>
      <c r="U230" s="7"/>
    </row>
    <row r="231" customFormat="false" ht="18" hidden="false" customHeight="true" outlineLevel="0" collapsed="false">
      <c r="B231" s="87"/>
      <c r="C231" s="87"/>
      <c r="D231" s="87"/>
      <c r="E231" s="142"/>
      <c r="F231" s="87"/>
      <c r="G231" s="87"/>
      <c r="H231" s="87"/>
      <c r="I231" s="143"/>
      <c r="J231" s="87"/>
      <c r="K231" s="87"/>
      <c r="L231" s="87"/>
      <c r="M231" s="87"/>
      <c r="N231" s="87"/>
      <c r="O231" s="87"/>
      <c r="P231" s="87"/>
      <c r="Q231" s="87"/>
      <c r="R231" s="144"/>
      <c r="S231" s="144"/>
      <c r="T231" s="87"/>
      <c r="U231" s="87"/>
    </row>
    <row r="232" customFormat="false" ht="18" hidden="false" customHeight="true" outlineLevel="0" collapsed="false">
      <c r="B232" s="7"/>
      <c r="C232" s="7"/>
      <c r="D232" s="7"/>
      <c r="E232" s="71"/>
      <c r="F232" s="7"/>
      <c r="G232" s="7"/>
      <c r="H232" s="7"/>
      <c r="I232" s="145"/>
      <c r="J232" s="7"/>
      <c r="K232" s="7"/>
      <c r="L232" s="7"/>
      <c r="M232" s="7"/>
      <c r="N232" s="7"/>
      <c r="O232" s="7"/>
      <c r="P232" s="7"/>
      <c r="Q232" s="7"/>
      <c r="R232" s="146"/>
      <c r="S232" s="146"/>
      <c r="T232" s="7"/>
      <c r="U232" s="7"/>
    </row>
    <row r="233" customFormat="false" ht="18" hidden="false" customHeight="true" outlineLevel="0" collapsed="false">
      <c r="B233" s="87"/>
      <c r="C233" s="87"/>
      <c r="D233" s="87"/>
      <c r="E233" s="142"/>
      <c r="F233" s="87"/>
      <c r="G233" s="87"/>
      <c r="H233" s="87"/>
      <c r="I233" s="143"/>
      <c r="J233" s="87"/>
      <c r="K233" s="87"/>
      <c r="L233" s="87"/>
      <c r="M233" s="87"/>
      <c r="N233" s="87"/>
      <c r="O233" s="87"/>
      <c r="P233" s="87"/>
      <c r="Q233" s="87"/>
      <c r="R233" s="144"/>
      <c r="S233" s="144"/>
      <c r="T233" s="87"/>
      <c r="U233" s="87"/>
    </row>
    <row r="234" customFormat="false" ht="18" hidden="false" customHeight="true" outlineLevel="0" collapsed="false">
      <c r="B234" s="7"/>
      <c r="C234" s="7"/>
      <c r="D234" s="7"/>
      <c r="E234" s="71"/>
      <c r="F234" s="7"/>
      <c r="G234" s="7"/>
      <c r="H234" s="7"/>
      <c r="I234" s="145"/>
      <c r="J234" s="7"/>
      <c r="K234" s="7"/>
      <c r="L234" s="7"/>
      <c r="M234" s="7"/>
      <c r="N234" s="7"/>
      <c r="O234" s="7"/>
      <c r="P234" s="7"/>
      <c r="Q234" s="7"/>
      <c r="R234" s="146"/>
      <c r="S234" s="146"/>
      <c r="T234" s="7"/>
      <c r="U234" s="7"/>
    </row>
    <row r="235" customFormat="false" ht="18" hidden="false" customHeight="true" outlineLevel="0" collapsed="false">
      <c r="B235" s="87"/>
      <c r="C235" s="87"/>
      <c r="D235" s="87"/>
      <c r="E235" s="142"/>
      <c r="F235" s="87"/>
      <c r="G235" s="87"/>
      <c r="H235" s="87"/>
      <c r="I235" s="143"/>
      <c r="J235" s="87"/>
      <c r="K235" s="87"/>
      <c r="L235" s="87"/>
      <c r="M235" s="87"/>
      <c r="N235" s="87"/>
      <c r="O235" s="87"/>
      <c r="P235" s="87"/>
      <c r="Q235" s="87"/>
      <c r="R235" s="144"/>
      <c r="S235" s="144"/>
      <c r="T235" s="87"/>
      <c r="U235" s="87"/>
    </row>
    <row r="236" customFormat="false" ht="18" hidden="false" customHeight="true" outlineLevel="0" collapsed="false">
      <c r="B236" s="7"/>
      <c r="C236" s="7"/>
      <c r="D236" s="7"/>
      <c r="E236" s="71"/>
      <c r="F236" s="7"/>
      <c r="G236" s="7"/>
      <c r="H236" s="7"/>
      <c r="I236" s="145"/>
      <c r="J236" s="7"/>
      <c r="K236" s="7"/>
      <c r="L236" s="7"/>
      <c r="M236" s="7"/>
      <c r="N236" s="7"/>
      <c r="O236" s="7"/>
      <c r="P236" s="7"/>
      <c r="Q236" s="7"/>
      <c r="R236" s="146"/>
      <c r="S236" s="146"/>
      <c r="T236" s="7"/>
      <c r="U236" s="7"/>
    </row>
    <row r="237" customFormat="false" ht="18" hidden="false" customHeight="true" outlineLevel="0" collapsed="false">
      <c r="B237" s="87"/>
      <c r="C237" s="87"/>
      <c r="D237" s="87"/>
      <c r="E237" s="142"/>
      <c r="F237" s="87"/>
      <c r="G237" s="87"/>
      <c r="H237" s="87"/>
      <c r="I237" s="143"/>
      <c r="J237" s="87"/>
      <c r="K237" s="87"/>
      <c r="L237" s="87"/>
      <c r="M237" s="87"/>
      <c r="N237" s="87"/>
      <c r="O237" s="87"/>
      <c r="P237" s="87"/>
      <c r="Q237" s="87"/>
      <c r="R237" s="144"/>
      <c r="S237" s="144"/>
      <c r="T237" s="87"/>
      <c r="U237" s="87"/>
    </row>
    <row r="238" customFormat="false" ht="18" hidden="false" customHeight="true" outlineLevel="0" collapsed="false">
      <c r="B238" s="7"/>
      <c r="C238" s="7"/>
      <c r="D238" s="7"/>
      <c r="E238" s="71"/>
      <c r="F238" s="7"/>
      <c r="G238" s="7"/>
      <c r="H238" s="7"/>
      <c r="I238" s="145"/>
      <c r="J238" s="7"/>
      <c r="K238" s="7"/>
      <c r="L238" s="7"/>
      <c r="M238" s="7"/>
      <c r="N238" s="7"/>
      <c r="O238" s="7"/>
      <c r="P238" s="7"/>
      <c r="Q238" s="7"/>
      <c r="R238" s="146"/>
      <c r="S238" s="146"/>
      <c r="T238" s="7"/>
      <c r="U238" s="7"/>
    </row>
    <row r="239" customFormat="false" ht="18" hidden="false" customHeight="true" outlineLevel="0" collapsed="false">
      <c r="B239" s="87"/>
      <c r="C239" s="87"/>
      <c r="D239" s="87"/>
      <c r="E239" s="142"/>
      <c r="F239" s="87"/>
      <c r="G239" s="87"/>
      <c r="H239" s="87"/>
      <c r="I239" s="143"/>
      <c r="J239" s="87"/>
      <c r="K239" s="87"/>
      <c r="L239" s="87"/>
      <c r="M239" s="87"/>
      <c r="N239" s="87"/>
      <c r="O239" s="87"/>
      <c r="P239" s="87"/>
      <c r="Q239" s="87"/>
      <c r="R239" s="144"/>
      <c r="S239" s="144"/>
      <c r="T239" s="87"/>
      <c r="U239" s="87"/>
    </row>
    <row r="240" customFormat="false" ht="18" hidden="false" customHeight="true" outlineLevel="0" collapsed="false">
      <c r="B240" s="7"/>
      <c r="C240" s="7"/>
      <c r="D240" s="7"/>
      <c r="E240" s="71"/>
      <c r="F240" s="7"/>
      <c r="G240" s="7"/>
      <c r="H240" s="7"/>
      <c r="I240" s="145"/>
      <c r="J240" s="7"/>
      <c r="K240" s="7"/>
      <c r="L240" s="7"/>
      <c r="M240" s="7"/>
      <c r="N240" s="7"/>
      <c r="O240" s="7"/>
      <c r="P240" s="7"/>
      <c r="Q240" s="7"/>
      <c r="R240" s="146"/>
      <c r="S240" s="146"/>
      <c r="T240" s="7"/>
      <c r="U240" s="7"/>
    </row>
    <row r="241" customFormat="false" ht="18" hidden="false" customHeight="true" outlineLevel="0" collapsed="false">
      <c r="B241" s="87"/>
      <c r="C241" s="87"/>
      <c r="D241" s="87"/>
      <c r="E241" s="142"/>
      <c r="F241" s="87"/>
      <c r="G241" s="87"/>
      <c r="H241" s="87"/>
      <c r="I241" s="143"/>
      <c r="J241" s="87"/>
      <c r="K241" s="87"/>
      <c r="L241" s="87"/>
      <c r="M241" s="87"/>
      <c r="N241" s="87"/>
      <c r="O241" s="87"/>
      <c r="P241" s="87"/>
      <c r="Q241" s="87"/>
      <c r="R241" s="144"/>
      <c r="S241" s="144"/>
      <c r="T241" s="87"/>
      <c r="U241" s="87"/>
    </row>
    <row r="242" customFormat="false" ht="18" hidden="false" customHeight="true" outlineLevel="0" collapsed="false">
      <c r="B242" s="7"/>
      <c r="C242" s="7"/>
      <c r="D242" s="7"/>
      <c r="E242" s="71"/>
      <c r="F242" s="7"/>
      <c r="G242" s="7"/>
      <c r="H242" s="7"/>
      <c r="I242" s="145"/>
      <c r="J242" s="7"/>
      <c r="K242" s="7"/>
      <c r="L242" s="7"/>
      <c r="M242" s="7"/>
      <c r="N242" s="7"/>
      <c r="O242" s="7"/>
      <c r="P242" s="7"/>
      <c r="Q242" s="7"/>
      <c r="R242" s="146"/>
      <c r="S242" s="146"/>
      <c r="T242" s="7"/>
      <c r="U242" s="7"/>
    </row>
    <row r="243" customFormat="false" ht="18" hidden="false" customHeight="true" outlineLevel="0" collapsed="false">
      <c r="B243" s="87"/>
      <c r="C243" s="87"/>
      <c r="D243" s="87"/>
      <c r="E243" s="142"/>
      <c r="F243" s="87"/>
      <c r="G243" s="87"/>
      <c r="H243" s="87"/>
      <c r="I243" s="143"/>
      <c r="J243" s="87"/>
      <c r="K243" s="87"/>
      <c r="L243" s="87"/>
      <c r="M243" s="87"/>
      <c r="N243" s="87"/>
      <c r="O243" s="87"/>
      <c r="P243" s="87"/>
      <c r="Q243" s="87"/>
      <c r="R243" s="144"/>
      <c r="S243" s="144"/>
      <c r="T243" s="87"/>
      <c r="U243" s="87"/>
    </row>
    <row r="244" customFormat="false" ht="18" hidden="false" customHeight="true" outlineLevel="0" collapsed="false">
      <c r="B244" s="7"/>
      <c r="C244" s="7"/>
      <c r="D244" s="7"/>
      <c r="E244" s="71"/>
      <c r="F244" s="7"/>
      <c r="G244" s="7"/>
      <c r="H244" s="7"/>
      <c r="I244" s="145"/>
      <c r="J244" s="7"/>
      <c r="K244" s="7"/>
      <c r="L244" s="7"/>
      <c r="M244" s="7"/>
      <c r="N244" s="7"/>
      <c r="O244" s="7"/>
      <c r="P244" s="7"/>
      <c r="Q244" s="7"/>
      <c r="R244" s="146"/>
      <c r="S244" s="146"/>
      <c r="T244" s="7"/>
      <c r="U244" s="7"/>
    </row>
    <row r="245" customFormat="false" ht="18" hidden="false" customHeight="true" outlineLevel="0" collapsed="false">
      <c r="B245" s="87"/>
      <c r="C245" s="87"/>
      <c r="D245" s="87"/>
      <c r="E245" s="142"/>
      <c r="F245" s="87"/>
      <c r="G245" s="87"/>
      <c r="H245" s="87"/>
      <c r="I245" s="143"/>
      <c r="J245" s="87"/>
      <c r="K245" s="87"/>
      <c r="L245" s="87"/>
      <c r="M245" s="87"/>
      <c r="N245" s="87"/>
      <c r="O245" s="87"/>
      <c r="P245" s="87"/>
      <c r="Q245" s="87"/>
      <c r="R245" s="144"/>
      <c r="S245" s="144"/>
      <c r="T245" s="87"/>
      <c r="U245" s="87"/>
    </row>
    <row r="246" customFormat="false" ht="18" hidden="false" customHeight="true" outlineLevel="0" collapsed="false">
      <c r="B246" s="7"/>
      <c r="C246" s="7"/>
      <c r="D246" s="7"/>
      <c r="E246" s="71"/>
      <c r="F246" s="7"/>
      <c r="G246" s="7"/>
      <c r="H246" s="7"/>
      <c r="I246" s="145"/>
      <c r="J246" s="7"/>
      <c r="K246" s="7"/>
      <c r="L246" s="7"/>
      <c r="M246" s="7"/>
      <c r="N246" s="7"/>
      <c r="O246" s="7"/>
      <c r="P246" s="7"/>
      <c r="Q246" s="7"/>
      <c r="R246" s="146"/>
      <c r="S246" s="146"/>
      <c r="T246" s="7"/>
      <c r="U246" s="7"/>
    </row>
    <row r="247" customFormat="false" ht="18" hidden="false" customHeight="true" outlineLevel="0" collapsed="false">
      <c r="B247" s="87"/>
      <c r="C247" s="87"/>
      <c r="D247" s="87"/>
      <c r="E247" s="142"/>
      <c r="F247" s="87"/>
      <c r="G247" s="87"/>
      <c r="H247" s="87"/>
      <c r="I247" s="143"/>
      <c r="J247" s="87"/>
      <c r="K247" s="87"/>
      <c r="L247" s="87"/>
      <c r="M247" s="87"/>
      <c r="N247" s="87"/>
      <c r="O247" s="87"/>
      <c r="P247" s="87"/>
      <c r="Q247" s="87"/>
      <c r="R247" s="144"/>
      <c r="S247" s="144"/>
      <c r="T247" s="87"/>
      <c r="U247" s="87"/>
    </row>
    <row r="248" customFormat="false" ht="18" hidden="false" customHeight="true" outlineLevel="0" collapsed="false">
      <c r="B248" s="7"/>
      <c r="C248" s="7"/>
      <c r="D248" s="7"/>
      <c r="E248" s="71"/>
      <c r="F248" s="7"/>
      <c r="G248" s="7"/>
      <c r="H248" s="7"/>
      <c r="I248" s="145"/>
      <c r="J248" s="7"/>
      <c r="K248" s="7"/>
      <c r="L248" s="7"/>
      <c r="M248" s="7"/>
      <c r="N248" s="7"/>
      <c r="O248" s="7"/>
      <c r="P248" s="7"/>
      <c r="Q248" s="7"/>
      <c r="R248" s="146"/>
      <c r="S248" s="146"/>
      <c r="T248" s="7"/>
      <c r="U248" s="7"/>
    </row>
    <row r="249" customFormat="false" ht="18" hidden="false" customHeight="true" outlineLevel="0" collapsed="false">
      <c r="B249" s="87"/>
      <c r="C249" s="87"/>
      <c r="D249" s="87"/>
      <c r="E249" s="142"/>
      <c r="F249" s="87"/>
      <c r="G249" s="87"/>
      <c r="H249" s="87"/>
      <c r="I249" s="143"/>
      <c r="J249" s="87"/>
      <c r="K249" s="87"/>
      <c r="L249" s="87"/>
      <c r="M249" s="87"/>
      <c r="N249" s="87"/>
      <c r="O249" s="87"/>
      <c r="P249" s="87"/>
      <c r="Q249" s="87"/>
      <c r="R249" s="144"/>
      <c r="S249" s="144"/>
      <c r="T249" s="87"/>
      <c r="U249" s="87"/>
    </row>
    <row r="250" customFormat="false" ht="18" hidden="false" customHeight="true" outlineLevel="0" collapsed="false">
      <c r="B250" s="7"/>
      <c r="C250" s="7"/>
      <c r="D250" s="7"/>
      <c r="E250" s="71"/>
      <c r="F250" s="7"/>
      <c r="G250" s="7"/>
      <c r="H250" s="7"/>
      <c r="I250" s="145"/>
      <c r="J250" s="7"/>
      <c r="K250" s="7"/>
      <c r="L250" s="7"/>
      <c r="M250" s="7"/>
      <c r="N250" s="7"/>
      <c r="O250" s="7"/>
      <c r="P250" s="7"/>
      <c r="Q250" s="7"/>
      <c r="R250" s="146"/>
      <c r="S250" s="146"/>
      <c r="T250" s="7"/>
      <c r="U250" s="7"/>
    </row>
    <row r="251" customFormat="false" ht="18" hidden="false" customHeight="true" outlineLevel="0" collapsed="false">
      <c r="B251" s="87"/>
      <c r="C251" s="87"/>
      <c r="D251" s="87"/>
      <c r="E251" s="142"/>
      <c r="F251" s="87"/>
      <c r="G251" s="87"/>
      <c r="H251" s="87"/>
      <c r="I251" s="143"/>
      <c r="J251" s="87"/>
      <c r="K251" s="87"/>
      <c r="L251" s="87"/>
      <c r="M251" s="87"/>
      <c r="N251" s="87"/>
      <c r="O251" s="87"/>
      <c r="P251" s="87"/>
      <c r="Q251" s="87"/>
      <c r="R251" s="144"/>
      <c r="S251" s="144"/>
      <c r="T251" s="87"/>
      <c r="U251" s="87"/>
    </row>
    <row r="252" customFormat="false" ht="18" hidden="false" customHeight="true" outlineLevel="0" collapsed="false">
      <c r="B252" s="7"/>
      <c r="C252" s="7"/>
      <c r="D252" s="7"/>
      <c r="E252" s="71"/>
      <c r="F252" s="7"/>
      <c r="G252" s="7"/>
      <c r="H252" s="7"/>
      <c r="I252" s="145"/>
      <c r="J252" s="7"/>
      <c r="K252" s="7"/>
      <c r="L252" s="7"/>
      <c r="M252" s="7"/>
      <c r="N252" s="7"/>
      <c r="O252" s="7"/>
      <c r="P252" s="7"/>
      <c r="Q252" s="7"/>
      <c r="R252" s="146"/>
      <c r="S252" s="146"/>
      <c r="T252" s="7"/>
      <c r="U252" s="7"/>
    </row>
    <row r="253" customFormat="false" ht="18" hidden="false" customHeight="true" outlineLevel="0" collapsed="false">
      <c r="B253" s="87"/>
      <c r="C253" s="87"/>
      <c r="D253" s="87"/>
      <c r="E253" s="142"/>
      <c r="F253" s="87"/>
      <c r="G253" s="87"/>
      <c r="H253" s="87"/>
      <c r="I253" s="143"/>
      <c r="J253" s="87"/>
      <c r="K253" s="87"/>
      <c r="L253" s="87"/>
      <c r="M253" s="87"/>
      <c r="N253" s="87"/>
      <c r="O253" s="87"/>
      <c r="P253" s="87"/>
      <c r="Q253" s="87"/>
      <c r="R253" s="144"/>
      <c r="S253" s="144"/>
      <c r="T253" s="87"/>
      <c r="U253" s="87"/>
    </row>
    <row r="254" customFormat="false" ht="18" hidden="false" customHeight="true" outlineLevel="0" collapsed="false">
      <c r="B254" s="7"/>
      <c r="C254" s="7"/>
      <c r="D254" s="7"/>
      <c r="E254" s="71"/>
      <c r="F254" s="7"/>
      <c r="G254" s="7"/>
      <c r="H254" s="7"/>
      <c r="I254" s="145"/>
      <c r="J254" s="7"/>
      <c r="K254" s="7"/>
      <c r="L254" s="7"/>
      <c r="M254" s="7"/>
      <c r="N254" s="7"/>
      <c r="O254" s="7"/>
      <c r="P254" s="7"/>
      <c r="Q254" s="7"/>
      <c r="R254" s="146"/>
      <c r="S254" s="146"/>
      <c r="T254" s="7"/>
      <c r="U254" s="7"/>
    </row>
    <row r="255" customFormat="false" ht="18" hidden="false" customHeight="true" outlineLevel="0" collapsed="false">
      <c r="B255" s="87"/>
      <c r="C255" s="87"/>
      <c r="D255" s="87"/>
      <c r="E255" s="142"/>
      <c r="F255" s="87"/>
      <c r="G255" s="87"/>
      <c r="H255" s="87"/>
      <c r="I255" s="143"/>
      <c r="J255" s="87"/>
      <c r="K255" s="87"/>
      <c r="L255" s="87"/>
      <c r="M255" s="87"/>
      <c r="N255" s="87"/>
      <c r="O255" s="87"/>
      <c r="P255" s="87"/>
      <c r="Q255" s="87"/>
      <c r="R255" s="144"/>
      <c r="S255" s="144"/>
      <c r="T255" s="87"/>
      <c r="U255" s="87"/>
    </row>
    <row r="256" customFormat="false" ht="18" hidden="false" customHeight="true" outlineLevel="0" collapsed="false">
      <c r="B256" s="7"/>
      <c r="C256" s="7"/>
      <c r="D256" s="7"/>
      <c r="E256" s="71"/>
      <c r="F256" s="7"/>
      <c r="G256" s="7"/>
      <c r="H256" s="7"/>
      <c r="I256" s="145"/>
      <c r="J256" s="7"/>
      <c r="K256" s="7"/>
      <c r="L256" s="7"/>
      <c r="M256" s="7"/>
      <c r="N256" s="7"/>
      <c r="O256" s="7"/>
      <c r="P256" s="7"/>
      <c r="Q256" s="7"/>
      <c r="R256" s="146"/>
      <c r="S256" s="146"/>
      <c r="T256" s="7"/>
      <c r="U256" s="7"/>
    </row>
    <row r="257" customFormat="false" ht="18" hidden="false" customHeight="true" outlineLevel="0" collapsed="false">
      <c r="B257" s="87"/>
      <c r="C257" s="87"/>
      <c r="D257" s="87"/>
      <c r="E257" s="142"/>
      <c r="F257" s="87"/>
      <c r="G257" s="87"/>
      <c r="H257" s="87"/>
      <c r="I257" s="143"/>
      <c r="J257" s="87"/>
      <c r="K257" s="87"/>
      <c r="L257" s="87"/>
      <c r="M257" s="87"/>
      <c r="N257" s="87"/>
      <c r="O257" s="87"/>
      <c r="P257" s="87"/>
      <c r="Q257" s="87"/>
      <c r="R257" s="144"/>
      <c r="S257" s="144"/>
      <c r="T257" s="87"/>
      <c r="U257" s="87"/>
    </row>
    <row r="258" customFormat="false" ht="18" hidden="false" customHeight="true" outlineLevel="0" collapsed="false">
      <c r="B258" s="7"/>
      <c r="C258" s="7"/>
      <c r="D258" s="7"/>
      <c r="E258" s="71"/>
      <c r="F258" s="7"/>
      <c r="G258" s="7"/>
      <c r="H258" s="7"/>
      <c r="I258" s="145"/>
      <c r="J258" s="7"/>
      <c r="K258" s="7"/>
      <c r="L258" s="7"/>
      <c r="M258" s="7"/>
      <c r="N258" s="7"/>
      <c r="O258" s="7"/>
      <c r="P258" s="7"/>
      <c r="Q258" s="7"/>
      <c r="R258" s="146"/>
      <c r="S258" s="146"/>
      <c r="T258" s="7"/>
      <c r="U258" s="7"/>
    </row>
    <row r="259" customFormat="false" ht="18" hidden="false" customHeight="true" outlineLevel="0" collapsed="false">
      <c r="B259" s="87"/>
      <c r="C259" s="87"/>
      <c r="D259" s="87"/>
      <c r="E259" s="142"/>
      <c r="F259" s="87"/>
      <c r="G259" s="87"/>
      <c r="H259" s="87"/>
      <c r="I259" s="143"/>
      <c r="J259" s="87"/>
      <c r="K259" s="87"/>
      <c r="L259" s="87"/>
      <c r="M259" s="87"/>
      <c r="N259" s="87"/>
      <c r="O259" s="87"/>
      <c r="P259" s="87"/>
      <c r="Q259" s="87"/>
      <c r="R259" s="144"/>
      <c r="S259" s="144"/>
      <c r="T259" s="87"/>
      <c r="U259" s="87"/>
    </row>
    <row r="260" customFormat="false" ht="18" hidden="false" customHeight="true" outlineLevel="0" collapsed="false">
      <c r="B260" s="7"/>
      <c r="C260" s="7"/>
      <c r="D260" s="7"/>
      <c r="E260" s="71"/>
      <c r="F260" s="7"/>
      <c r="G260" s="7"/>
      <c r="H260" s="7"/>
      <c r="I260" s="145"/>
      <c r="J260" s="7"/>
      <c r="K260" s="7"/>
      <c r="L260" s="7"/>
      <c r="M260" s="7"/>
      <c r="N260" s="7"/>
      <c r="O260" s="7"/>
      <c r="P260" s="7"/>
      <c r="Q260" s="7"/>
      <c r="R260" s="146"/>
      <c r="S260" s="146"/>
      <c r="T260" s="7"/>
      <c r="U260" s="7"/>
    </row>
    <row r="261" customFormat="false" ht="18" hidden="false" customHeight="true" outlineLevel="0" collapsed="false">
      <c r="B261" s="87"/>
      <c r="C261" s="87"/>
      <c r="D261" s="87"/>
      <c r="E261" s="142"/>
      <c r="F261" s="87"/>
      <c r="G261" s="87"/>
      <c r="H261" s="87"/>
      <c r="I261" s="143"/>
      <c r="J261" s="87"/>
      <c r="K261" s="87"/>
      <c r="L261" s="87"/>
      <c r="M261" s="87"/>
      <c r="N261" s="87"/>
      <c r="O261" s="87"/>
      <c r="P261" s="87"/>
      <c r="Q261" s="87"/>
      <c r="R261" s="144"/>
      <c r="S261" s="144"/>
      <c r="T261" s="87"/>
      <c r="U261" s="87"/>
    </row>
    <row r="262" customFormat="false" ht="18" hidden="false" customHeight="true" outlineLevel="0" collapsed="false">
      <c r="B262" s="7"/>
      <c r="C262" s="7"/>
      <c r="D262" s="7"/>
      <c r="E262" s="71"/>
      <c r="F262" s="7"/>
      <c r="G262" s="7"/>
      <c r="H262" s="7"/>
      <c r="I262" s="145"/>
      <c r="J262" s="7"/>
      <c r="K262" s="7"/>
      <c r="L262" s="7"/>
      <c r="M262" s="7"/>
      <c r="N262" s="7"/>
      <c r="O262" s="7"/>
      <c r="P262" s="7"/>
      <c r="Q262" s="7"/>
      <c r="R262" s="146"/>
      <c r="S262" s="146"/>
      <c r="T262" s="7"/>
      <c r="U262" s="7"/>
    </row>
    <row r="263" customFormat="false" ht="18" hidden="false" customHeight="true" outlineLevel="0" collapsed="false">
      <c r="B263" s="87"/>
      <c r="C263" s="87"/>
      <c r="D263" s="87"/>
      <c r="E263" s="142"/>
      <c r="F263" s="87"/>
      <c r="G263" s="87"/>
      <c r="H263" s="87"/>
      <c r="I263" s="143"/>
      <c r="J263" s="87"/>
      <c r="K263" s="87"/>
      <c r="L263" s="87"/>
      <c r="M263" s="87"/>
      <c r="N263" s="87"/>
      <c r="O263" s="87"/>
      <c r="P263" s="87"/>
      <c r="Q263" s="87"/>
      <c r="R263" s="144"/>
      <c r="S263" s="144"/>
      <c r="T263" s="87"/>
      <c r="U263" s="87"/>
    </row>
    <row r="264" customFormat="false" ht="18" hidden="false" customHeight="true" outlineLevel="0" collapsed="false">
      <c r="B264" s="7"/>
      <c r="C264" s="7"/>
      <c r="D264" s="7"/>
      <c r="E264" s="71"/>
      <c r="F264" s="7"/>
      <c r="G264" s="7"/>
      <c r="H264" s="7"/>
      <c r="I264" s="145"/>
      <c r="J264" s="7"/>
      <c r="K264" s="7"/>
      <c r="L264" s="7"/>
      <c r="M264" s="7"/>
      <c r="N264" s="7"/>
      <c r="O264" s="7"/>
      <c r="P264" s="7"/>
      <c r="Q264" s="7"/>
      <c r="R264" s="146"/>
      <c r="S264" s="146"/>
      <c r="T264" s="7"/>
      <c r="U264" s="7"/>
    </row>
    <row r="265" customFormat="false" ht="18" hidden="false" customHeight="true" outlineLevel="0" collapsed="false">
      <c r="B265" s="87"/>
      <c r="C265" s="87"/>
      <c r="D265" s="87"/>
      <c r="E265" s="142"/>
      <c r="F265" s="87"/>
      <c r="G265" s="87"/>
      <c r="H265" s="87"/>
      <c r="I265" s="143"/>
      <c r="J265" s="87"/>
      <c r="K265" s="87"/>
      <c r="L265" s="87"/>
      <c r="M265" s="87"/>
      <c r="N265" s="87"/>
      <c r="O265" s="87"/>
      <c r="P265" s="87"/>
      <c r="Q265" s="87"/>
      <c r="R265" s="144"/>
      <c r="S265" s="144"/>
      <c r="T265" s="87"/>
      <c r="U265" s="87"/>
    </row>
    <row r="266" customFormat="false" ht="18" hidden="false" customHeight="true" outlineLevel="0" collapsed="false">
      <c r="B266" s="7"/>
      <c r="C266" s="7"/>
      <c r="D266" s="7"/>
      <c r="E266" s="71"/>
      <c r="F266" s="7"/>
      <c r="G266" s="7"/>
      <c r="H266" s="7"/>
      <c r="I266" s="145"/>
      <c r="J266" s="7"/>
      <c r="K266" s="7"/>
      <c r="L266" s="7"/>
      <c r="M266" s="7"/>
      <c r="N266" s="7"/>
      <c r="O266" s="7"/>
      <c r="P266" s="7"/>
      <c r="Q266" s="7"/>
      <c r="R266" s="146"/>
      <c r="S266" s="146"/>
      <c r="T266" s="7"/>
      <c r="U266" s="7"/>
    </row>
    <row r="267" customFormat="false" ht="18" hidden="false" customHeight="true" outlineLevel="0" collapsed="false">
      <c r="B267" s="87"/>
      <c r="C267" s="87"/>
      <c r="D267" s="87"/>
      <c r="E267" s="142"/>
      <c r="F267" s="87"/>
      <c r="G267" s="87"/>
      <c r="H267" s="87"/>
      <c r="I267" s="143"/>
      <c r="J267" s="87"/>
      <c r="K267" s="87"/>
      <c r="L267" s="87"/>
      <c r="M267" s="87"/>
      <c r="N267" s="87"/>
      <c r="O267" s="87"/>
      <c r="P267" s="87"/>
      <c r="Q267" s="87"/>
      <c r="R267" s="144"/>
      <c r="S267" s="144"/>
      <c r="T267" s="87"/>
      <c r="U267" s="87"/>
    </row>
    <row r="268" customFormat="false" ht="18" hidden="false" customHeight="true" outlineLevel="0" collapsed="false">
      <c r="B268" s="7"/>
      <c r="C268" s="7"/>
      <c r="D268" s="7"/>
      <c r="E268" s="71"/>
      <c r="F268" s="7"/>
      <c r="G268" s="7"/>
      <c r="H268" s="7"/>
      <c r="I268" s="145"/>
      <c r="J268" s="7"/>
      <c r="K268" s="7"/>
      <c r="L268" s="7"/>
      <c r="M268" s="7"/>
      <c r="N268" s="7"/>
      <c r="O268" s="7"/>
      <c r="P268" s="7"/>
      <c r="Q268" s="7"/>
      <c r="R268" s="146"/>
      <c r="S268" s="146"/>
      <c r="T268" s="7"/>
      <c r="U268" s="7"/>
    </row>
    <row r="269" customFormat="false" ht="18" hidden="false" customHeight="true" outlineLevel="0" collapsed="false">
      <c r="B269" s="87"/>
      <c r="C269" s="87"/>
      <c r="D269" s="87"/>
      <c r="E269" s="142"/>
      <c r="F269" s="87"/>
      <c r="G269" s="87"/>
      <c r="H269" s="87"/>
      <c r="I269" s="143"/>
      <c r="J269" s="87"/>
      <c r="K269" s="87"/>
      <c r="L269" s="87"/>
      <c r="M269" s="87"/>
      <c r="N269" s="87"/>
      <c r="O269" s="87"/>
      <c r="P269" s="87"/>
      <c r="Q269" s="87"/>
      <c r="R269" s="144"/>
      <c r="S269" s="144"/>
      <c r="T269" s="87"/>
      <c r="U269" s="87"/>
    </row>
    <row r="270" customFormat="false" ht="18" hidden="false" customHeight="true" outlineLevel="0" collapsed="false">
      <c r="B270" s="7"/>
      <c r="C270" s="7"/>
      <c r="D270" s="7"/>
      <c r="E270" s="71"/>
      <c r="F270" s="7"/>
      <c r="G270" s="7"/>
      <c r="H270" s="7"/>
      <c r="I270" s="145"/>
      <c r="J270" s="7"/>
      <c r="K270" s="7"/>
      <c r="L270" s="7"/>
      <c r="M270" s="7"/>
      <c r="N270" s="7"/>
      <c r="O270" s="7"/>
      <c r="P270" s="7"/>
      <c r="Q270" s="7"/>
      <c r="R270" s="146"/>
      <c r="S270" s="146"/>
      <c r="T270" s="7"/>
      <c r="U270" s="7"/>
    </row>
    <row r="271" customFormat="false" ht="18" hidden="false" customHeight="true" outlineLevel="0" collapsed="false">
      <c r="B271" s="87"/>
      <c r="C271" s="87"/>
      <c r="D271" s="87"/>
      <c r="E271" s="142"/>
      <c r="F271" s="87"/>
      <c r="G271" s="87"/>
      <c r="H271" s="87"/>
      <c r="I271" s="143"/>
      <c r="J271" s="87"/>
      <c r="K271" s="87"/>
      <c r="L271" s="87"/>
      <c r="M271" s="87"/>
      <c r="N271" s="87"/>
      <c r="O271" s="87"/>
      <c r="P271" s="87"/>
      <c r="Q271" s="87"/>
      <c r="R271" s="144"/>
      <c r="S271" s="144"/>
      <c r="T271" s="87"/>
      <c r="U271" s="87"/>
    </row>
    <row r="272" customFormat="false" ht="18" hidden="false" customHeight="true" outlineLevel="0" collapsed="false">
      <c r="B272" s="7"/>
      <c r="C272" s="7"/>
      <c r="D272" s="7"/>
      <c r="E272" s="71"/>
      <c r="F272" s="7"/>
      <c r="G272" s="7"/>
      <c r="H272" s="7"/>
      <c r="I272" s="145"/>
      <c r="J272" s="7"/>
      <c r="K272" s="7"/>
      <c r="L272" s="7"/>
      <c r="M272" s="7"/>
      <c r="N272" s="7"/>
      <c r="O272" s="7"/>
      <c r="P272" s="7"/>
      <c r="Q272" s="7"/>
      <c r="R272" s="146"/>
      <c r="S272" s="146"/>
      <c r="T272" s="7"/>
      <c r="U272" s="7"/>
    </row>
    <row r="273" customFormat="false" ht="18" hidden="false" customHeight="true" outlineLevel="0" collapsed="false">
      <c r="B273" s="87"/>
      <c r="C273" s="87"/>
      <c r="D273" s="87"/>
      <c r="E273" s="142"/>
      <c r="F273" s="87"/>
      <c r="G273" s="87"/>
      <c r="H273" s="87"/>
      <c r="I273" s="143"/>
      <c r="J273" s="87"/>
      <c r="K273" s="87"/>
      <c r="L273" s="87"/>
      <c r="M273" s="87"/>
      <c r="N273" s="87"/>
      <c r="O273" s="87"/>
      <c r="P273" s="87"/>
      <c r="Q273" s="87"/>
      <c r="R273" s="144"/>
      <c r="S273" s="144"/>
      <c r="T273" s="87"/>
      <c r="U273" s="87"/>
    </row>
    <row r="274" customFormat="false" ht="18" hidden="false" customHeight="true" outlineLevel="0" collapsed="false">
      <c r="B274" s="7"/>
      <c r="C274" s="7"/>
      <c r="D274" s="7"/>
      <c r="E274" s="71"/>
      <c r="F274" s="7"/>
      <c r="G274" s="7"/>
      <c r="H274" s="7"/>
      <c r="I274" s="145"/>
      <c r="J274" s="7"/>
      <c r="K274" s="7"/>
      <c r="L274" s="7"/>
      <c r="M274" s="7"/>
      <c r="N274" s="7"/>
      <c r="O274" s="7"/>
      <c r="P274" s="7"/>
      <c r="Q274" s="7"/>
      <c r="R274" s="146"/>
      <c r="S274" s="146"/>
      <c r="T274" s="7"/>
      <c r="U274" s="7"/>
    </row>
    <row r="275" customFormat="false" ht="18" hidden="false" customHeight="true" outlineLevel="0" collapsed="false">
      <c r="B275" s="87"/>
      <c r="C275" s="87"/>
      <c r="D275" s="87"/>
      <c r="E275" s="142"/>
      <c r="F275" s="87"/>
      <c r="G275" s="87"/>
      <c r="H275" s="87"/>
      <c r="I275" s="143"/>
      <c r="J275" s="87"/>
      <c r="K275" s="87"/>
      <c r="L275" s="87"/>
      <c r="M275" s="87"/>
      <c r="N275" s="87"/>
      <c r="O275" s="87"/>
      <c r="P275" s="87"/>
      <c r="Q275" s="87"/>
      <c r="R275" s="144"/>
      <c r="S275" s="144"/>
      <c r="T275" s="87"/>
      <c r="U275" s="87"/>
    </row>
    <row r="276" customFormat="false" ht="18" hidden="false" customHeight="true" outlineLevel="0" collapsed="false">
      <c r="B276" s="7"/>
      <c r="C276" s="7"/>
      <c r="D276" s="7"/>
      <c r="E276" s="71"/>
      <c r="F276" s="7"/>
      <c r="G276" s="7"/>
      <c r="H276" s="7"/>
      <c r="I276" s="145"/>
      <c r="J276" s="7"/>
      <c r="K276" s="7"/>
      <c r="L276" s="7"/>
      <c r="M276" s="7"/>
      <c r="N276" s="7"/>
      <c r="O276" s="7"/>
      <c r="P276" s="7"/>
      <c r="Q276" s="7"/>
      <c r="R276" s="146"/>
      <c r="S276" s="146"/>
      <c r="T276" s="7"/>
      <c r="U276" s="7"/>
    </row>
    <row r="277" customFormat="false" ht="18" hidden="false" customHeight="true" outlineLevel="0" collapsed="false">
      <c r="B277" s="87"/>
      <c r="C277" s="87"/>
      <c r="D277" s="87"/>
      <c r="E277" s="142"/>
      <c r="F277" s="87"/>
      <c r="G277" s="87"/>
      <c r="H277" s="87"/>
      <c r="I277" s="143"/>
      <c r="J277" s="87"/>
      <c r="K277" s="87"/>
      <c r="L277" s="87"/>
      <c r="M277" s="87"/>
      <c r="N277" s="87"/>
      <c r="O277" s="87"/>
      <c r="P277" s="87"/>
      <c r="Q277" s="87"/>
      <c r="R277" s="144"/>
      <c r="S277" s="144"/>
      <c r="T277" s="87"/>
      <c r="U277" s="87"/>
    </row>
    <row r="278" customFormat="false" ht="18" hidden="false" customHeight="true" outlineLevel="0" collapsed="false">
      <c r="B278" s="7"/>
      <c r="C278" s="7"/>
      <c r="D278" s="7"/>
      <c r="E278" s="71"/>
      <c r="F278" s="7"/>
      <c r="G278" s="7"/>
      <c r="H278" s="7"/>
      <c r="I278" s="145"/>
      <c r="J278" s="7"/>
      <c r="K278" s="7"/>
      <c r="L278" s="7"/>
      <c r="M278" s="7"/>
      <c r="N278" s="7"/>
      <c r="O278" s="7"/>
      <c r="P278" s="7"/>
      <c r="Q278" s="7"/>
      <c r="R278" s="146"/>
      <c r="S278" s="146"/>
      <c r="T278" s="7"/>
      <c r="U278" s="7"/>
    </row>
    <row r="279" customFormat="false" ht="18" hidden="false" customHeight="true" outlineLevel="0" collapsed="false">
      <c r="B279" s="87"/>
      <c r="C279" s="87"/>
      <c r="D279" s="87"/>
      <c r="E279" s="142"/>
      <c r="F279" s="87"/>
      <c r="G279" s="87"/>
      <c r="H279" s="87"/>
      <c r="I279" s="143"/>
      <c r="J279" s="87"/>
      <c r="K279" s="87"/>
      <c r="L279" s="87"/>
      <c r="M279" s="87"/>
      <c r="N279" s="87"/>
      <c r="O279" s="87"/>
      <c r="P279" s="87"/>
      <c r="Q279" s="87"/>
      <c r="R279" s="144"/>
      <c r="S279" s="144"/>
      <c r="T279" s="87"/>
      <c r="U279" s="87"/>
    </row>
    <row r="280" customFormat="false" ht="18" hidden="false" customHeight="true" outlineLevel="0" collapsed="false">
      <c r="B280" s="7"/>
      <c r="C280" s="7"/>
      <c r="D280" s="7"/>
      <c r="E280" s="71"/>
      <c r="F280" s="7"/>
      <c r="G280" s="7"/>
      <c r="H280" s="7"/>
      <c r="I280" s="145"/>
      <c r="J280" s="7"/>
      <c r="K280" s="7"/>
      <c r="L280" s="7"/>
      <c r="M280" s="7"/>
      <c r="N280" s="7"/>
      <c r="O280" s="7"/>
      <c r="P280" s="7"/>
      <c r="Q280" s="7"/>
      <c r="R280" s="146"/>
      <c r="S280" s="146"/>
      <c r="T280" s="7"/>
      <c r="U280" s="7"/>
    </row>
    <row r="281" customFormat="false" ht="18" hidden="false" customHeight="true" outlineLevel="0" collapsed="false">
      <c r="B281" s="87"/>
      <c r="C281" s="87"/>
      <c r="D281" s="87"/>
      <c r="E281" s="142"/>
      <c r="F281" s="87"/>
      <c r="G281" s="87"/>
      <c r="H281" s="87"/>
      <c r="I281" s="143"/>
      <c r="J281" s="87"/>
      <c r="K281" s="87"/>
      <c r="L281" s="87"/>
      <c r="M281" s="87"/>
      <c r="N281" s="87"/>
      <c r="O281" s="87"/>
      <c r="P281" s="87"/>
      <c r="Q281" s="87"/>
      <c r="R281" s="144"/>
      <c r="S281" s="144"/>
      <c r="T281" s="87"/>
      <c r="U281" s="87"/>
    </row>
    <row r="282" customFormat="false" ht="18" hidden="false" customHeight="true" outlineLevel="0" collapsed="false">
      <c r="B282" s="7"/>
      <c r="C282" s="7"/>
      <c r="D282" s="7"/>
      <c r="E282" s="71"/>
      <c r="F282" s="7"/>
      <c r="G282" s="7"/>
      <c r="H282" s="7"/>
      <c r="I282" s="145"/>
      <c r="J282" s="7"/>
      <c r="K282" s="7"/>
      <c r="L282" s="7"/>
      <c r="M282" s="7"/>
      <c r="N282" s="7"/>
      <c r="O282" s="7"/>
      <c r="P282" s="7"/>
      <c r="Q282" s="7"/>
      <c r="R282" s="146"/>
      <c r="S282" s="146"/>
      <c r="T282" s="7"/>
      <c r="U282" s="7"/>
    </row>
    <row r="283" customFormat="false" ht="18" hidden="false" customHeight="true" outlineLevel="0" collapsed="false">
      <c r="B283" s="87"/>
      <c r="C283" s="87"/>
      <c r="D283" s="87"/>
      <c r="E283" s="142"/>
      <c r="F283" s="87"/>
      <c r="G283" s="87"/>
      <c r="H283" s="87"/>
      <c r="I283" s="143"/>
      <c r="J283" s="87"/>
      <c r="K283" s="87"/>
      <c r="L283" s="87"/>
      <c r="M283" s="87"/>
      <c r="N283" s="87"/>
      <c r="O283" s="87"/>
      <c r="P283" s="87"/>
      <c r="Q283" s="87"/>
      <c r="R283" s="144"/>
      <c r="S283" s="144"/>
      <c r="T283" s="87"/>
      <c r="U283" s="87"/>
    </row>
    <row r="284" customFormat="false" ht="18" hidden="false" customHeight="true" outlineLevel="0" collapsed="false">
      <c r="B284" s="7"/>
      <c r="C284" s="7"/>
      <c r="D284" s="7"/>
      <c r="E284" s="71"/>
      <c r="F284" s="7"/>
      <c r="G284" s="7"/>
      <c r="H284" s="7"/>
      <c r="I284" s="145"/>
      <c r="J284" s="7"/>
      <c r="K284" s="7"/>
      <c r="L284" s="7"/>
      <c r="M284" s="7"/>
      <c r="N284" s="7"/>
      <c r="O284" s="7"/>
      <c r="P284" s="7"/>
      <c r="Q284" s="7"/>
      <c r="R284" s="146"/>
      <c r="S284" s="146"/>
      <c r="T284" s="7"/>
      <c r="U284" s="7"/>
    </row>
    <row r="285" customFormat="false" ht="18" hidden="false" customHeight="true" outlineLevel="0" collapsed="false">
      <c r="B285" s="87"/>
      <c r="C285" s="87"/>
      <c r="D285" s="87"/>
      <c r="E285" s="142"/>
      <c r="F285" s="87"/>
      <c r="G285" s="87"/>
      <c r="H285" s="87"/>
      <c r="I285" s="143"/>
      <c r="J285" s="87"/>
      <c r="K285" s="87"/>
      <c r="L285" s="87"/>
      <c r="M285" s="87"/>
      <c r="N285" s="87"/>
      <c r="O285" s="87"/>
      <c r="P285" s="87"/>
      <c r="Q285" s="87"/>
      <c r="R285" s="144"/>
      <c r="S285" s="144"/>
      <c r="T285" s="87"/>
      <c r="U285" s="87"/>
    </row>
    <row r="286" customFormat="false" ht="18" hidden="false" customHeight="true" outlineLevel="0" collapsed="false">
      <c r="B286" s="7"/>
      <c r="C286" s="7"/>
      <c r="D286" s="7"/>
      <c r="E286" s="71"/>
      <c r="F286" s="7"/>
      <c r="G286" s="7"/>
      <c r="H286" s="7"/>
      <c r="I286" s="145"/>
      <c r="J286" s="7"/>
      <c r="K286" s="7"/>
      <c r="L286" s="7"/>
      <c r="M286" s="7"/>
      <c r="N286" s="7"/>
      <c r="O286" s="7"/>
      <c r="P286" s="7"/>
      <c r="Q286" s="7"/>
      <c r="R286" s="146"/>
      <c r="S286" s="146"/>
      <c r="T286" s="7"/>
      <c r="U286" s="7"/>
    </row>
    <row r="287" customFormat="false" ht="18" hidden="false" customHeight="true" outlineLevel="0" collapsed="false">
      <c r="B287" s="87"/>
      <c r="C287" s="87"/>
      <c r="D287" s="87"/>
      <c r="E287" s="142"/>
      <c r="F287" s="87"/>
      <c r="G287" s="87"/>
      <c r="H287" s="87"/>
      <c r="I287" s="143"/>
      <c r="J287" s="87"/>
      <c r="K287" s="87"/>
      <c r="L287" s="87"/>
      <c r="M287" s="87"/>
      <c r="N287" s="87"/>
      <c r="O287" s="87"/>
      <c r="P287" s="87"/>
      <c r="Q287" s="87"/>
      <c r="R287" s="144"/>
      <c r="S287" s="144"/>
      <c r="T287" s="87"/>
      <c r="U287" s="87"/>
    </row>
    <row r="288" customFormat="false" ht="18" hidden="false" customHeight="true" outlineLevel="0" collapsed="false">
      <c r="B288" s="7"/>
      <c r="C288" s="7"/>
      <c r="D288" s="7"/>
      <c r="E288" s="71"/>
      <c r="F288" s="7"/>
      <c r="G288" s="7"/>
      <c r="H288" s="7"/>
      <c r="I288" s="145"/>
      <c r="J288" s="7"/>
      <c r="K288" s="7"/>
      <c r="L288" s="7"/>
      <c r="M288" s="7"/>
      <c r="N288" s="7"/>
      <c r="O288" s="7"/>
      <c r="P288" s="7"/>
      <c r="Q288" s="7"/>
      <c r="R288" s="146"/>
      <c r="S288" s="146"/>
      <c r="T288" s="7"/>
      <c r="U288" s="7"/>
    </row>
    <row r="289" customFormat="false" ht="18" hidden="false" customHeight="true" outlineLevel="0" collapsed="false">
      <c r="B289" s="87"/>
      <c r="C289" s="87"/>
      <c r="D289" s="87"/>
      <c r="E289" s="142"/>
      <c r="F289" s="87"/>
      <c r="G289" s="87"/>
      <c r="H289" s="87"/>
      <c r="I289" s="143"/>
      <c r="J289" s="87"/>
      <c r="K289" s="87"/>
      <c r="L289" s="87"/>
      <c r="M289" s="87"/>
      <c r="N289" s="87"/>
      <c r="O289" s="87"/>
      <c r="P289" s="87"/>
      <c r="Q289" s="87"/>
      <c r="R289" s="144"/>
      <c r="S289" s="144"/>
      <c r="T289" s="87"/>
      <c r="U289" s="87"/>
    </row>
    <row r="290" customFormat="false" ht="18" hidden="false" customHeight="true" outlineLevel="0" collapsed="false">
      <c r="B290" s="7"/>
      <c r="C290" s="7"/>
      <c r="D290" s="7"/>
      <c r="E290" s="71"/>
      <c r="F290" s="7"/>
      <c r="G290" s="7"/>
      <c r="H290" s="7"/>
      <c r="I290" s="145"/>
      <c r="J290" s="7"/>
      <c r="K290" s="7"/>
      <c r="L290" s="7"/>
      <c r="M290" s="7"/>
      <c r="N290" s="7"/>
      <c r="O290" s="7"/>
      <c r="P290" s="7"/>
      <c r="Q290" s="7"/>
      <c r="R290" s="146"/>
      <c r="S290" s="146"/>
      <c r="T290" s="7"/>
      <c r="U290" s="7"/>
    </row>
    <row r="291" customFormat="false" ht="18" hidden="false" customHeight="true" outlineLevel="0" collapsed="false">
      <c r="B291" s="87"/>
      <c r="C291" s="87"/>
      <c r="D291" s="87"/>
      <c r="E291" s="142"/>
      <c r="F291" s="87"/>
      <c r="G291" s="87"/>
      <c r="H291" s="87"/>
      <c r="I291" s="143"/>
      <c r="J291" s="87"/>
      <c r="K291" s="87"/>
      <c r="L291" s="87"/>
      <c r="M291" s="87"/>
      <c r="N291" s="87"/>
      <c r="O291" s="87"/>
      <c r="P291" s="87"/>
      <c r="Q291" s="87"/>
      <c r="R291" s="144"/>
      <c r="S291" s="144"/>
      <c r="T291" s="87"/>
      <c r="U291" s="87"/>
    </row>
    <row r="292" customFormat="false" ht="18" hidden="false" customHeight="true" outlineLevel="0" collapsed="false">
      <c r="B292" s="7"/>
      <c r="C292" s="7"/>
      <c r="D292" s="7"/>
      <c r="E292" s="71"/>
      <c r="F292" s="7"/>
      <c r="G292" s="7"/>
      <c r="H292" s="7"/>
      <c r="I292" s="145"/>
      <c r="J292" s="7"/>
      <c r="K292" s="7"/>
      <c r="L292" s="7"/>
      <c r="M292" s="7"/>
      <c r="N292" s="7"/>
      <c r="O292" s="7"/>
      <c r="P292" s="7"/>
      <c r="Q292" s="7"/>
      <c r="R292" s="146"/>
      <c r="S292" s="146"/>
      <c r="T292" s="7"/>
      <c r="U292" s="7"/>
    </row>
    <row r="293" customFormat="false" ht="18" hidden="false" customHeight="true" outlineLevel="0" collapsed="false">
      <c r="B293" s="87"/>
      <c r="C293" s="87"/>
      <c r="D293" s="87"/>
      <c r="E293" s="142"/>
      <c r="F293" s="87"/>
      <c r="G293" s="87"/>
      <c r="H293" s="87"/>
      <c r="I293" s="143"/>
      <c r="J293" s="87"/>
      <c r="K293" s="87"/>
      <c r="L293" s="87"/>
      <c r="M293" s="87"/>
      <c r="N293" s="87"/>
      <c r="O293" s="87"/>
      <c r="P293" s="87"/>
      <c r="Q293" s="87"/>
      <c r="R293" s="144"/>
      <c r="S293" s="144"/>
      <c r="T293" s="87"/>
      <c r="U293" s="87"/>
    </row>
    <row r="294" customFormat="false" ht="18" hidden="false" customHeight="true" outlineLevel="0" collapsed="false">
      <c r="B294" s="7"/>
      <c r="C294" s="7"/>
      <c r="D294" s="7"/>
      <c r="E294" s="71"/>
      <c r="F294" s="7"/>
      <c r="G294" s="7"/>
      <c r="H294" s="7"/>
      <c r="I294" s="145"/>
      <c r="J294" s="7"/>
      <c r="K294" s="7"/>
      <c r="L294" s="7"/>
      <c r="M294" s="7"/>
      <c r="N294" s="7"/>
      <c r="O294" s="7"/>
      <c r="P294" s="7"/>
      <c r="Q294" s="7"/>
      <c r="R294" s="146"/>
      <c r="S294" s="146"/>
      <c r="T294" s="7"/>
      <c r="U294" s="7"/>
    </row>
    <row r="295" customFormat="false" ht="18" hidden="false" customHeight="true" outlineLevel="0" collapsed="false">
      <c r="B295" s="87"/>
      <c r="C295" s="87"/>
      <c r="D295" s="87"/>
      <c r="E295" s="142"/>
      <c r="F295" s="87"/>
      <c r="G295" s="87"/>
      <c r="H295" s="87"/>
      <c r="I295" s="143"/>
      <c r="J295" s="87"/>
      <c r="K295" s="87"/>
      <c r="L295" s="87"/>
      <c r="M295" s="87"/>
      <c r="N295" s="87"/>
      <c r="O295" s="87"/>
      <c r="P295" s="87"/>
      <c r="Q295" s="87"/>
      <c r="R295" s="144"/>
      <c r="S295" s="144"/>
      <c r="T295" s="87"/>
      <c r="U295" s="87"/>
    </row>
    <row r="296" customFormat="false" ht="18" hidden="false" customHeight="true" outlineLevel="0" collapsed="false">
      <c r="B296" s="7"/>
      <c r="C296" s="7"/>
      <c r="D296" s="7"/>
      <c r="E296" s="71"/>
      <c r="F296" s="7"/>
      <c r="G296" s="7"/>
      <c r="H296" s="7"/>
      <c r="I296" s="145"/>
      <c r="J296" s="7"/>
      <c r="K296" s="7"/>
      <c r="L296" s="7"/>
      <c r="M296" s="7"/>
      <c r="N296" s="7"/>
      <c r="O296" s="7"/>
      <c r="P296" s="7"/>
      <c r="Q296" s="7"/>
      <c r="R296" s="146"/>
      <c r="S296" s="146"/>
      <c r="T296" s="7"/>
      <c r="U296" s="7"/>
    </row>
    <row r="297" customFormat="false" ht="18" hidden="false" customHeight="true" outlineLevel="0" collapsed="false">
      <c r="B297" s="87"/>
      <c r="C297" s="87"/>
      <c r="D297" s="87"/>
      <c r="E297" s="142"/>
      <c r="F297" s="87"/>
      <c r="G297" s="87"/>
      <c r="H297" s="87"/>
      <c r="I297" s="143"/>
      <c r="J297" s="87"/>
      <c r="K297" s="87"/>
      <c r="L297" s="87"/>
      <c r="M297" s="87"/>
      <c r="N297" s="87"/>
      <c r="O297" s="87"/>
      <c r="P297" s="87"/>
      <c r="Q297" s="87"/>
      <c r="R297" s="144"/>
      <c r="S297" s="144"/>
      <c r="T297" s="87"/>
      <c r="U297" s="87"/>
    </row>
    <row r="298" customFormat="false" ht="18" hidden="false" customHeight="true" outlineLevel="0" collapsed="false">
      <c r="B298" s="7"/>
      <c r="C298" s="7"/>
      <c r="D298" s="7"/>
      <c r="E298" s="71"/>
      <c r="F298" s="7"/>
      <c r="G298" s="7"/>
      <c r="H298" s="7"/>
      <c r="I298" s="145"/>
      <c r="J298" s="7"/>
      <c r="K298" s="7"/>
      <c r="L298" s="7"/>
      <c r="M298" s="7"/>
      <c r="N298" s="7"/>
      <c r="O298" s="7"/>
      <c r="P298" s="7"/>
      <c r="Q298" s="7"/>
      <c r="R298" s="146"/>
      <c r="S298" s="146"/>
      <c r="T298" s="7"/>
      <c r="U298" s="7"/>
    </row>
    <row r="299" customFormat="false" ht="18" hidden="false" customHeight="true" outlineLevel="0" collapsed="false">
      <c r="B299" s="87"/>
      <c r="C299" s="87"/>
      <c r="D299" s="87"/>
      <c r="E299" s="142"/>
      <c r="F299" s="87"/>
      <c r="G299" s="87"/>
      <c r="H299" s="87"/>
      <c r="I299" s="143"/>
      <c r="J299" s="87"/>
      <c r="K299" s="87"/>
      <c r="L299" s="87"/>
      <c r="M299" s="87"/>
      <c r="N299" s="87"/>
      <c r="O299" s="87"/>
      <c r="P299" s="87"/>
      <c r="Q299" s="87"/>
      <c r="R299" s="144"/>
      <c r="S299" s="144"/>
      <c r="T299" s="87"/>
      <c r="U299" s="87"/>
    </row>
    <row r="300" customFormat="false" ht="18" hidden="false" customHeight="true" outlineLevel="0" collapsed="false">
      <c r="B300" s="7"/>
      <c r="C300" s="7"/>
      <c r="D300" s="7"/>
      <c r="E300" s="71"/>
      <c r="F300" s="7"/>
      <c r="G300" s="7"/>
      <c r="H300" s="7"/>
      <c r="I300" s="145"/>
      <c r="J300" s="7"/>
      <c r="K300" s="7"/>
      <c r="L300" s="7"/>
      <c r="M300" s="7"/>
      <c r="N300" s="7"/>
      <c r="O300" s="7"/>
      <c r="P300" s="7"/>
      <c r="Q300" s="7"/>
      <c r="R300" s="146"/>
      <c r="S300" s="146"/>
      <c r="T300" s="7"/>
      <c r="U300" s="7"/>
    </row>
    <row r="301" customFormat="false" ht="18" hidden="false" customHeight="true" outlineLevel="0" collapsed="false">
      <c r="B301" s="87"/>
      <c r="C301" s="87"/>
      <c r="D301" s="87"/>
      <c r="E301" s="142"/>
      <c r="F301" s="87"/>
      <c r="G301" s="87"/>
      <c r="H301" s="87"/>
      <c r="I301" s="143"/>
      <c r="J301" s="87"/>
      <c r="K301" s="87"/>
      <c r="L301" s="87"/>
      <c r="M301" s="87"/>
      <c r="N301" s="87"/>
      <c r="O301" s="87"/>
      <c r="P301" s="87"/>
      <c r="Q301" s="87"/>
      <c r="R301" s="144"/>
      <c r="S301" s="144"/>
      <c r="T301" s="87"/>
      <c r="U301" s="87"/>
    </row>
    <row r="302" customFormat="false" ht="18" hidden="false" customHeight="true" outlineLevel="0" collapsed="false">
      <c r="B302" s="7"/>
      <c r="C302" s="7"/>
      <c r="D302" s="7"/>
      <c r="E302" s="71"/>
      <c r="F302" s="7"/>
      <c r="G302" s="7"/>
      <c r="H302" s="7"/>
      <c r="I302" s="145"/>
      <c r="J302" s="7"/>
      <c r="K302" s="7"/>
      <c r="L302" s="7"/>
      <c r="M302" s="7"/>
      <c r="N302" s="7"/>
      <c r="O302" s="7"/>
      <c r="P302" s="7"/>
      <c r="Q302" s="7"/>
      <c r="R302" s="146"/>
      <c r="S302" s="146"/>
      <c r="T302" s="7"/>
      <c r="U302" s="7"/>
    </row>
    <row r="303" customFormat="false" ht="18" hidden="false" customHeight="true" outlineLevel="0" collapsed="false">
      <c r="B303" s="87"/>
      <c r="C303" s="87"/>
      <c r="D303" s="87"/>
      <c r="E303" s="142"/>
      <c r="F303" s="87"/>
      <c r="G303" s="87"/>
      <c r="H303" s="87"/>
      <c r="I303" s="143"/>
      <c r="J303" s="87"/>
      <c r="K303" s="87"/>
      <c r="L303" s="87"/>
      <c r="M303" s="87"/>
      <c r="N303" s="87"/>
      <c r="O303" s="87"/>
      <c r="P303" s="87"/>
      <c r="Q303" s="87"/>
      <c r="R303" s="144"/>
      <c r="S303" s="144"/>
      <c r="T303" s="87"/>
      <c r="U303" s="87"/>
    </row>
    <row r="304" customFormat="false" ht="18" hidden="false" customHeight="true" outlineLevel="0" collapsed="false">
      <c r="B304" s="7"/>
      <c r="C304" s="7"/>
      <c r="D304" s="7"/>
      <c r="E304" s="71"/>
      <c r="F304" s="7"/>
      <c r="G304" s="7"/>
      <c r="H304" s="7"/>
      <c r="I304" s="145"/>
      <c r="J304" s="7"/>
      <c r="K304" s="7"/>
      <c r="L304" s="7"/>
      <c r="M304" s="7"/>
      <c r="N304" s="7"/>
      <c r="O304" s="7"/>
      <c r="P304" s="7"/>
      <c r="Q304" s="7"/>
      <c r="R304" s="146"/>
      <c r="S304" s="146"/>
      <c r="T304" s="7"/>
      <c r="U304" s="7"/>
    </row>
    <row r="305" customFormat="false" ht="18" hidden="false" customHeight="true" outlineLevel="0" collapsed="false">
      <c r="B305" s="87"/>
      <c r="C305" s="87"/>
      <c r="D305" s="87"/>
      <c r="E305" s="142"/>
      <c r="F305" s="87"/>
      <c r="G305" s="87"/>
      <c r="H305" s="87"/>
      <c r="I305" s="143"/>
      <c r="J305" s="87"/>
      <c r="K305" s="87"/>
      <c r="L305" s="87"/>
      <c r="M305" s="87"/>
      <c r="N305" s="87"/>
      <c r="O305" s="87"/>
      <c r="P305" s="87"/>
      <c r="Q305" s="87"/>
      <c r="R305" s="144"/>
      <c r="S305" s="144"/>
      <c r="T305" s="87"/>
      <c r="U305" s="87"/>
    </row>
    <row r="306" customFormat="false" ht="18" hidden="false" customHeight="true" outlineLevel="0" collapsed="false">
      <c r="B306" s="7"/>
      <c r="C306" s="7"/>
      <c r="D306" s="7"/>
      <c r="E306" s="71"/>
      <c r="F306" s="7"/>
      <c r="G306" s="7"/>
      <c r="H306" s="7"/>
      <c r="I306" s="145"/>
      <c r="J306" s="7"/>
      <c r="K306" s="7"/>
      <c r="L306" s="7"/>
      <c r="M306" s="7"/>
      <c r="N306" s="7"/>
      <c r="O306" s="7"/>
      <c r="P306" s="7"/>
      <c r="Q306" s="7"/>
      <c r="R306" s="146"/>
      <c r="S306" s="146"/>
      <c r="T306" s="7"/>
      <c r="U306" s="7"/>
    </row>
    <row r="307" customFormat="false" ht="18" hidden="false" customHeight="true" outlineLevel="0" collapsed="false">
      <c r="B307" s="87"/>
      <c r="C307" s="87"/>
      <c r="D307" s="87"/>
      <c r="E307" s="142"/>
      <c r="F307" s="87"/>
      <c r="G307" s="87"/>
      <c r="H307" s="87"/>
      <c r="I307" s="143"/>
      <c r="J307" s="87"/>
      <c r="K307" s="87"/>
      <c r="L307" s="87"/>
      <c r="M307" s="87"/>
      <c r="N307" s="87"/>
      <c r="O307" s="87"/>
      <c r="P307" s="87"/>
      <c r="Q307" s="87"/>
      <c r="R307" s="144"/>
      <c r="S307" s="144"/>
      <c r="T307" s="87"/>
      <c r="U307" s="87"/>
    </row>
    <row r="308" customFormat="false" ht="18" hidden="false" customHeight="true" outlineLevel="0" collapsed="false">
      <c r="B308" s="7"/>
      <c r="C308" s="7"/>
      <c r="D308" s="7"/>
      <c r="E308" s="71"/>
      <c r="F308" s="7"/>
      <c r="G308" s="7"/>
      <c r="H308" s="7"/>
      <c r="I308" s="145"/>
      <c r="J308" s="7"/>
      <c r="K308" s="7"/>
      <c r="L308" s="7"/>
      <c r="M308" s="7"/>
      <c r="N308" s="7"/>
      <c r="O308" s="7"/>
      <c r="P308" s="7"/>
      <c r="Q308" s="7"/>
      <c r="R308" s="146"/>
      <c r="S308" s="146"/>
      <c r="T308" s="7"/>
      <c r="U308" s="7"/>
    </row>
    <row r="309" customFormat="false" ht="18" hidden="false" customHeight="true" outlineLevel="0" collapsed="false">
      <c r="B309" s="87"/>
      <c r="C309" s="87"/>
      <c r="D309" s="87"/>
      <c r="E309" s="142"/>
      <c r="F309" s="87"/>
      <c r="G309" s="87"/>
      <c r="H309" s="87"/>
      <c r="I309" s="143"/>
      <c r="J309" s="87"/>
      <c r="K309" s="87"/>
      <c r="L309" s="87"/>
      <c r="M309" s="87"/>
      <c r="N309" s="87"/>
      <c r="O309" s="87"/>
      <c r="P309" s="87"/>
      <c r="Q309" s="87"/>
      <c r="R309" s="144"/>
      <c r="S309" s="144"/>
      <c r="T309" s="87"/>
      <c r="U309" s="87"/>
    </row>
    <row r="310" customFormat="false" ht="18" hidden="false" customHeight="true" outlineLevel="0" collapsed="false">
      <c r="B310" s="7"/>
      <c r="C310" s="7"/>
      <c r="D310" s="7"/>
      <c r="E310" s="71"/>
      <c r="F310" s="7"/>
      <c r="G310" s="7"/>
      <c r="H310" s="7"/>
      <c r="I310" s="145"/>
      <c r="J310" s="7"/>
      <c r="K310" s="7"/>
      <c r="L310" s="7"/>
      <c r="M310" s="7"/>
      <c r="N310" s="7"/>
      <c r="O310" s="7"/>
      <c r="P310" s="7"/>
      <c r="Q310" s="7"/>
      <c r="R310" s="146"/>
      <c r="S310" s="146"/>
      <c r="T310" s="7"/>
      <c r="U310" s="7"/>
    </row>
    <row r="311" customFormat="false" ht="18" hidden="false" customHeight="true" outlineLevel="0" collapsed="false">
      <c r="B311" s="87"/>
      <c r="C311" s="87"/>
      <c r="D311" s="87"/>
      <c r="E311" s="142"/>
      <c r="F311" s="87"/>
      <c r="G311" s="87"/>
      <c r="H311" s="87"/>
      <c r="I311" s="143"/>
      <c r="J311" s="87"/>
      <c r="K311" s="87"/>
      <c r="L311" s="87"/>
      <c r="M311" s="87"/>
      <c r="N311" s="87"/>
      <c r="O311" s="87"/>
      <c r="P311" s="87"/>
      <c r="Q311" s="87"/>
      <c r="R311" s="144"/>
      <c r="S311" s="144"/>
      <c r="T311" s="87"/>
      <c r="U311" s="87"/>
    </row>
    <row r="312" customFormat="false" ht="18" hidden="false" customHeight="true" outlineLevel="0" collapsed="false">
      <c r="B312" s="7"/>
      <c r="C312" s="7"/>
      <c r="D312" s="7"/>
      <c r="E312" s="71"/>
      <c r="F312" s="7"/>
      <c r="G312" s="7"/>
      <c r="H312" s="7"/>
      <c r="I312" s="145"/>
      <c r="J312" s="7"/>
      <c r="K312" s="7"/>
      <c r="L312" s="7"/>
      <c r="M312" s="7"/>
      <c r="N312" s="7"/>
      <c r="O312" s="7"/>
      <c r="P312" s="7"/>
      <c r="Q312" s="7"/>
      <c r="R312" s="146"/>
      <c r="S312" s="146"/>
      <c r="T312" s="7"/>
      <c r="U312" s="7"/>
    </row>
    <row r="313" customFormat="false" ht="18" hidden="false" customHeight="true" outlineLevel="0" collapsed="false">
      <c r="B313" s="87"/>
      <c r="C313" s="87"/>
      <c r="D313" s="87"/>
      <c r="E313" s="142"/>
      <c r="F313" s="87"/>
      <c r="G313" s="87"/>
      <c r="H313" s="87"/>
      <c r="I313" s="143"/>
      <c r="J313" s="87"/>
      <c r="K313" s="87"/>
      <c r="L313" s="87"/>
      <c r="M313" s="87"/>
      <c r="N313" s="87"/>
      <c r="O313" s="87"/>
      <c r="P313" s="87"/>
      <c r="Q313" s="87"/>
      <c r="R313" s="144"/>
      <c r="S313" s="144"/>
      <c r="T313" s="87"/>
      <c r="U313" s="87"/>
    </row>
    <row r="314" customFormat="false" ht="18" hidden="false" customHeight="true" outlineLevel="0" collapsed="false">
      <c r="B314" s="7"/>
      <c r="C314" s="7"/>
      <c r="D314" s="7"/>
      <c r="E314" s="71"/>
      <c r="F314" s="7"/>
      <c r="G314" s="7"/>
      <c r="H314" s="7"/>
      <c r="I314" s="145"/>
      <c r="J314" s="7"/>
      <c r="K314" s="7"/>
      <c r="L314" s="7"/>
      <c r="M314" s="7"/>
      <c r="N314" s="7"/>
      <c r="O314" s="7"/>
      <c r="P314" s="7"/>
      <c r="Q314" s="7"/>
      <c r="R314" s="146"/>
      <c r="S314" s="146"/>
      <c r="T314" s="7"/>
      <c r="U314" s="7"/>
    </row>
    <row r="315" customFormat="false" ht="18" hidden="false" customHeight="true" outlineLevel="0" collapsed="false">
      <c r="B315" s="87"/>
      <c r="C315" s="87"/>
      <c r="D315" s="87"/>
      <c r="E315" s="142"/>
      <c r="F315" s="87"/>
      <c r="G315" s="87"/>
      <c r="H315" s="87"/>
      <c r="I315" s="143"/>
      <c r="J315" s="87"/>
      <c r="K315" s="87"/>
      <c r="L315" s="87"/>
      <c r="M315" s="87"/>
      <c r="N315" s="87"/>
      <c r="O315" s="87"/>
      <c r="P315" s="87"/>
      <c r="Q315" s="87"/>
      <c r="R315" s="144"/>
      <c r="S315" s="144"/>
      <c r="T315" s="87"/>
      <c r="U315" s="87"/>
    </row>
    <row r="316" customFormat="false" ht="18" hidden="false" customHeight="true" outlineLevel="0" collapsed="false">
      <c r="B316" s="7"/>
      <c r="C316" s="7"/>
      <c r="D316" s="7"/>
      <c r="E316" s="71"/>
      <c r="F316" s="7"/>
      <c r="G316" s="7"/>
      <c r="H316" s="7"/>
      <c r="I316" s="145"/>
      <c r="J316" s="7"/>
      <c r="K316" s="7"/>
      <c r="L316" s="7"/>
      <c r="M316" s="7"/>
      <c r="N316" s="7"/>
      <c r="O316" s="7"/>
      <c r="P316" s="7"/>
      <c r="Q316" s="7"/>
      <c r="R316" s="146"/>
      <c r="S316" s="146"/>
      <c r="T316" s="7"/>
      <c r="U316" s="7"/>
    </row>
    <row r="317" customFormat="false" ht="18" hidden="false" customHeight="true" outlineLevel="0" collapsed="false">
      <c r="B317" s="87"/>
      <c r="C317" s="87"/>
      <c r="D317" s="87"/>
      <c r="E317" s="142"/>
      <c r="F317" s="87"/>
      <c r="G317" s="87"/>
      <c r="H317" s="87"/>
      <c r="I317" s="143"/>
      <c r="J317" s="87"/>
      <c r="K317" s="87"/>
      <c r="L317" s="87"/>
      <c r="M317" s="87"/>
      <c r="N317" s="87"/>
      <c r="O317" s="87"/>
      <c r="P317" s="87"/>
      <c r="Q317" s="87"/>
      <c r="R317" s="144"/>
      <c r="S317" s="144"/>
      <c r="T317" s="87"/>
      <c r="U317" s="87"/>
    </row>
    <row r="318" customFormat="false" ht="18" hidden="false" customHeight="true" outlineLevel="0" collapsed="false">
      <c r="B318" s="7"/>
      <c r="C318" s="7"/>
      <c r="D318" s="7"/>
      <c r="E318" s="71"/>
      <c r="F318" s="7"/>
      <c r="G318" s="7"/>
      <c r="H318" s="7"/>
      <c r="I318" s="145"/>
      <c r="J318" s="7"/>
      <c r="K318" s="7"/>
      <c r="L318" s="7"/>
      <c r="M318" s="7"/>
      <c r="N318" s="7"/>
      <c r="O318" s="7"/>
      <c r="P318" s="7"/>
      <c r="Q318" s="7"/>
      <c r="R318" s="146"/>
      <c r="S318" s="146"/>
      <c r="T318" s="7"/>
      <c r="U318" s="7"/>
    </row>
    <row r="319" customFormat="false" ht="18" hidden="false" customHeight="true" outlineLevel="0" collapsed="false">
      <c r="B319" s="87"/>
      <c r="C319" s="87"/>
      <c r="D319" s="87"/>
      <c r="E319" s="142"/>
      <c r="F319" s="87"/>
      <c r="G319" s="87"/>
      <c r="H319" s="87"/>
      <c r="I319" s="143"/>
      <c r="J319" s="87"/>
      <c r="K319" s="87"/>
      <c r="L319" s="87"/>
      <c r="M319" s="87"/>
      <c r="N319" s="87"/>
      <c r="O319" s="87"/>
      <c r="P319" s="87"/>
      <c r="Q319" s="87"/>
      <c r="R319" s="144"/>
      <c r="S319" s="144"/>
      <c r="T319" s="87"/>
      <c r="U319" s="87"/>
    </row>
    <row r="320" customFormat="false" ht="18" hidden="false" customHeight="true" outlineLevel="0" collapsed="false">
      <c r="B320" s="7"/>
      <c r="C320" s="7"/>
      <c r="D320" s="7"/>
      <c r="E320" s="71"/>
      <c r="F320" s="7"/>
      <c r="G320" s="7"/>
      <c r="H320" s="7"/>
      <c r="I320" s="145"/>
      <c r="J320" s="7"/>
      <c r="K320" s="7"/>
      <c r="L320" s="7"/>
      <c r="M320" s="7"/>
      <c r="N320" s="7"/>
      <c r="O320" s="7"/>
      <c r="P320" s="7"/>
      <c r="Q320" s="7"/>
      <c r="R320" s="146"/>
      <c r="S320" s="146"/>
      <c r="T320" s="7"/>
      <c r="U320" s="7"/>
    </row>
    <row r="321" customFormat="false" ht="18" hidden="false" customHeight="true" outlineLevel="0" collapsed="false">
      <c r="B321" s="87"/>
      <c r="C321" s="87"/>
      <c r="D321" s="87"/>
      <c r="E321" s="142"/>
      <c r="F321" s="87"/>
      <c r="G321" s="87"/>
      <c r="H321" s="87"/>
      <c r="I321" s="143"/>
      <c r="J321" s="87"/>
      <c r="K321" s="87"/>
      <c r="L321" s="87"/>
      <c r="M321" s="87"/>
      <c r="N321" s="87"/>
      <c r="O321" s="87"/>
      <c r="P321" s="87"/>
      <c r="Q321" s="87"/>
      <c r="R321" s="144"/>
      <c r="S321" s="144"/>
      <c r="T321" s="87"/>
      <c r="U321" s="87"/>
    </row>
    <row r="322" customFormat="false" ht="18" hidden="false" customHeight="true" outlineLevel="0" collapsed="false">
      <c r="B322" s="7"/>
      <c r="C322" s="7"/>
      <c r="D322" s="7"/>
      <c r="E322" s="71"/>
      <c r="F322" s="7"/>
      <c r="G322" s="7"/>
      <c r="H322" s="7"/>
      <c r="I322" s="145"/>
      <c r="J322" s="7"/>
      <c r="K322" s="7"/>
      <c r="L322" s="7"/>
      <c r="M322" s="7"/>
      <c r="N322" s="7"/>
      <c r="O322" s="7"/>
      <c r="P322" s="7"/>
      <c r="Q322" s="7"/>
      <c r="R322" s="146"/>
      <c r="S322" s="146"/>
      <c r="T322" s="7"/>
      <c r="U322" s="7"/>
    </row>
    <row r="323" customFormat="false" ht="18" hidden="false" customHeight="true" outlineLevel="0" collapsed="false">
      <c r="B323" s="87"/>
      <c r="C323" s="87"/>
      <c r="D323" s="87"/>
      <c r="E323" s="142"/>
      <c r="F323" s="87"/>
      <c r="G323" s="87"/>
      <c r="H323" s="87"/>
      <c r="I323" s="143"/>
      <c r="J323" s="87"/>
      <c r="K323" s="87"/>
      <c r="L323" s="87"/>
      <c r="M323" s="87"/>
      <c r="N323" s="87"/>
      <c r="O323" s="87"/>
      <c r="P323" s="87"/>
      <c r="Q323" s="87"/>
      <c r="R323" s="144"/>
      <c r="S323" s="144"/>
      <c r="T323" s="87"/>
      <c r="U323" s="87"/>
    </row>
    <row r="324" customFormat="false" ht="18" hidden="false" customHeight="true" outlineLevel="0" collapsed="false">
      <c r="B324" s="7"/>
      <c r="C324" s="7"/>
      <c r="D324" s="7"/>
      <c r="E324" s="71"/>
      <c r="F324" s="7"/>
      <c r="G324" s="7"/>
      <c r="H324" s="7"/>
      <c r="I324" s="145"/>
      <c r="J324" s="7"/>
      <c r="K324" s="7"/>
      <c r="L324" s="7"/>
      <c r="M324" s="7"/>
      <c r="N324" s="7"/>
      <c r="O324" s="7"/>
      <c r="P324" s="7"/>
      <c r="Q324" s="7"/>
      <c r="R324" s="146"/>
      <c r="S324" s="146"/>
      <c r="T324" s="7"/>
      <c r="U324" s="7"/>
    </row>
    <row r="325" customFormat="false" ht="18" hidden="false" customHeight="true" outlineLevel="0" collapsed="false">
      <c r="B325" s="87"/>
      <c r="C325" s="87"/>
      <c r="D325" s="87"/>
      <c r="E325" s="142"/>
      <c r="F325" s="87"/>
      <c r="G325" s="87"/>
      <c r="H325" s="87"/>
      <c r="I325" s="143"/>
      <c r="J325" s="87"/>
      <c r="K325" s="87"/>
      <c r="L325" s="87"/>
      <c r="M325" s="87"/>
      <c r="N325" s="87"/>
      <c r="O325" s="87"/>
      <c r="P325" s="87"/>
      <c r="Q325" s="87"/>
      <c r="R325" s="144"/>
      <c r="S325" s="144"/>
      <c r="T325" s="87"/>
      <c r="U325" s="87"/>
    </row>
    <row r="326" customFormat="false" ht="18" hidden="false" customHeight="true" outlineLevel="0" collapsed="false">
      <c r="B326" s="7"/>
      <c r="C326" s="7"/>
      <c r="D326" s="7"/>
      <c r="E326" s="71"/>
      <c r="F326" s="7"/>
      <c r="G326" s="7"/>
      <c r="H326" s="7"/>
      <c r="I326" s="145"/>
      <c r="J326" s="7"/>
      <c r="K326" s="7"/>
      <c r="L326" s="7"/>
      <c r="M326" s="7"/>
      <c r="N326" s="7"/>
      <c r="O326" s="7"/>
      <c r="P326" s="7"/>
      <c r="Q326" s="7"/>
      <c r="R326" s="146"/>
      <c r="S326" s="146"/>
      <c r="T326" s="7"/>
      <c r="U326" s="7"/>
    </row>
    <row r="327" customFormat="false" ht="18" hidden="false" customHeight="true" outlineLevel="0" collapsed="false">
      <c r="B327" s="87"/>
      <c r="C327" s="87"/>
      <c r="D327" s="87"/>
      <c r="E327" s="142"/>
      <c r="F327" s="87"/>
      <c r="G327" s="87"/>
      <c r="H327" s="87"/>
      <c r="I327" s="143"/>
      <c r="J327" s="87"/>
      <c r="K327" s="87"/>
      <c r="L327" s="87"/>
      <c r="M327" s="87"/>
      <c r="N327" s="87"/>
      <c r="O327" s="87"/>
      <c r="P327" s="87"/>
      <c r="Q327" s="87"/>
      <c r="R327" s="144"/>
      <c r="S327" s="144"/>
      <c r="T327" s="87"/>
      <c r="U327" s="87"/>
    </row>
    <row r="328" customFormat="false" ht="18" hidden="false" customHeight="true" outlineLevel="0" collapsed="false">
      <c r="B328" s="7"/>
      <c r="C328" s="7"/>
      <c r="D328" s="7"/>
      <c r="E328" s="71"/>
      <c r="F328" s="7"/>
      <c r="G328" s="7"/>
      <c r="H328" s="7"/>
      <c r="I328" s="145"/>
      <c r="J328" s="7"/>
      <c r="K328" s="7"/>
      <c r="L328" s="7"/>
      <c r="M328" s="7"/>
      <c r="N328" s="7"/>
      <c r="O328" s="7"/>
      <c r="P328" s="7"/>
      <c r="Q328" s="7"/>
      <c r="R328" s="146"/>
      <c r="S328" s="146"/>
      <c r="T328" s="7"/>
      <c r="U328" s="7"/>
    </row>
    <row r="329" customFormat="false" ht="18" hidden="false" customHeight="true" outlineLevel="0" collapsed="false">
      <c r="B329" s="87"/>
      <c r="C329" s="87"/>
      <c r="D329" s="87"/>
      <c r="E329" s="142"/>
      <c r="F329" s="87"/>
      <c r="G329" s="87"/>
      <c r="H329" s="87"/>
      <c r="I329" s="143"/>
      <c r="J329" s="87"/>
      <c r="K329" s="87"/>
      <c r="L329" s="87"/>
      <c r="M329" s="87"/>
      <c r="N329" s="87"/>
      <c r="O329" s="87"/>
      <c r="P329" s="87"/>
      <c r="Q329" s="87"/>
      <c r="R329" s="144"/>
      <c r="S329" s="144"/>
      <c r="T329" s="87"/>
      <c r="U329" s="87"/>
    </row>
    <row r="330" customFormat="false" ht="18" hidden="false" customHeight="true" outlineLevel="0" collapsed="false">
      <c r="B330" s="7"/>
      <c r="C330" s="7"/>
      <c r="D330" s="7"/>
      <c r="E330" s="71"/>
      <c r="F330" s="7"/>
      <c r="G330" s="7"/>
      <c r="H330" s="7"/>
      <c r="I330" s="145"/>
      <c r="J330" s="7"/>
      <c r="K330" s="7"/>
      <c r="L330" s="7"/>
      <c r="M330" s="7"/>
      <c r="N330" s="7"/>
      <c r="O330" s="7"/>
      <c r="P330" s="7"/>
      <c r="Q330" s="7"/>
      <c r="R330" s="146"/>
      <c r="S330" s="146"/>
      <c r="T330" s="7"/>
      <c r="U330" s="7"/>
    </row>
    <row r="331" customFormat="false" ht="18" hidden="false" customHeight="true" outlineLevel="0" collapsed="false">
      <c r="B331" s="87"/>
      <c r="C331" s="87"/>
      <c r="D331" s="87"/>
      <c r="E331" s="142"/>
      <c r="F331" s="87"/>
      <c r="G331" s="87"/>
      <c r="H331" s="87"/>
      <c r="I331" s="143"/>
      <c r="J331" s="87"/>
      <c r="K331" s="87"/>
      <c r="L331" s="87"/>
      <c r="M331" s="87"/>
      <c r="N331" s="87"/>
      <c r="O331" s="87"/>
      <c r="P331" s="87"/>
      <c r="Q331" s="87"/>
      <c r="R331" s="144"/>
      <c r="S331" s="144"/>
      <c r="T331" s="87"/>
      <c r="U331" s="87"/>
    </row>
    <row r="332" customFormat="false" ht="18" hidden="false" customHeight="true" outlineLevel="0" collapsed="false">
      <c r="B332" s="7"/>
      <c r="C332" s="7"/>
      <c r="D332" s="7"/>
      <c r="E332" s="71"/>
      <c r="F332" s="7"/>
      <c r="G332" s="7"/>
      <c r="H332" s="7"/>
      <c r="I332" s="145"/>
      <c r="J332" s="7"/>
      <c r="K332" s="7"/>
      <c r="L332" s="7"/>
      <c r="M332" s="7"/>
      <c r="N332" s="7"/>
      <c r="O332" s="7"/>
      <c r="P332" s="7"/>
      <c r="Q332" s="7"/>
      <c r="R332" s="146"/>
      <c r="S332" s="146"/>
      <c r="T332" s="7"/>
      <c r="U332" s="7"/>
    </row>
    <row r="333" customFormat="false" ht="18" hidden="false" customHeight="true" outlineLevel="0" collapsed="false">
      <c r="B333" s="87"/>
      <c r="C333" s="87"/>
      <c r="D333" s="87"/>
      <c r="E333" s="142"/>
      <c r="F333" s="87"/>
      <c r="G333" s="87"/>
      <c r="H333" s="87"/>
      <c r="I333" s="143"/>
      <c r="J333" s="87"/>
      <c r="K333" s="87"/>
      <c r="L333" s="87"/>
      <c r="M333" s="87"/>
      <c r="N333" s="87"/>
      <c r="O333" s="87"/>
      <c r="P333" s="87"/>
      <c r="Q333" s="87"/>
      <c r="R333" s="144"/>
      <c r="S333" s="144"/>
      <c r="T333" s="87"/>
      <c r="U333" s="87"/>
    </row>
    <row r="334" customFormat="false" ht="18" hidden="false" customHeight="true" outlineLevel="0" collapsed="false">
      <c r="B334" s="7"/>
      <c r="C334" s="7"/>
      <c r="D334" s="7"/>
      <c r="E334" s="71"/>
      <c r="F334" s="7"/>
      <c r="G334" s="7"/>
      <c r="H334" s="7"/>
      <c r="I334" s="145"/>
      <c r="J334" s="7"/>
      <c r="K334" s="7"/>
      <c r="L334" s="7"/>
      <c r="M334" s="7"/>
      <c r="N334" s="7"/>
      <c r="O334" s="7"/>
      <c r="P334" s="7"/>
      <c r="Q334" s="7"/>
      <c r="R334" s="146"/>
      <c r="S334" s="146"/>
      <c r="T334" s="7"/>
      <c r="U334" s="7"/>
    </row>
    <row r="335" customFormat="false" ht="18" hidden="false" customHeight="true" outlineLevel="0" collapsed="false">
      <c r="B335" s="87"/>
      <c r="C335" s="87"/>
      <c r="D335" s="87"/>
      <c r="E335" s="142"/>
      <c r="F335" s="87"/>
      <c r="G335" s="87"/>
      <c r="H335" s="87"/>
      <c r="I335" s="143"/>
      <c r="J335" s="87"/>
      <c r="K335" s="87"/>
      <c r="L335" s="87"/>
      <c r="M335" s="87"/>
      <c r="N335" s="87"/>
      <c r="O335" s="87"/>
      <c r="P335" s="87"/>
      <c r="Q335" s="87"/>
      <c r="R335" s="144"/>
      <c r="S335" s="144"/>
      <c r="T335" s="87"/>
      <c r="U335" s="87"/>
    </row>
    <row r="336" customFormat="false" ht="18" hidden="false" customHeight="true" outlineLevel="0" collapsed="false">
      <c r="B336" s="7"/>
      <c r="C336" s="7"/>
      <c r="D336" s="7"/>
      <c r="E336" s="71"/>
      <c r="F336" s="7"/>
      <c r="G336" s="7"/>
      <c r="H336" s="7"/>
      <c r="I336" s="145"/>
      <c r="J336" s="7"/>
      <c r="K336" s="7"/>
      <c r="L336" s="7"/>
      <c r="M336" s="7"/>
      <c r="N336" s="7"/>
      <c r="O336" s="7"/>
      <c r="P336" s="7"/>
      <c r="Q336" s="7"/>
      <c r="R336" s="146"/>
      <c r="S336" s="146"/>
      <c r="T336" s="7"/>
      <c r="U336" s="7"/>
    </row>
    <row r="337" customFormat="false" ht="18" hidden="false" customHeight="true" outlineLevel="0" collapsed="false">
      <c r="B337" s="87"/>
      <c r="C337" s="87"/>
      <c r="D337" s="87"/>
      <c r="E337" s="142"/>
      <c r="F337" s="87"/>
      <c r="G337" s="87"/>
      <c r="H337" s="87"/>
      <c r="I337" s="143"/>
      <c r="J337" s="87"/>
      <c r="K337" s="87"/>
      <c r="L337" s="87"/>
      <c r="M337" s="87"/>
      <c r="N337" s="87"/>
      <c r="O337" s="87"/>
      <c r="P337" s="87"/>
      <c r="Q337" s="87"/>
      <c r="R337" s="144"/>
      <c r="S337" s="144"/>
      <c r="T337" s="87"/>
      <c r="U337" s="87"/>
    </row>
    <row r="338" customFormat="false" ht="18" hidden="false" customHeight="true" outlineLevel="0" collapsed="false">
      <c r="B338" s="7"/>
      <c r="C338" s="7"/>
      <c r="D338" s="7"/>
      <c r="E338" s="71"/>
      <c r="F338" s="7"/>
      <c r="G338" s="7"/>
      <c r="H338" s="7"/>
      <c r="I338" s="145"/>
      <c r="J338" s="7"/>
      <c r="K338" s="7"/>
      <c r="L338" s="7"/>
      <c r="M338" s="7"/>
      <c r="N338" s="7"/>
      <c r="O338" s="7"/>
      <c r="P338" s="7"/>
      <c r="Q338" s="7"/>
      <c r="R338" s="146"/>
      <c r="S338" s="146"/>
      <c r="T338" s="7"/>
      <c r="U338" s="7"/>
    </row>
    <row r="339" customFormat="false" ht="18" hidden="false" customHeight="true" outlineLevel="0" collapsed="false">
      <c r="B339" s="87"/>
      <c r="C339" s="87"/>
      <c r="D339" s="87"/>
      <c r="E339" s="142"/>
      <c r="F339" s="87"/>
      <c r="G339" s="87"/>
      <c r="H339" s="87"/>
      <c r="I339" s="143"/>
      <c r="J339" s="87"/>
      <c r="K339" s="87"/>
      <c r="L339" s="87"/>
      <c r="M339" s="87"/>
      <c r="N339" s="87"/>
      <c r="O339" s="87"/>
      <c r="P339" s="87"/>
      <c r="Q339" s="87"/>
      <c r="R339" s="144"/>
      <c r="S339" s="144"/>
      <c r="T339" s="87"/>
      <c r="U339" s="87"/>
    </row>
    <row r="340" customFormat="false" ht="18" hidden="false" customHeight="true" outlineLevel="0" collapsed="false">
      <c r="B340" s="7"/>
      <c r="C340" s="7"/>
      <c r="D340" s="7"/>
      <c r="E340" s="71"/>
      <c r="F340" s="7"/>
      <c r="G340" s="7"/>
      <c r="H340" s="7"/>
      <c r="I340" s="145"/>
      <c r="J340" s="7"/>
      <c r="K340" s="7"/>
      <c r="L340" s="7"/>
      <c r="M340" s="7"/>
      <c r="N340" s="7"/>
      <c r="O340" s="7"/>
      <c r="P340" s="7"/>
      <c r="Q340" s="7"/>
      <c r="R340" s="146"/>
      <c r="S340" s="146"/>
      <c r="T340" s="7"/>
      <c r="U340" s="7"/>
    </row>
    <row r="341" customFormat="false" ht="18" hidden="false" customHeight="true" outlineLevel="0" collapsed="false">
      <c r="B341" s="87"/>
      <c r="C341" s="87"/>
      <c r="D341" s="87"/>
      <c r="E341" s="142"/>
      <c r="F341" s="87"/>
      <c r="G341" s="87"/>
      <c r="H341" s="87"/>
      <c r="I341" s="143"/>
      <c r="J341" s="87"/>
      <c r="K341" s="87"/>
      <c r="L341" s="87"/>
      <c r="M341" s="87"/>
      <c r="N341" s="87"/>
      <c r="O341" s="87"/>
      <c r="P341" s="87"/>
      <c r="Q341" s="87"/>
      <c r="R341" s="144"/>
      <c r="S341" s="144"/>
      <c r="T341" s="87"/>
      <c r="U341" s="87"/>
    </row>
    <row r="342" customFormat="false" ht="18" hidden="false" customHeight="true" outlineLevel="0" collapsed="false">
      <c r="B342" s="7"/>
      <c r="C342" s="7"/>
      <c r="D342" s="7"/>
      <c r="E342" s="71"/>
      <c r="F342" s="7"/>
      <c r="G342" s="7"/>
      <c r="H342" s="7"/>
      <c r="I342" s="145"/>
      <c r="J342" s="7"/>
      <c r="K342" s="7"/>
      <c r="L342" s="7"/>
      <c r="M342" s="7"/>
      <c r="N342" s="7"/>
      <c r="O342" s="7"/>
      <c r="P342" s="7"/>
      <c r="Q342" s="7"/>
      <c r="R342" s="146"/>
      <c r="S342" s="146"/>
      <c r="T342" s="7"/>
      <c r="U342" s="7"/>
    </row>
    <row r="343" customFormat="false" ht="18" hidden="false" customHeight="true" outlineLevel="0" collapsed="false">
      <c r="B343" s="87"/>
      <c r="C343" s="87"/>
      <c r="D343" s="87"/>
      <c r="E343" s="142"/>
      <c r="F343" s="87"/>
      <c r="G343" s="87"/>
      <c r="H343" s="87"/>
      <c r="I343" s="143"/>
      <c r="J343" s="87"/>
      <c r="K343" s="87"/>
      <c r="L343" s="87"/>
      <c r="M343" s="87"/>
      <c r="N343" s="87"/>
      <c r="O343" s="87"/>
      <c r="P343" s="87"/>
      <c r="Q343" s="87"/>
      <c r="R343" s="144"/>
      <c r="S343" s="144"/>
      <c r="T343" s="87"/>
      <c r="U343" s="87"/>
    </row>
    <row r="344" customFormat="false" ht="18" hidden="false" customHeight="true" outlineLevel="0" collapsed="false">
      <c r="B344" s="7"/>
      <c r="C344" s="7"/>
      <c r="D344" s="7"/>
      <c r="E344" s="71"/>
      <c r="F344" s="7"/>
      <c r="G344" s="7"/>
      <c r="H344" s="7"/>
      <c r="I344" s="145"/>
      <c r="J344" s="7"/>
      <c r="K344" s="7"/>
      <c r="L344" s="7"/>
      <c r="M344" s="7"/>
      <c r="N344" s="7"/>
      <c r="O344" s="7"/>
      <c r="P344" s="7"/>
      <c r="Q344" s="7"/>
      <c r="R344" s="146"/>
      <c r="S344" s="146"/>
      <c r="T344" s="7"/>
      <c r="U344" s="7"/>
    </row>
    <row r="345" customFormat="false" ht="18" hidden="false" customHeight="true" outlineLevel="0" collapsed="false">
      <c r="B345" s="87"/>
      <c r="C345" s="87"/>
      <c r="D345" s="87"/>
      <c r="E345" s="142"/>
      <c r="F345" s="87"/>
      <c r="G345" s="87"/>
      <c r="H345" s="87"/>
      <c r="I345" s="143"/>
      <c r="J345" s="87"/>
      <c r="K345" s="87"/>
      <c r="L345" s="87"/>
      <c r="M345" s="87"/>
      <c r="N345" s="87"/>
      <c r="O345" s="87"/>
      <c r="P345" s="87"/>
      <c r="Q345" s="87"/>
      <c r="R345" s="144"/>
      <c r="S345" s="144"/>
      <c r="T345" s="87"/>
      <c r="U345" s="87"/>
    </row>
    <row r="346" customFormat="false" ht="18" hidden="false" customHeight="true" outlineLevel="0" collapsed="false">
      <c r="B346" s="7"/>
      <c r="C346" s="7"/>
      <c r="D346" s="7"/>
      <c r="E346" s="71"/>
      <c r="F346" s="7"/>
      <c r="G346" s="7"/>
      <c r="H346" s="7"/>
      <c r="I346" s="145"/>
      <c r="J346" s="7"/>
      <c r="K346" s="7"/>
      <c r="L346" s="7"/>
      <c r="M346" s="7"/>
      <c r="N346" s="7"/>
      <c r="O346" s="7"/>
      <c r="P346" s="7"/>
      <c r="Q346" s="7"/>
      <c r="R346" s="146"/>
      <c r="S346" s="146"/>
      <c r="T346" s="7"/>
      <c r="U346" s="7"/>
    </row>
    <row r="347" customFormat="false" ht="18" hidden="false" customHeight="true" outlineLevel="0" collapsed="false">
      <c r="B347" s="87"/>
      <c r="C347" s="87"/>
      <c r="D347" s="87"/>
      <c r="E347" s="142"/>
      <c r="F347" s="87"/>
      <c r="G347" s="87"/>
      <c r="H347" s="87"/>
      <c r="I347" s="143"/>
      <c r="J347" s="87"/>
      <c r="K347" s="87"/>
      <c r="L347" s="87"/>
      <c r="M347" s="87"/>
      <c r="N347" s="87"/>
      <c r="O347" s="87"/>
      <c r="P347" s="87"/>
      <c r="Q347" s="87"/>
      <c r="R347" s="144"/>
      <c r="S347" s="144"/>
      <c r="T347" s="87"/>
      <c r="U347" s="87"/>
    </row>
    <row r="348" customFormat="false" ht="18" hidden="false" customHeight="true" outlineLevel="0" collapsed="false">
      <c r="B348" s="7"/>
      <c r="C348" s="7"/>
      <c r="D348" s="7"/>
      <c r="E348" s="71"/>
      <c r="F348" s="7"/>
      <c r="G348" s="7"/>
      <c r="H348" s="7"/>
      <c r="I348" s="145"/>
      <c r="J348" s="7"/>
      <c r="K348" s="7"/>
      <c r="L348" s="7"/>
      <c r="M348" s="7"/>
      <c r="N348" s="7"/>
      <c r="O348" s="7"/>
      <c r="P348" s="7"/>
      <c r="Q348" s="7"/>
      <c r="R348" s="146"/>
      <c r="S348" s="146"/>
      <c r="T348" s="7"/>
      <c r="U348" s="7"/>
    </row>
    <row r="349" customFormat="false" ht="18" hidden="false" customHeight="true" outlineLevel="0" collapsed="false">
      <c r="B349" s="87"/>
      <c r="C349" s="87"/>
      <c r="D349" s="87"/>
      <c r="E349" s="142"/>
      <c r="F349" s="87"/>
      <c r="G349" s="87"/>
      <c r="H349" s="87"/>
      <c r="I349" s="143"/>
      <c r="J349" s="87"/>
      <c r="K349" s="87"/>
      <c r="L349" s="87"/>
      <c r="M349" s="87"/>
      <c r="N349" s="87"/>
      <c r="O349" s="87"/>
      <c r="P349" s="87"/>
      <c r="Q349" s="87"/>
      <c r="R349" s="144"/>
      <c r="S349" s="144"/>
      <c r="T349" s="87"/>
      <c r="U349" s="87"/>
    </row>
    <row r="350" customFormat="false" ht="18" hidden="false" customHeight="true" outlineLevel="0" collapsed="false">
      <c r="B350" s="7"/>
      <c r="C350" s="7"/>
      <c r="D350" s="7"/>
      <c r="E350" s="71"/>
      <c r="F350" s="7"/>
      <c r="G350" s="7"/>
      <c r="H350" s="7"/>
      <c r="I350" s="145"/>
      <c r="J350" s="7"/>
      <c r="K350" s="7"/>
      <c r="L350" s="7"/>
      <c r="M350" s="7"/>
      <c r="N350" s="7"/>
      <c r="O350" s="7"/>
      <c r="P350" s="7"/>
      <c r="Q350" s="7"/>
      <c r="R350" s="146"/>
      <c r="S350" s="146"/>
      <c r="T350" s="7"/>
      <c r="U350" s="7"/>
    </row>
    <row r="351" customFormat="false" ht="18" hidden="false" customHeight="true" outlineLevel="0" collapsed="false">
      <c r="B351" s="87"/>
      <c r="C351" s="87"/>
      <c r="D351" s="87"/>
      <c r="E351" s="142"/>
      <c r="F351" s="87"/>
      <c r="G351" s="87"/>
      <c r="H351" s="87"/>
      <c r="I351" s="143"/>
      <c r="J351" s="87"/>
      <c r="K351" s="87"/>
      <c r="L351" s="87"/>
      <c r="M351" s="87"/>
      <c r="N351" s="87"/>
      <c r="O351" s="87"/>
      <c r="P351" s="87"/>
      <c r="Q351" s="87"/>
      <c r="R351" s="144"/>
      <c r="S351" s="144"/>
      <c r="T351" s="87"/>
      <c r="U351" s="87"/>
    </row>
    <row r="352" customFormat="false" ht="18" hidden="false" customHeight="true" outlineLevel="0" collapsed="false">
      <c r="B352" s="7"/>
      <c r="C352" s="7"/>
      <c r="D352" s="7"/>
      <c r="E352" s="71"/>
      <c r="F352" s="7"/>
      <c r="G352" s="7"/>
      <c r="H352" s="7"/>
      <c r="I352" s="145"/>
      <c r="J352" s="7"/>
      <c r="K352" s="7"/>
      <c r="L352" s="7"/>
      <c r="M352" s="7"/>
      <c r="N352" s="7"/>
      <c r="O352" s="7"/>
      <c r="P352" s="7"/>
      <c r="Q352" s="7"/>
      <c r="R352" s="146"/>
      <c r="S352" s="146"/>
      <c r="T352" s="7"/>
      <c r="U352" s="7"/>
    </row>
    <row r="353" customFormat="false" ht="18" hidden="false" customHeight="true" outlineLevel="0" collapsed="false">
      <c r="B353" s="87"/>
      <c r="C353" s="87"/>
      <c r="D353" s="87"/>
      <c r="E353" s="142"/>
      <c r="F353" s="87"/>
      <c r="G353" s="87"/>
      <c r="H353" s="87"/>
      <c r="I353" s="143"/>
      <c r="J353" s="87"/>
      <c r="K353" s="87"/>
      <c r="L353" s="87"/>
      <c r="M353" s="87"/>
      <c r="N353" s="87"/>
      <c r="O353" s="87"/>
      <c r="P353" s="87"/>
      <c r="Q353" s="87"/>
      <c r="R353" s="144"/>
      <c r="S353" s="144"/>
      <c r="T353" s="87"/>
      <c r="U353" s="87"/>
    </row>
    <row r="354" customFormat="false" ht="18" hidden="false" customHeight="true" outlineLevel="0" collapsed="false">
      <c r="B354" s="7"/>
      <c r="C354" s="7"/>
      <c r="D354" s="7"/>
      <c r="E354" s="71"/>
      <c r="F354" s="7"/>
      <c r="G354" s="7"/>
      <c r="H354" s="7"/>
      <c r="I354" s="145"/>
      <c r="J354" s="7"/>
      <c r="K354" s="7"/>
      <c r="L354" s="7"/>
      <c r="M354" s="7"/>
      <c r="N354" s="7"/>
      <c r="O354" s="7"/>
      <c r="P354" s="7"/>
      <c r="Q354" s="7"/>
      <c r="R354" s="146"/>
      <c r="S354" s="146"/>
      <c r="T354" s="7"/>
      <c r="U354" s="7"/>
    </row>
    <row r="355" customFormat="false" ht="18" hidden="false" customHeight="true" outlineLevel="0" collapsed="false">
      <c r="B355" s="87"/>
      <c r="C355" s="87"/>
      <c r="D355" s="87"/>
      <c r="E355" s="142"/>
      <c r="F355" s="87"/>
      <c r="G355" s="87"/>
      <c r="H355" s="87"/>
      <c r="I355" s="143"/>
      <c r="J355" s="87"/>
      <c r="K355" s="87"/>
      <c r="L355" s="87"/>
      <c r="M355" s="87"/>
      <c r="N355" s="87"/>
      <c r="O355" s="87"/>
      <c r="P355" s="87"/>
      <c r="Q355" s="87"/>
      <c r="R355" s="144"/>
      <c r="S355" s="144"/>
      <c r="T355" s="87"/>
      <c r="U355" s="87"/>
    </row>
    <row r="356" customFormat="false" ht="18" hidden="false" customHeight="true" outlineLevel="0" collapsed="false">
      <c r="B356" s="7"/>
      <c r="C356" s="7"/>
      <c r="D356" s="7"/>
      <c r="E356" s="71"/>
      <c r="F356" s="7"/>
      <c r="G356" s="7"/>
      <c r="H356" s="7"/>
      <c r="I356" s="145"/>
      <c r="J356" s="7"/>
      <c r="K356" s="7"/>
      <c r="L356" s="7"/>
      <c r="M356" s="7"/>
      <c r="N356" s="7"/>
      <c r="O356" s="7"/>
      <c r="P356" s="7"/>
      <c r="Q356" s="7"/>
      <c r="R356" s="146"/>
      <c r="S356" s="146"/>
      <c r="T356" s="7"/>
      <c r="U356" s="7"/>
    </row>
    <row r="357" customFormat="false" ht="18" hidden="false" customHeight="true" outlineLevel="0" collapsed="false">
      <c r="B357" s="87"/>
      <c r="C357" s="87"/>
      <c r="D357" s="87"/>
      <c r="E357" s="142"/>
      <c r="F357" s="87"/>
      <c r="G357" s="87"/>
      <c r="H357" s="87"/>
      <c r="I357" s="143"/>
      <c r="J357" s="87"/>
      <c r="K357" s="87"/>
      <c r="L357" s="87"/>
      <c r="M357" s="87"/>
      <c r="N357" s="87"/>
      <c r="O357" s="87"/>
      <c r="P357" s="87"/>
      <c r="Q357" s="87"/>
      <c r="R357" s="144"/>
      <c r="S357" s="144"/>
      <c r="T357" s="87"/>
      <c r="U357" s="87"/>
    </row>
    <row r="358" customFormat="false" ht="18" hidden="false" customHeight="true" outlineLevel="0" collapsed="false">
      <c r="B358" s="7"/>
      <c r="C358" s="7"/>
      <c r="D358" s="7"/>
      <c r="E358" s="71"/>
      <c r="F358" s="7"/>
      <c r="G358" s="7"/>
      <c r="H358" s="7"/>
      <c r="I358" s="145"/>
      <c r="J358" s="7"/>
      <c r="K358" s="7"/>
      <c r="L358" s="7"/>
      <c r="M358" s="7"/>
      <c r="N358" s="7"/>
      <c r="O358" s="7"/>
      <c r="P358" s="7"/>
      <c r="Q358" s="7"/>
      <c r="R358" s="146"/>
      <c r="S358" s="146"/>
      <c r="T358" s="7"/>
      <c r="U358" s="7"/>
    </row>
    <row r="359" customFormat="false" ht="18" hidden="false" customHeight="true" outlineLevel="0" collapsed="false">
      <c r="B359" s="87"/>
      <c r="C359" s="87"/>
      <c r="D359" s="87"/>
      <c r="E359" s="142"/>
      <c r="F359" s="87"/>
      <c r="G359" s="87"/>
      <c r="H359" s="87"/>
      <c r="I359" s="143"/>
      <c r="J359" s="87"/>
      <c r="K359" s="87"/>
      <c r="L359" s="87"/>
      <c r="M359" s="87"/>
      <c r="N359" s="87"/>
      <c r="O359" s="87"/>
      <c r="P359" s="87"/>
      <c r="Q359" s="87"/>
      <c r="R359" s="144"/>
      <c r="S359" s="144"/>
      <c r="T359" s="87"/>
      <c r="U359" s="87"/>
    </row>
    <row r="360" customFormat="false" ht="18" hidden="false" customHeight="true" outlineLevel="0" collapsed="false">
      <c r="B360" s="7"/>
      <c r="C360" s="7"/>
      <c r="D360" s="7"/>
      <c r="E360" s="71"/>
      <c r="F360" s="7"/>
      <c r="G360" s="7"/>
      <c r="H360" s="7"/>
      <c r="I360" s="145"/>
      <c r="J360" s="7"/>
      <c r="K360" s="7"/>
      <c r="L360" s="7"/>
      <c r="M360" s="7"/>
      <c r="N360" s="7"/>
      <c r="O360" s="7"/>
      <c r="P360" s="7"/>
      <c r="Q360" s="7"/>
      <c r="R360" s="146"/>
      <c r="S360" s="146"/>
      <c r="T360" s="7"/>
      <c r="U360" s="7"/>
    </row>
    <row r="361" customFormat="false" ht="18" hidden="false" customHeight="true" outlineLevel="0" collapsed="false">
      <c r="B361" s="87"/>
      <c r="C361" s="87"/>
      <c r="D361" s="87"/>
      <c r="E361" s="142"/>
      <c r="F361" s="87"/>
      <c r="G361" s="87"/>
      <c r="H361" s="87"/>
      <c r="I361" s="143"/>
      <c r="J361" s="87"/>
      <c r="K361" s="87"/>
      <c r="L361" s="87"/>
      <c r="M361" s="87"/>
      <c r="N361" s="87"/>
      <c r="O361" s="87"/>
      <c r="P361" s="87"/>
      <c r="Q361" s="87"/>
      <c r="R361" s="144"/>
      <c r="S361" s="144"/>
      <c r="T361" s="87"/>
      <c r="U361" s="87"/>
    </row>
    <row r="362" customFormat="false" ht="18" hidden="false" customHeight="true" outlineLevel="0" collapsed="false">
      <c r="B362" s="7"/>
      <c r="C362" s="7"/>
      <c r="D362" s="7"/>
      <c r="E362" s="71"/>
      <c r="F362" s="7"/>
      <c r="G362" s="7"/>
      <c r="H362" s="7"/>
      <c r="I362" s="145"/>
      <c r="J362" s="7"/>
      <c r="K362" s="7"/>
      <c r="L362" s="7"/>
      <c r="M362" s="7"/>
      <c r="N362" s="7"/>
      <c r="O362" s="7"/>
      <c r="P362" s="7"/>
      <c r="Q362" s="7"/>
      <c r="R362" s="146"/>
      <c r="S362" s="146"/>
      <c r="T362" s="7"/>
      <c r="U362" s="7"/>
    </row>
    <row r="363" customFormat="false" ht="18" hidden="false" customHeight="true" outlineLevel="0" collapsed="false">
      <c r="B363" s="87"/>
      <c r="C363" s="87"/>
      <c r="D363" s="87"/>
      <c r="E363" s="142"/>
      <c r="F363" s="87"/>
      <c r="G363" s="87"/>
      <c r="H363" s="87"/>
      <c r="I363" s="143"/>
      <c r="J363" s="87"/>
      <c r="K363" s="87"/>
      <c r="L363" s="87"/>
      <c r="M363" s="87"/>
      <c r="N363" s="87"/>
      <c r="O363" s="87"/>
      <c r="P363" s="87"/>
      <c r="Q363" s="87"/>
      <c r="R363" s="144"/>
      <c r="S363" s="144"/>
      <c r="T363" s="87"/>
      <c r="U363" s="87"/>
    </row>
    <row r="364" customFormat="false" ht="18" hidden="false" customHeight="true" outlineLevel="0" collapsed="false">
      <c r="B364" s="7"/>
      <c r="C364" s="7"/>
      <c r="D364" s="7"/>
      <c r="E364" s="71"/>
      <c r="F364" s="7"/>
      <c r="G364" s="7"/>
      <c r="H364" s="7"/>
      <c r="I364" s="145"/>
      <c r="J364" s="7"/>
      <c r="K364" s="7"/>
      <c r="L364" s="7"/>
      <c r="M364" s="7"/>
      <c r="N364" s="7"/>
      <c r="O364" s="7"/>
      <c r="P364" s="7"/>
      <c r="Q364" s="7"/>
      <c r="R364" s="146"/>
      <c r="S364" s="146"/>
      <c r="T364" s="7"/>
      <c r="U364" s="7"/>
    </row>
    <row r="365" customFormat="false" ht="18" hidden="false" customHeight="true" outlineLevel="0" collapsed="false">
      <c r="B365" s="87"/>
      <c r="C365" s="87"/>
      <c r="D365" s="87"/>
      <c r="E365" s="142"/>
      <c r="F365" s="87"/>
      <c r="G365" s="87"/>
      <c r="H365" s="87"/>
      <c r="I365" s="143"/>
      <c r="J365" s="87"/>
      <c r="K365" s="87"/>
      <c r="L365" s="87"/>
      <c r="M365" s="87"/>
      <c r="N365" s="87"/>
      <c r="O365" s="87"/>
      <c r="P365" s="87"/>
      <c r="Q365" s="87"/>
      <c r="R365" s="144"/>
      <c r="S365" s="144"/>
      <c r="T365" s="87"/>
      <c r="U365" s="87"/>
    </row>
    <row r="366" customFormat="false" ht="18" hidden="false" customHeight="true" outlineLevel="0" collapsed="false">
      <c r="B366" s="7"/>
      <c r="C366" s="7"/>
      <c r="D366" s="7"/>
      <c r="E366" s="71"/>
      <c r="F366" s="7"/>
      <c r="G366" s="7"/>
      <c r="H366" s="7"/>
      <c r="I366" s="145"/>
      <c r="J366" s="7"/>
      <c r="K366" s="7"/>
      <c r="L366" s="7"/>
      <c r="M366" s="7"/>
      <c r="N366" s="7"/>
      <c r="O366" s="7"/>
      <c r="P366" s="7"/>
      <c r="Q366" s="7"/>
      <c r="R366" s="146"/>
      <c r="S366" s="146"/>
      <c r="T366" s="7"/>
      <c r="U366" s="7"/>
    </row>
    <row r="367" customFormat="false" ht="18" hidden="false" customHeight="true" outlineLevel="0" collapsed="false">
      <c r="B367" s="87"/>
      <c r="C367" s="87"/>
      <c r="D367" s="87"/>
      <c r="E367" s="142"/>
      <c r="F367" s="87"/>
      <c r="G367" s="87"/>
      <c r="H367" s="87"/>
      <c r="I367" s="143"/>
      <c r="J367" s="87"/>
      <c r="K367" s="87"/>
      <c r="L367" s="87"/>
      <c r="M367" s="87"/>
      <c r="N367" s="87"/>
      <c r="O367" s="87"/>
      <c r="P367" s="87"/>
      <c r="Q367" s="87"/>
      <c r="R367" s="144"/>
      <c r="S367" s="144"/>
      <c r="T367" s="87"/>
      <c r="U367" s="87"/>
    </row>
    <row r="368" customFormat="false" ht="18" hidden="false" customHeight="true" outlineLevel="0" collapsed="false">
      <c r="B368" s="7"/>
      <c r="C368" s="7"/>
      <c r="D368" s="7"/>
      <c r="E368" s="71"/>
      <c r="F368" s="7"/>
      <c r="G368" s="7"/>
      <c r="H368" s="7"/>
      <c r="I368" s="145"/>
      <c r="J368" s="7"/>
      <c r="K368" s="7"/>
      <c r="L368" s="7"/>
      <c r="M368" s="7"/>
      <c r="N368" s="7"/>
      <c r="O368" s="7"/>
      <c r="P368" s="7"/>
      <c r="Q368" s="7"/>
      <c r="R368" s="146"/>
      <c r="S368" s="146"/>
      <c r="T368" s="7"/>
      <c r="U368" s="7"/>
    </row>
    <row r="369" customFormat="false" ht="18" hidden="false" customHeight="true" outlineLevel="0" collapsed="false">
      <c r="B369" s="87"/>
      <c r="C369" s="87"/>
      <c r="D369" s="87"/>
      <c r="E369" s="142"/>
      <c r="F369" s="87"/>
      <c r="G369" s="87"/>
      <c r="H369" s="87"/>
      <c r="I369" s="143"/>
      <c r="J369" s="87"/>
      <c r="K369" s="87"/>
      <c r="L369" s="87"/>
      <c r="M369" s="87"/>
      <c r="N369" s="87"/>
      <c r="O369" s="87"/>
      <c r="P369" s="87"/>
      <c r="Q369" s="87"/>
      <c r="R369" s="144"/>
      <c r="S369" s="144"/>
      <c r="T369" s="87"/>
      <c r="U369" s="87"/>
    </row>
    <row r="370" customFormat="false" ht="18" hidden="false" customHeight="true" outlineLevel="0" collapsed="false">
      <c r="B370" s="7"/>
      <c r="C370" s="7"/>
      <c r="D370" s="7"/>
      <c r="E370" s="71"/>
      <c r="F370" s="7"/>
      <c r="G370" s="7"/>
      <c r="H370" s="7"/>
      <c r="I370" s="145"/>
      <c r="J370" s="7"/>
      <c r="K370" s="7"/>
      <c r="L370" s="7"/>
      <c r="M370" s="7"/>
      <c r="N370" s="7"/>
      <c r="O370" s="7"/>
      <c r="P370" s="7"/>
      <c r="Q370" s="7"/>
      <c r="R370" s="146"/>
      <c r="S370" s="146"/>
      <c r="T370" s="7"/>
      <c r="U370" s="7"/>
    </row>
    <row r="371" customFormat="false" ht="18" hidden="false" customHeight="true" outlineLevel="0" collapsed="false">
      <c r="B371" s="87"/>
      <c r="C371" s="87"/>
      <c r="D371" s="87"/>
      <c r="E371" s="142"/>
      <c r="F371" s="87"/>
      <c r="G371" s="87"/>
      <c r="H371" s="87"/>
      <c r="I371" s="143"/>
      <c r="J371" s="87"/>
      <c r="K371" s="87"/>
      <c r="L371" s="87"/>
      <c r="M371" s="87"/>
      <c r="N371" s="87"/>
      <c r="O371" s="87"/>
      <c r="P371" s="87"/>
      <c r="Q371" s="87"/>
      <c r="R371" s="144"/>
      <c r="S371" s="144"/>
      <c r="T371" s="87"/>
      <c r="U371" s="87"/>
    </row>
    <row r="372" customFormat="false" ht="18" hidden="false" customHeight="true" outlineLevel="0" collapsed="false">
      <c r="B372" s="7"/>
      <c r="C372" s="7"/>
      <c r="D372" s="7"/>
      <c r="E372" s="71"/>
      <c r="F372" s="7"/>
      <c r="G372" s="7"/>
      <c r="H372" s="7"/>
      <c r="I372" s="145"/>
      <c r="J372" s="7"/>
      <c r="K372" s="7"/>
      <c r="L372" s="7"/>
      <c r="M372" s="7"/>
      <c r="N372" s="7"/>
      <c r="O372" s="7"/>
      <c r="P372" s="7"/>
      <c r="Q372" s="7"/>
      <c r="R372" s="146"/>
      <c r="S372" s="146"/>
      <c r="T372" s="7"/>
      <c r="U372" s="7"/>
    </row>
    <row r="373" customFormat="false" ht="18" hidden="false" customHeight="true" outlineLevel="0" collapsed="false">
      <c r="B373" s="87"/>
      <c r="C373" s="87"/>
      <c r="D373" s="87"/>
      <c r="E373" s="142"/>
      <c r="F373" s="87"/>
      <c r="G373" s="87"/>
      <c r="H373" s="87"/>
      <c r="I373" s="143"/>
      <c r="J373" s="87"/>
      <c r="K373" s="87"/>
      <c r="L373" s="87"/>
      <c r="M373" s="87"/>
      <c r="N373" s="87"/>
      <c r="O373" s="87"/>
      <c r="P373" s="87"/>
      <c r="Q373" s="87"/>
      <c r="R373" s="144"/>
      <c r="S373" s="144"/>
      <c r="T373" s="87"/>
      <c r="U373" s="87"/>
    </row>
    <row r="374" customFormat="false" ht="18" hidden="false" customHeight="true" outlineLevel="0" collapsed="false">
      <c r="B374" s="7"/>
      <c r="C374" s="7"/>
      <c r="D374" s="7"/>
      <c r="E374" s="71"/>
      <c r="F374" s="7"/>
      <c r="G374" s="7"/>
      <c r="H374" s="7"/>
      <c r="I374" s="145"/>
      <c r="J374" s="7"/>
      <c r="K374" s="7"/>
      <c r="L374" s="7"/>
      <c r="M374" s="7"/>
      <c r="N374" s="7"/>
      <c r="O374" s="7"/>
      <c r="P374" s="7"/>
      <c r="Q374" s="7"/>
      <c r="R374" s="146"/>
      <c r="S374" s="146"/>
      <c r="T374" s="7"/>
      <c r="U374" s="7"/>
    </row>
    <row r="375" customFormat="false" ht="18" hidden="false" customHeight="true" outlineLevel="0" collapsed="false">
      <c r="B375" s="87"/>
      <c r="C375" s="87"/>
      <c r="D375" s="87"/>
      <c r="E375" s="142"/>
      <c r="F375" s="87"/>
      <c r="G375" s="87"/>
      <c r="H375" s="87"/>
      <c r="I375" s="143"/>
      <c r="J375" s="87"/>
      <c r="K375" s="87"/>
      <c r="L375" s="87"/>
      <c r="M375" s="87"/>
      <c r="N375" s="87"/>
      <c r="O375" s="87"/>
      <c r="P375" s="87"/>
      <c r="Q375" s="87"/>
      <c r="R375" s="144"/>
      <c r="S375" s="144"/>
      <c r="T375" s="87"/>
      <c r="U375" s="87"/>
    </row>
    <row r="376" customFormat="false" ht="18" hidden="false" customHeight="true" outlineLevel="0" collapsed="false">
      <c r="B376" s="7"/>
      <c r="C376" s="7"/>
      <c r="D376" s="7"/>
      <c r="E376" s="71"/>
      <c r="F376" s="7"/>
      <c r="G376" s="7"/>
      <c r="H376" s="7"/>
      <c r="I376" s="145"/>
      <c r="J376" s="7"/>
      <c r="K376" s="7"/>
      <c r="L376" s="7"/>
      <c r="M376" s="7"/>
      <c r="N376" s="7"/>
      <c r="O376" s="7"/>
      <c r="P376" s="7"/>
      <c r="Q376" s="7"/>
      <c r="R376" s="146"/>
      <c r="S376" s="146"/>
      <c r="T376" s="7"/>
      <c r="U376" s="7"/>
    </row>
    <row r="377" customFormat="false" ht="18" hidden="false" customHeight="true" outlineLevel="0" collapsed="false">
      <c r="B377" s="87"/>
      <c r="C377" s="87"/>
      <c r="D377" s="87"/>
      <c r="E377" s="142"/>
      <c r="F377" s="87"/>
      <c r="G377" s="87"/>
      <c r="H377" s="87"/>
      <c r="I377" s="143"/>
      <c r="J377" s="87"/>
      <c r="K377" s="87"/>
      <c r="L377" s="87"/>
      <c r="M377" s="87"/>
      <c r="N377" s="87"/>
      <c r="O377" s="87"/>
      <c r="P377" s="87"/>
      <c r="Q377" s="87"/>
      <c r="R377" s="144"/>
      <c r="S377" s="144"/>
      <c r="T377" s="87"/>
      <c r="U377" s="87"/>
    </row>
    <row r="378" customFormat="false" ht="18" hidden="false" customHeight="true" outlineLevel="0" collapsed="false">
      <c r="B378" s="7"/>
      <c r="C378" s="7"/>
      <c r="D378" s="7"/>
      <c r="E378" s="71"/>
      <c r="F378" s="7"/>
      <c r="G378" s="7"/>
      <c r="H378" s="7"/>
      <c r="I378" s="145"/>
      <c r="J378" s="7"/>
      <c r="K378" s="7"/>
      <c r="L378" s="7"/>
      <c r="M378" s="7"/>
      <c r="N378" s="7"/>
      <c r="O378" s="7"/>
      <c r="P378" s="7"/>
      <c r="Q378" s="7"/>
      <c r="R378" s="146"/>
      <c r="S378" s="146"/>
      <c r="T378" s="7"/>
      <c r="U378" s="7"/>
    </row>
    <row r="379" customFormat="false" ht="18" hidden="false" customHeight="true" outlineLevel="0" collapsed="false">
      <c r="B379" s="87"/>
      <c r="C379" s="87"/>
      <c r="D379" s="87"/>
      <c r="E379" s="142"/>
      <c r="F379" s="87"/>
      <c r="G379" s="87"/>
      <c r="H379" s="87"/>
      <c r="I379" s="143"/>
      <c r="J379" s="87"/>
      <c r="K379" s="87"/>
      <c r="L379" s="87"/>
      <c r="M379" s="87"/>
      <c r="N379" s="87"/>
      <c r="O379" s="87"/>
      <c r="P379" s="87"/>
      <c r="Q379" s="87"/>
      <c r="R379" s="144"/>
      <c r="S379" s="144"/>
      <c r="T379" s="87"/>
      <c r="U379" s="87"/>
    </row>
    <row r="380" customFormat="false" ht="18" hidden="false" customHeight="true" outlineLevel="0" collapsed="false">
      <c r="B380" s="7"/>
      <c r="C380" s="7"/>
      <c r="D380" s="7"/>
      <c r="E380" s="71"/>
      <c r="F380" s="7"/>
      <c r="G380" s="7"/>
      <c r="H380" s="7"/>
      <c r="I380" s="145"/>
      <c r="J380" s="7"/>
      <c r="K380" s="7"/>
      <c r="L380" s="7"/>
      <c r="M380" s="7"/>
      <c r="N380" s="7"/>
      <c r="O380" s="7"/>
      <c r="P380" s="7"/>
      <c r="Q380" s="7"/>
      <c r="R380" s="146"/>
      <c r="S380" s="146"/>
      <c r="T380" s="7"/>
      <c r="U380" s="7"/>
    </row>
    <row r="381" customFormat="false" ht="18" hidden="false" customHeight="true" outlineLevel="0" collapsed="false">
      <c r="B381" s="87"/>
      <c r="C381" s="87"/>
      <c r="D381" s="87"/>
      <c r="E381" s="142"/>
      <c r="F381" s="87"/>
      <c r="G381" s="87"/>
      <c r="H381" s="87"/>
      <c r="I381" s="143"/>
      <c r="J381" s="87"/>
      <c r="K381" s="87"/>
      <c r="L381" s="87"/>
      <c r="M381" s="87"/>
      <c r="N381" s="87"/>
      <c r="O381" s="87"/>
      <c r="P381" s="87"/>
      <c r="Q381" s="87"/>
      <c r="R381" s="144"/>
      <c r="S381" s="144"/>
      <c r="T381" s="87"/>
      <c r="U381" s="87"/>
    </row>
    <row r="382" customFormat="false" ht="18" hidden="false" customHeight="true" outlineLevel="0" collapsed="false">
      <c r="B382" s="7"/>
      <c r="C382" s="7"/>
      <c r="D382" s="7"/>
      <c r="E382" s="71"/>
      <c r="F382" s="7"/>
      <c r="G382" s="7"/>
      <c r="H382" s="7"/>
      <c r="I382" s="145"/>
      <c r="J382" s="7"/>
      <c r="K382" s="7"/>
      <c r="L382" s="7"/>
      <c r="M382" s="7"/>
      <c r="N382" s="7"/>
      <c r="O382" s="7"/>
      <c r="P382" s="7"/>
      <c r="Q382" s="7"/>
      <c r="R382" s="146"/>
      <c r="S382" s="146"/>
      <c r="T382" s="7"/>
      <c r="U382" s="7"/>
    </row>
    <row r="383" customFormat="false" ht="18" hidden="false" customHeight="true" outlineLevel="0" collapsed="false">
      <c r="B383" s="87"/>
      <c r="C383" s="87"/>
      <c r="D383" s="87"/>
      <c r="E383" s="142"/>
      <c r="F383" s="87"/>
      <c r="G383" s="87"/>
      <c r="H383" s="87"/>
      <c r="I383" s="143"/>
      <c r="J383" s="87"/>
      <c r="K383" s="87"/>
      <c r="L383" s="87"/>
      <c r="M383" s="87"/>
      <c r="N383" s="87"/>
      <c r="O383" s="87"/>
      <c r="P383" s="87"/>
      <c r="Q383" s="87"/>
      <c r="R383" s="144"/>
      <c r="S383" s="144"/>
      <c r="T383" s="87"/>
      <c r="U383" s="87"/>
    </row>
    <row r="384" customFormat="false" ht="18" hidden="false" customHeight="true" outlineLevel="0" collapsed="false">
      <c r="B384" s="7"/>
      <c r="C384" s="7"/>
      <c r="D384" s="7"/>
      <c r="E384" s="71"/>
      <c r="F384" s="7"/>
      <c r="G384" s="7"/>
      <c r="H384" s="7"/>
      <c r="I384" s="145"/>
      <c r="J384" s="7"/>
      <c r="K384" s="7"/>
      <c r="L384" s="7"/>
      <c r="M384" s="7"/>
      <c r="N384" s="7"/>
      <c r="O384" s="7"/>
      <c r="P384" s="7"/>
      <c r="Q384" s="7"/>
      <c r="R384" s="146"/>
      <c r="S384" s="146"/>
      <c r="T384" s="7"/>
      <c r="U384" s="7"/>
    </row>
    <row r="385" customFormat="false" ht="18" hidden="false" customHeight="true" outlineLevel="0" collapsed="false">
      <c r="B385" s="87"/>
      <c r="C385" s="87"/>
      <c r="D385" s="87"/>
      <c r="E385" s="142"/>
      <c r="F385" s="87"/>
      <c r="G385" s="87"/>
      <c r="H385" s="87"/>
      <c r="I385" s="143"/>
      <c r="J385" s="87"/>
      <c r="K385" s="87"/>
      <c r="L385" s="87"/>
      <c r="M385" s="87"/>
      <c r="N385" s="87"/>
      <c r="O385" s="87"/>
      <c r="P385" s="87"/>
      <c r="Q385" s="87"/>
      <c r="R385" s="144"/>
      <c r="S385" s="144"/>
      <c r="T385" s="87"/>
      <c r="U385" s="87"/>
    </row>
    <row r="386" customFormat="false" ht="18" hidden="false" customHeight="true" outlineLevel="0" collapsed="false">
      <c r="B386" s="7"/>
      <c r="C386" s="7"/>
      <c r="D386" s="7"/>
      <c r="E386" s="71"/>
      <c r="F386" s="7"/>
      <c r="G386" s="7"/>
      <c r="H386" s="7"/>
      <c r="I386" s="145"/>
      <c r="J386" s="7"/>
      <c r="K386" s="7"/>
      <c r="L386" s="7"/>
      <c r="M386" s="7"/>
      <c r="N386" s="7"/>
      <c r="O386" s="7"/>
      <c r="P386" s="7"/>
      <c r="Q386" s="7"/>
      <c r="R386" s="146"/>
      <c r="S386" s="146"/>
      <c r="T386" s="7"/>
      <c r="U386" s="7"/>
    </row>
    <row r="387" customFormat="false" ht="18" hidden="false" customHeight="true" outlineLevel="0" collapsed="false">
      <c r="B387" s="87"/>
      <c r="C387" s="87"/>
      <c r="D387" s="87"/>
      <c r="E387" s="142"/>
      <c r="F387" s="87"/>
      <c r="G387" s="87"/>
      <c r="H387" s="87"/>
      <c r="I387" s="143"/>
      <c r="J387" s="87"/>
      <c r="K387" s="87"/>
      <c r="L387" s="87"/>
      <c r="M387" s="87"/>
      <c r="N387" s="87"/>
      <c r="O387" s="87"/>
      <c r="P387" s="87"/>
      <c r="Q387" s="87"/>
      <c r="R387" s="144"/>
      <c r="S387" s="144"/>
      <c r="T387" s="87"/>
      <c r="U387" s="87"/>
    </row>
    <row r="388" customFormat="false" ht="18" hidden="false" customHeight="true" outlineLevel="0" collapsed="false">
      <c r="B388" s="7"/>
      <c r="C388" s="7"/>
      <c r="D388" s="7"/>
      <c r="E388" s="71"/>
      <c r="F388" s="7"/>
      <c r="G388" s="7"/>
      <c r="H388" s="7"/>
      <c r="I388" s="145"/>
      <c r="J388" s="7"/>
      <c r="K388" s="7"/>
      <c r="L388" s="7"/>
      <c r="M388" s="7"/>
      <c r="N388" s="7"/>
      <c r="O388" s="7"/>
      <c r="P388" s="7"/>
      <c r="Q388" s="7"/>
      <c r="R388" s="146"/>
      <c r="S388" s="146"/>
      <c r="T388" s="7"/>
      <c r="U388" s="7"/>
    </row>
    <row r="389" customFormat="false" ht="18" hidden="false" customHeight="true" outlineLevel="0" collapsed="false">
      <c r="B389" s="87"/>
      <c r="C389" s="87"/>
      <c r="D389" s="87"/>
      <c r="E389" s="142"/>
      <c r="F389" s="87"/>
      <c r="G389" s="87"/>
      <c r="H389" s="87"/>
      <c r="I389" s="143"/>
      <c r="J389" s="87"/>
      <c r="K389" s="87"/>
      <c r="L389" s="87"/>
      <c r="M389" s="87"/>
      <c r="N389" s="87"/>
      <c r="O389" s="87"/>
      <c r="P389" s="87"/>
      <c r="Q389" s="87"/>
      <c r="R389" s="144"/>
      <c r="S389" s="144"/>
      <c r="T389" s="87"/>
      <c r="U389" s="87"/>
    </row>
    <row r="390" customFormat="false" ht="18" hidden="false" customHeight="true" outlineLevel="0" collapsed="false">
      <c r="B390" s="7"/>
      <c r="C390" s="7"/>
      <c r="D390" s="7"/>
      <c r="E390" s="71"/>
      <c r="F390" s="7"/>
      <c r="G390" s="7"/>
      <c r="H390" s="7"/>
      <c r="I390" s="145"/>
      <c r="J390" s="7"/>
      <c r="K390" s="7"/>
      <c r="L390" s="7"/>
      <c r="M390" s="7"/>
      <c r="N390" s="7"/>
      <c r="O390" s="7"/>
      <c r="P390" s="7"/>
      <c r="Q390" s="7"/>
      <c r="R390" s="146"/>
      <c r="S390" s="146"/>
      <c r="T390" s="7"/>
      <c r="U390" s="7"/>
    </row>
    <row r="391" customFormat="false" ht="18" hidden="false" customHeight="true" outlineLevel="0" collapsed="false">
      <c r="B391" s="87"/>
      <c r="C391" s="87"/>
      <c r="D391" s="87"/>
      <c r="E391" s="142"/>
      <c r="F391" s="87"/>
      <c r="G391" s="87"/>
      <c r="H391" s="87"/>
      <c r="I391" s="143"/>
      <c r="J391" s="87"/>
      <c r="K391" s="87"/>
      <c r="L391" s="87"/>
      <c r="M391" s="87"/>
      <c r="N391" s="87"/>
      <c r="O391" s="87"/>
      <c r="P391" s="87"/>
      <c r="Q391" s="87"/>
      <c r="R391" s="144"/>
      <c r="S391" s="144"/>
      <c r="T391" s="87"/>
      <c r="U391" s="87"/>
    </row>
    <row r="392" customFormat="false" ht="18" hidden="false" customHeight="true" outlineLevel="0" collapsed="false">
      <c r="B392" s="7"/>
      <c r="C392" s="7"/>
      <c r="D392" s="7"/>
      <c r="E392" s="71"/>
      <c r="F392" s="7"/>
      <c r="G392" s="7"/>
      <c r="H392" s="7"/>
      <c r="I392" s="145"/>
      <c r="J392" s="7"/>
      <c r="K392" s="7"/>
      <c r="L392" s="7"/>
      <c r="M392" s="7"/>
      <c r="N392" s="7"/>
      <c r="O392" s="7"/>
      <c r="P392" s="7"/>
      <c r="Q392" s="7"/>
      <c r="R392" s="146"/>
      <c r="S392" s="146"/>
      <c r="T392" s="7"/>
      <c r="U392" s="7"/>
    </row>
    <row r="393" customFormat="false" ht="18" hidden="false" customHeight="true" outlineLevel="0" collapsed="false">
      <c r="B393" s="87"/>
      <c r="C393" s="87"/>
      <c r="D393" s="87"/>
      <c r="E393" s="142"/>
      <c r="F393" s="87"/>
      <c r="G393" s="87"/>
      <c r="H393" s="87"/>
      <c r="I393" s="143"/>
      <c r="J393" s="87"/>
      <c r="K393" s="87"/>
      <c r="L393" s="87"/>
      <c r="M393" s="87"/>
      <c r="N393" s="87"/>
      <c r="O393" s="87"/>
      <c r="P393" s="87"/>
      <c r="Q393" s="87"/>
      <c r="R393" s="144"/>
      <c r="S393" s="144"/>
      <c r="T393" s="87"/>
      <c r="U393" s="87"/>
    </row>
    <row r="394" customFormat="false" ht="18" hidden="false" customHeight="true" outlineLevel="0" collapsed="false">
      <c r="B394" s="7"/>
      <c r="C394" s="7"/>
      <c r="D394" s="7"/>
      <c r="E394" s="71"/>
      <c r="F394" s="7"/>
      <c r="G394" s="7"/>
      <c r="H394" s="7"/>
      <c r="I394" s="145"/>
      <c r="J394" s="7"/>
      <c r="K394" s="7"/>
      <c r="L394" s="7"/>
      <c r="M394" s="7"/>
      <c r="N394" s="7"/>
      <c r="O394" s="7"/>
      <c r="P394" s="7"/>
      <c r="Q394" s="7"/>
      <c r="R394" s="146"/>
      <c r="S394" s="146"/>
      <c r="T394" s="7"/>
      <c r="U394" s="7"/>
    </row>
    <row r="395" customFormat="false" ht="18" hidden="false" customHeight="true" outlineLevel="0" collapsed="false">
      <c r="B395" s="87"/>
      <c r="C395" s="87"/>
      <c r="D395" s="87"/>
      <c r="E395" s="142"/>
      <c r="F395" s="87"/>
      <c r="G395" s="87"/>
      <c r="H395" s="87"/>
      <c r="I395" s="143"/>
      <c r="J395" s="87"/>
      <c r="K395" s="87"/>
      <c r="L395" s="87"/>
      <c r="M395" s="87"/>
      <c r="N395" s="87"/>
      <c r="O395" s="87"/>
      <c r="P395" s="87"/>
      <c r="Q395" s="87"/>
      <c r="R395" s="144"/>
      <c r="S395" s="144"/>
      <c r="T395" s="87"/>
      <c r="U395" s="87"/>
    </row>
    <row r="396" customFormat="false" ht="18" hidden="false" customHeight="true" outlineLevel="0" collapsed="false">
      <c r="B396" s="7"/>
      <c r="C396" s="7"/>
      <c r="D396" s="7"/>
      <c r="E396" s="71"/>
      <c r="F396" s="7"/>
      <c r="G396" s="7"/>
      <c r="H396" s="7"/>
      <c r="I396" s="145"/>
      <c r="J396" s="7"/>
      <c r="K396" s="7"/>
      <c r="L396" s="7"/>
      <c r="M396" s="7"/>
      <c r="N396" s="7"/>
      <c r="O396" s="7"/>
      <c r="P396" s="7"/>
      <c r="Q396" s="7"/>
      <c r="R396" s="146"/>
      <c r="S396" s="146"/>
      <c r="T396" s="7"/>
      <c r="U396" s="7"/>
    </row>
    <row r="397" customFormat="false" ht="18" hidden="false" customHeight="true" outlineLevel="0" collapsed="false">
      <c r="B397" s="87"/>
      <c r="C397" s="87"/>
      <c r="D397" s="87"/>
      <c r="E397" s="142"/>
      <c r="F397" s="87"/>
      <c r="G397" s="87"/>
      <c r="H397" s="87"/>
      <c r="I397" s="143"/>
      <c r="J397" s="87"/>
      <c r="K397" s="87"/>
      <c r="L397" s="87"/>
      <c r="M397" s="87"/>
      <c r="N397" s="87"/>
      <c r="O397" s="87"/>
      <c r="P397" s="87"/>
      <c r="Q397" s="87"/>
      <c r="R397" s="144"/>
      <c r="S397" s="144"/>
      <c r="T397" s="87"/>
      <c r="U397" s="87"/>
    </row>
    <row r="398" customFormat="false" ht="18" hidden="false" customHeight="true" outlineLevel="0" collapsed="false">
      <c r="B398" s="7"/>
      <c r="C398" s="7"/>
      <c r="D398" s="7"/>
      <c r="E398" s="71"/>
      <c r="F398" s="7"/>
      <c r="G398" s="7"/>
      <c r="H398" s="7"/>
      <c r="I398" s="145"/>
      <c r="J398" s="7"/>
      <c r="K398" s="7"/>
      <c r="L398" s="7"/>
      <c r="M398" s="7"/>
      <c r="N398" s="7"/>
      <c r="O398" s="7"/>
      <c r="P398" s="7"/>
      <c r="Q398" s="7"/>
      <c r="R398" s="146"/>
      <c r="S398" s="146"/>
      <c r="T398" s="7"/>
      <c r="U398" s="7"/>
    </row>
    <row r="399" customFormat="false" ht="18" hidden="false" customHeight="true" outlineLevel="0" collapsed="false">
      <c r="B399" s="87"/>
      <c r="C399" s="87"/>
      <c r="D399" s="87"/>
      <c r="E399" s="142"/>
      <c r="F399" s="87"/>
      <c r="G399" s="87"/>
      <c r="H399" s="87"/>
      <c r="I399" s="143"/>
      <c r="J399" s="87"/>
      <c r="K399" s="87"/>
      <c r="L399" s="87"/>
      <c r="M399" s="87"/>
      <c r="N399" s="87"/>
      <c r="O399" s="87"/>
      <c r="P399" s="87"/>
      <c r="Q399" s="87"/>
      <c r="R399" s="144"/>
      <c r="S399" s="144"/>
      <c r="T399" s="87"/>
      <c r="U399" s="87"/>
    </row>
    <row r="400" customFormat="false" ht="18" hidden="false" customHeight="true" outlineLevel="0" collapsed="false">
      <c r="B400" s="7"/>
      <c r="C400" s="7"/>
      <c r="D400" s="7"/>
      <c r="E400" s="71"/>
      <c r="F400" s="7"/>
      <c r="G400" s="7"/>
      <c r="H400" s="7"/>
      <c r="I400" s="145"/>
      <c r="J400" s="7"/>
      <c r="K400" s="7"/>
      <c r="L400" s="7"/>
      <c r="M400" s="7"/>
      <c r="N400" s="7"/>
      <c r="O400" s="7"/>
      <c r="P400" s="7"/>
      <c r="Q400" s="7"/>
      <c r="R400" s="146"/>
      <c r="S400" s="146"/>
      <c r="T400" s="7"/>
      <c r="U400" s="7"/>
    </row>
    <row r="401" customFormat="false" ht="18" hidden="false" customHeight="true" outlineLevel="0" collapsed="false">
      <c r="B401" s="87"/>
      <c r="C401" s="87"/>
      <c r="D401" s="87"/>
      <c r="E401" s="142"/>
      <c r="F401" s="87"/>
      <c r="G401" s="87"/>
      <c r="H401" s="87"/>
      <c r="I401" s="143"/>
      <c r="J401" s="87"/>
      <c r="K401" s="87"/>
      <c r="L401" s="87"/>
      <c r="M401" s="87"/>
      <c r="N401" s="87"/>
      <c r="O401" s="87"/>
      <c r="P401" s="87"/>
      <c r="Q401" s="87"/>
      <c r="R401" s="144"/>
      <c r="S401" s="144"/>
      <c r="T401" s="87"/>
      <c r="U401" s="87"/>
    </row>
    <row r="402" customFormat="false" ht="18" hidden="false" customHeight="true" outlineLevel="0" collapsed="false">
      <c r="B402" s="7"/>
      <c r="C402" s="7"/>
      <c r="D402" s="7"/>
      <c r="E402" s="71"/>
      <c r="F402" s="7"/>
      <c r="G402" s="7"/>
      <c r="H402" s="7"/>
      <c r="I402" s="145"/>
      <c r="J402" s="7"/>
      <c r="K402" s="7"/>
      <c r="L402" s="7"/>
      <c r="M402" s="7"/>
      <c r="N402" s="7"/>
      <c r="O402" s="7"/>
      <c r="P402" s="7"/>
      <c r="Q402" s="7"/>
      <c r="R402" s="146"/>
      <c r="S402" s="146"/>
      <c r="T402" s="7"/>
      <c r="U402" s="7"/>
    </row>
    <row r="403" customFormat="false" ht="18" hidden="false" customHeight="true" outlineLevel="0" collapsed="false">
      <c r="B403" s="87"/>
      <c r="C403" s="87"/>
      <c r="D403" s="87"/>
      <c r="E403" s="142"/>
      <c r="F403" s="87"/>
      <c r="G403" s="87"/>
      <c r="H403" s="87"/>
      <c r="I403" s="143"/>
      <c r="J403" s="87"/>
      <c r="K403" s="87"/>
      <c r="L403" s="87"/>
      <c r="M403" s="87"/>
      <c r="N403" s="87"/>
      <c r="O403" s="87"/>
      <c r="P403" s="87"/>
      <c r="Q403" s="87"/>
      <c r="R403" s="144"/>
      <c r="S403" s="144"/>
      <c r="T403" s="87"/>
      <c r="U403" s="87"/>
    </row>
    <row r="404" customFormat="false" ht="18" hidden="false" customHeight="true" outlineLevel="0" collapsed="false">
      <c r="B404" s="7"/>
      <c r="C404" s="7"/>
      <c r="D404" s="7"/>
      <c r="E404" s="71"/>
      <c r="F404" s="7"/>
      <c r="G404" s="7"/>
      <c r="H404" s="7"/>
      <c r="I404" s="145"/>
      <c r="J404" s="7"/>
      <c r="K404" s="7"/>
      <c r="L404" s="7"/>
      <c r="M404" s="7"/>
      <c r="N404" s="7"/>
      <c r="O404" s="7"/>
      <c r="P404" s="7"/>
      <c r="Q404" s="7"/>
      <c r="R404" s="146"/>
      <c r="S404" s="146"/>
      <c r="T404" s="7"/>
      <c r="U404" s="7"/>
    </row>
    <row r="405" customFormat="false" ht="18" hidden="false" customHeight="true" outlineLevel="0" collapsed="false">
      <c r="B405" s="87"/>
      <c r="C405" s="87"/>
      <c r="D405" s="87"/>
      <c r="E405" s="142"/>
      <c r="F405" s="87"/>
      <c r="G405" s="87"/>
      <c r="H405" s="87"/>
      <c r="I405" s="143"/>
      <c r="J405" s="87"/>
      <c r="K405" s="87"/>
      <c r="L405" s="87"/>
      <c r="M405" s="87"/>
      <c r="N405" s="87"/>
      <c r="O405" s="87"/>
      <c r="P405" s="87"/>
      <c r="Q405" s="87"/>
      <c r="R405" s="144"/>
      <c r="S405" s="144"/>
      <c r="T405" s="87"/>
      <c r="U405" s="87"/>
    </row>
    <row r="406" customFormat="false" ht="18" hidden="false" customHeight="true" outlineLevel="0" collapsed="false">
      <c r="B406" s="7"/>
      <c r="C406" s="7"/>
      <c r="D406" s="7"/>
      <c r="E406" s="71"/>
      <c r="F406" s="7"/>
      <c r="G406" s="7"/>
      <c r="H406" s="7"/>
      <c r="I406" s="145"/>
      <c r="J406" s="7"/>
      <c r="K406" s="7"/>
      <c r="L406" s="7"/>
      <c r="M406" s="7"/>
      <c r="N406" s="7"/>
      <c r="O406" s="7"/>
      <c r="P406" s="7"/>
      <c r="Q406" s="7"/>
      <c r="R406" s="146"/>
      <c r="S406" s="146"/>
      <c r="T406" s="7"/>
      <c r="U406" s="7"/>
    </row>
    <row r="407" customFormat="false" ht="18" hidden="false" customHeight="true" outlineLevel="0" collapsed="false">
      <c r="B407" s="87"/>
      <c r="C407" s="87"/>
      <c r="D407" s="87"/>
      <c r="E407" s="142"/>
      <c r="F407" s="87"/>
      <c r="G407" s="87"/>
      <c r="H407" s="87"/>
      <c r="I407" s="143"/>
      <c r="J407" s="87"/>
      <c r="K407" s="87"/>
      <c r="L407" s="87"/>
      <c r="M407" s="87"/>
      <c r="N407" s="87"/>
      <c r="O407" s="87"/>
      <c r="P407" s="87"/>
      <c r="Q407" s="87"/>
      <c r="R407" s="144"/>
      <c r="S407" s="144"/>
      <c r="T407" s="87"/>
      <c r="U407" s="87"/>
    </row>
    <row r="408" customFormat="false" ht="18" hidden="false" customHeight="true" outlineLevel="0" collapsed="false">
      <c r="B408" s="7"/>
      <c r="C408" s="7"/>
      <c r="D408" s="7"/>
      <c r="E408" s="71"/>
      <c r="F408" s="7"/>
      <c r="G408" s="7"/>
      <c r="H408" s="7"/>
      <c r="I408" s="145"/>
      <c r="J408" s="7"/>
      <c r="K408" s="7"/>
      <c r="L408" s="7"/>
      <c r="M408" s="7"/>
      <c r="N408" s="7"/>
      <c r="O408" s="7"/>
      <c r="P408" s="7"/>
      <c r="Q408" s="7"/>
      <c r="R408" s="146"/>
      <c r="S408" s="146"/>
      <c r="T408" s="7"/>
      <c r="U408" s="7"/>
    </row>
    <row r="409" customFormat="false" ht="18" hidden="false" customHeight="true" outlineLevel="0" collapsed="false">
      <c r="B409" s="87"/>
      <c r="C409" s="87"/>
      <c r="D409" s="87"/>
      <c r="E409" s="142"/>
      <c r="F409" s="87"/>
      <c r="G409" s="87"/>
      <c r="H409" s="87"/>
      <c r="I409" s="143"/>
      <c r="J409" s="87"/>
      <c r="K409" s="87"/>
      <c r="L409" s="87"/>
      <c r="M409" s="87"/>
      <c r="N409" s="87"/>
      <c r="O409" s="87"/>
      <c r="P409" s="87"/>
      <c r="Q409" s="87"/>
      <c r="R409" s="144"/>
      <c r="S409" s="144"/>
      <c r="T409" s="87"/>
      <c r="U409" s="87"/>
    </row>
    <row r="410" customFormat="false" ht="18" hidden="false" customHeight="true" outlineLevel="0" collapsed="false">
      <c r="B410" s="7"/>
      <c r="C410" s="7"/>
      <c r="D410" s="7"/>
      <c r="E410" s="71"/>
      <c r="F410" s="7"/>
      <c r="G410" s="7"/>
      <c r="H410" s="7"/>
      <c r="I410" s="145"/>
      <c r="J410" s="7"/>
      <c r="K410" s="7"/>
      <c r="L410" s="7"/>
      <c r="M410" s="7"/>
      <c r="N410" s="7"/>
      <c r="O410" s="7"/>
      <c r="P410" s="7"/>
      <c r="Q410" s="7"/>
      <c r="R410" s="146"/>
      <c r="S410" s="146"/>
      <c r="T410" s="7"/>
      <c r="U410" s="7"/>
    </row>
    <row r="411" customFormat="false" ht="18" hidden="false" customHeight="true" outlineLevel="0" collapsed="false">
      <c r="B411" s="87"/>
      <c r="C411" s="87"/>
      <c r="D411" s="87"/>
      <c r="E411" s="142"/>
      <c r="F411" s="87"/>
      <c r="G411" s="87"/>
      <c r="H411" s="87"/>
      <c r="I411" s="143"/>
      <c r="J411" s="87"/>
      <c r="K411" s="87"/>
      <c r="L411" s="87"/>
      <c r="M411" s="87"/>
      <c r="N411" s="87"/>
      <c r="O411" s="87"/>
      <c r="P411" s="87"/>
      <c r="Q411" s="87"/>
      <c r="R411" s="144"/>
      <c r="S411" s="144"/>
      <c r="T411" s="87"/>
      <c r="U411" s="87"/>
    </row>
    <row r="412" customFormat="false" ht="18" hidden="false" customHeight="true" outlineLevel="0" collapsed="false">
      <c r="B412" s="7"/>
      <c r="C412" s="7"/>
      <c r="D412" s="7"/>
      <c r="E412" s="71"/>
      <c r="F412" s="7"/>
      <c r="G412" s="7"/>
      <c r="H412" s="7"/>
      <c r="I412" s="145"/>
      <c r="J412" s="7"/>
      <c r="K412" s="7"/>
      <c r="L412" s="7"/>
      <c r="M412" s="7"/>
      <c r="N412" s="7"/>
      <c r="O412" s="7"/>
      <c r="P412" s="7"/>
      <c r="Q412" s="7"/>
      <c r="R412" s="146"/>
      <c r="S412" s="146"/>
      <c r="T412" s="7"/>
      <c r="U412" s="7"/>
    </row>
    <row r="413" customFormat="false" ht="18" hidden="false" customHeight="true" outlineLevel="0" collapsed="false">
      <c r="B413" s="87"/>
      <c r="C413" s="87"/>
      <c r="D413" s="87"/>
      <c r="E413" s="142"/>
      <c r="F413" s="87"/>
      <c r="G413" s="87"/>
      <c r="H413" s="87"/>
      <c r="I413" s="143"/>
      <c r="J413" s="87"/>
      <c r="K413" s="87"/>
      <c r="L413" s="87"/>
      <c r="M413" s="87"/>
      <c r="N413" s="87"/>
      <c r="O413" s="87"/>
      <c r="P413" s="87"/>
      <c r="Q413" s="87"/>
      <c r="R413" s="144"/>
      <c r="S413" s="144"/>
      <c r="T413" s="87"/>
      <c r="U413" s="87"/>
    </row>
    <row r="414" customFormat="false" ht="18" hidden="false" customHeight="true" outlineLevel="0" collapsed="false">
      <c r="B414" s="7"/>
      <c r="C414" s="7"/>
      <c r="D414" s="7"/>
      <c r="E414" s="71"/>
      <c r="F414" s="7"/>
      <c r="G414" s="7"/>
      <c r="H414" s="7"/>
      <c r="I414" s="145"/>
      <c r="J414" s="7"/>
      <c r="K414" s="7"/>
      <c r="L414" s="7"/>
      <c r="M414" s="7"/>
      <c r="N414" s="7"/>
      <c r="O414" s="7"/>
      <c r="P414" s="7"/>
      <c r="Q414" s="7"/>
      <c r="R414" s="146"/>
      <c r="S414" s="146"/>
      <c r="T414" s="7"/>
      <c r="U414" s="7"/>
    </row>
    <row r="415" customFormat="false" ht="18" hidden="false" customHeight="true" outlineLevel="0" collapsed="false">
      <c r="B415" s="87"/>
      <c r="C415" s="87"/>
      <c r="D415" s="87"/>
      <c r="E415" s="142"/>
      <c r="F415" s="87"/>
      <c r="G415" s="87"/>
      <c r="H415" s="87"/>
      <c r="I415" s="143"/>
      <c r="J415" s="87"/>
      <c r="K415" s="87"/>
      <c r="L415" s="87"/>
      <c r="M415" s="87"/>
      <c r="N415" s="87"/>
      <c r="O415" s="87"/>
      <c r="P415" s="87"/>
      <c r="Q415" s="87"/>
      <c r="R415" s="144"/>
      <c r="S415" s="144"/>
      <c r="T415" s="87"/>
      <c r="U415" s="87"/>
    </row>
    <row r="416" customFormat="false" ht="18" hidden="false" customHeight="true" outlineLevel="0" collapsed="false">
      <c r="B416" s="7"/>
      <c r="C416" s="7"/>
      <c r="D416" s="7"/>
      <c r="E416" s="71"/>
      <c r="F416" s="7"/>
      <c r="G416" s="7"/>
      <c r="H416" s="7"/>
      <c r="I416" s="145"/>
      <c r="J416" s="7"/>
      <c r="K416" s="7"/>
      <c r="L416" s="7"/>
      <c r="M416" s="7"/>
      <c r="N416" s="7"/>
      <c r="O416" s="7"/>
      <c r="P416" s="7"/>
      <c r="Q416" s="7"/>
      <c r="R416" s="146"/>
      <c r="S416" s="146"/>
      <c r="T416" s="7"/>
      <c r="U416" s="7"/>
    </row>
    <row r="417" customFormat="false" ht="18" hidden="false" customHeight="true" outlineLevel="0" collapsed="false">
      <c r="B417" s="87"/>
      <c r="C417" s="87"/>
      <c r="D417" s="87"/>
      <c r="E417" s="142"/>
      <c r="F417" s="87"/>
      <c r="G417" s="87"/>
      <c r="H417" s="87"/>
      <c r="I417" s="143"/>
      <c r="J417" s="87"/>
      <c r="K417" s="87"/>
      <c r="L417" s="87"/>
      <c r="M417" s="87"/>
      <c r="N417" s="87"/>
      <c r="O417" s="87"/>
      <c r="P417" s="87"/>
      <c r="Q417" s="87"/>
      <c r="R417" s="144"/>
      <c r="S417" s="144"/>
      <c r="T417" s="87"/>
      <c r="U417" s="87"/>
    </row>
    <row r="418" customFormat="false" ht="18" hidden="false" customHeight="true" outlineLevel="0" collapsed="false">
      <c r="B418" s="7"/>
      <c r="C418" s="7"/>
      <c r="D418" s="7"/>
      <c r="E418" s="71"/>
      <c r="F418" s="7"/>
      <c r="G418" s="7"/>
      <c r="H418" s="7"/>
      <c r="I418" s="145"/>
      <c r="J418" s="7"/>
      <c r="K418" s="7"/>
      <c r="L418" s="7"/>
      <c r="M418" s="7"/>
      <c r="N418" s="7"/>
      <c r="O418" s="7"/>
      <c r="P418" s="7"/>
      <c r="Q418" s="7"/>
      <c r="R418" s="146"/>
      <c r="S418" s="146"/>
      <c r="T418" s="7"/>
      <c r="U418" s="7"/>
    </row>
    <row r="419" customFormat="false" ht="18" hidden="false" customHeight="true" outlineLevel="0" collapsed="false">
      <c r="B419" s="87"/>
      <c r="C419" s="87"/>
      <c r="D419" s="87"/>
      <c r="E419" s="142"/>
      <c r="F419" s="87"/>
      <c r="G419" s="87"/>
      <c r="H419" s="87"/>
      <c r="I419" s="143"/>
      <c r="J419" s="87"/>
      <c r="K419" s="87"/>
      <c r="L419" s="87"/>
      <c r="M419" s="87"/>
      <c r="N419" s="87"/>
      <c r="O419" s="87"/>
      <c r="P419" s="87"/>
      <c r="Q419" s="87"/>
      <c r="R419" s="144"/>
      <c r="S419" s="144"/>
      <c r="T419" s="87"/>
      <c r="U419" s="87"/>
    </row>
    <row r="420" customFormat="false" ht="18" hidden="false" customHeight="true" outlineLevel="0" collapsed="false">
      <c r="B420" s="7"/>
      <c r="C420" s="7"/>
      <c r="D420" s="7"/>
      <c r="E420" s="71"/>
      <c r="F420" s="7"/>
      <c r="G420" s="7"/>
      <c r="H420" s="7"/>
      <c r="I420" s="145"/>
      <c r="J420" s="7"/>
      <c r="K420" s="7"/>
      <c r="L420" s="7"/>
      <c r="M420" s="7"/>
      <c r="N420" s="7"/>
      <c r="O420" s="7"/>
      <c r="P420" s="7"/>
      <c r="Q420" s="7"/>
      <c r="R420" s="146"/>
      <c r="S420" s="146"/>
      <c r="T420" s="7"/>
      <c r="U420" s="7"/>
    </row>
    <row r="421" customFormat="false" ht="18" hidden="false" customHeight="true" outlineLevel="0" collapsed="false">
      <c r="B421" s="87"/>
      <c r="C421" s="87"/>
      <c r="D421" s="87"/>
      <c r="E421" s="142"/>
      <c r="F421" s="87"/>
      <c r="G421" s="87"/>
      <c r="H421" s="87"/>
      <c r="I421" s="143"/>
      <c r="J421" s="87"/>
      <c r="K421" s="87"/>
      <c r="L421" s="87"/>
      <c r="M421" s="87"/>
      <c r="N421" s="87"/>
      <c r="O421" s="87"/>
      <c r="P421" s="87"/>
      <c r="Q421" s="87"/>
      <c r="R421" s="144"/>
      <c r="S421" s="144"/>
      <c r="T421" s="87"/>
      <c r="U421" s="87"/>
    </row>
    <row r="422" customFormat="false" ht="18" hidden="false" customHeight="true" outlineLevel="0" collapsed="false">
      <c r="B422" s="7"/>
      <c r="C422" s="7"/>
      <c r="D422" s="7"/>
      <c r="E422" s="71"/>
      <c r="F422" s="7"/>
      <c r="G422" s="7"/>
      <c r="H422" s="7"/>
      <c r="I422" s="145"/>
      <c r="J422" s="7"/>
      <c r="K422" s="7"/>
      <c r="L422" s="7"/>
      <c r="M422" s="7"/>
      <c r="N422" s="7"/>
      <c r="O422" s="7"/>
      <c r="P422" s="7"/>
      <c r="Q422" s="7"/>
      <c r="R422" s="146"/>
      <c r="S422" s="146"/>
      <c r="T422" s="7"/>
      <c r="U422" s="7"/>
    </row>
    <row r="423" customFormat="false" ht="18" hidden="false" customHeight="true" outlineLevel="0" collapsed="false">
      <c r="B423" s="87"/>
      <c r="C423" s="87"/>
      <c r="D423" s="87"/>
      <c r="E423" s="142"/>
      <c r="F423" s="87"/>
      <c r="G423" s="87"/>
      <c r="H423" s="87"/>
      <c r="I423" s="143"/>
      <c r="J423" s="87"/>
      <c r="K423" s="87"/>
      <c r="L423" s="87"/>
      <c r="M423" s="87"/>
      <c r="N423" s="87"/>
      <c r="O423" s="87"/>
      <c r="P423" s="87"/>
      <c r="Q423" s="87"/>
      <c r="R423" s="144"/>
      <c r="S423" s="144"/>
      <c r="T423" s="87"/>
      <c r="U423" s="87"/>
    </row>
    <row r="424" customFormat="false" ht="18" hidden="false" customHeight="true" outlineLevel="0" collapsed="false">
      <c r="B424" s="7"/>
      <c r="C424" s="7"/>
      <c r="D424" s="7"/>
      <c r="E424" s="71"/>
      <c r="F424" s="7"/>
      <c r="G424" s="7"/>
      <c r="H424" s="7"/>
      <c r="I424" s="145"/>
      <c r="J424" s="7"/>
      <c r="K424" s="7"/>
      <c r="L424" s="7"/>
      <c r="M424" s="7"/>
      <c r="N424" s="7"/>
      <c r="O424" s="7"/>
      <c r="P424" s="7"/>
      <c r="Q424" s="7"/>
      <c r="R424" s="146"/>
      <c r="S424" s="146"/>
      <c r="T424" s="7"/>
      <c r="U424" s="7"/>
    </row>
    <row r="425" customFormat="false" ht="18" hidden="false" customHeight="true" outlineLevel="0" collapsed="false">
      <c r="B425" s="87"/>
      <c r="C425" s="87"/>
      <c r="D425" s="87"/>
      <c r="E425" s="142"/>
      <c r="F425" s="87"/>
      <c r="G425" s="87"/>
      <c r="H425" s="87"/>
      <c r="I425" s="143"/>
      <c r="J425" s="87"/>
      <c r="K425" s="87"/>
      <c r="L425" s="87"/>
      <c r="M425" s="87"/>
      <c r="N425" s="87"/>
      <c r="O425" s="87"/>
      <c r="P425" s="87"/>
      <c r="Q425" s="87"/>
      <c r="R425" s="144"/>
      <c r="S425" s="144"/>
      <c r="T425" s="87"/>
      <c r="U425" s="87"/>
    </row>
    <row r="426" customFormat="false" ht="18" hidden="false" customHeight="true" outlineLevel="0" collapsed="false">
      <c r="B426" s="7"/>
      <c r="C426" s="7"/>
      <c r="D426" s="7"/>
      <c r="E426" s="71"/>
      <c r="F426" s="7"/>
      <c r="G426" s="7"/>
      <c r="H426" s="7"/>
      <c r="I426" s="145"/>
      <c r="J426" s="7"/>
      <c r="K426" s="7"/>
      <c r="L426" s="7"/>
      <c r="M426" s="7"/>
      <c r="N426" s="7"/>
      <c r="O426" s="7"/>
      <c r="P426" s="7"/>
      <c r="Q426" s="7"/>
      <c r="R426" s="146"/>
      <c r="S426" s="146"/>
      <c r="T426" s="7"/>
      <c r="U426" s="7"/>
    </row>
    <row r="427" customFormat="false" ht="18" hidden="false" customHeight="true" outlineLevel="0" collapsed="false">
      <c r="B427" s="87"/>
      <c r="C427" s="87"/>
      <c r="D427" s="87"/>
      <c r="E427" s="142"/>
      <c r="F427" s="87"/>
      <c r="G427" s="87"/>
      <c r="H427" s="87"/>
      <c r="I427" s="143"/>
      <c r="J427" s="87"/>
      <c r="K427" s="87"/>
      <c r="L427" s="87"/>
      <c r="M427" s="87"/>
      <c r="N427" s="87"/>
      <c r="O427" s="87"/>
      <c r="P427" s="87"/>
      <c r="Q427" s="87"/>
      <c r="R427" s="144"/>
      <c r="S427" s="144"/>
      <c r="T427" s="87"/>
      <c r="U427" s="87"/>
    </row>
    <row r="428" customFormat="false" ht="18" hidden="false" customHeight="true" outlineLevel="0" collapsed="false">
      <c r="B428" s="7"/>
      <c r="C428" s="7"/>
      <c r="D428" s="7"/>
      <c r="E428" s="71"/>
      <c r="F428" s="7"/>
      <c r="G428" s="7"/>
      <c r="H428" s="7"/>
      <c r="I428" s="145"/>
      <c r="J428" s="7"/>
      <c r="K428" s="7"/>
      <c r="L428" s="7"/>
      <c r="M428" s="7"/>
      <c r="N428" s="7"/>
      <c r="O428" s="7"/>
      <c r="P428" s="7"/>
      <c r="Q428" s="7"/>
      <c r="R428" s="146"/>
      <c r="S428" s="146"/>
      <c r="T428" s="7"/>
      <c r="U428" s="7"/>
    </row>
    <row r="429" customFormat="false" ht="18" hidden="false" customHeight="true" outlineLevel="0" collapsed="false">
      <c r="B429" s="87"/>
      <c r="C429" s="87"/>
      <c r="D429" s="87"/>
      <c r="E429" s="142"/>
      <c r="F429" s="87"/>
      <c r="G429" s="87"/>
      <c r="H429" s="87"/>
      <c r="I429" s="143"/>
      <c r="J429" s="87"/>
      <c r="K429" s="87"/>
      <c r="L429" s="87"/>
      <c r="M429" s="87"/>
      <c r="N429" s="87"/>
      <c r="O429" s="87"/>
      <c r="P429" s="87"/>
      <c r="Q429" s="87"/>
      <c r="R429" s="144"/>
      <c r="S429" s="144"/>
      <c r="T429" s="87"/>
      <c r="U429" s="87"/>
    </row>
    <row r="430" customFormat="false" ht="18" hidden="false" customHeight="true" outlineLevel="0" collapsed="false">
      <c r="B430" s="7"/>
      <c r="C430" s="7"/>
      <c r="D430" s="7"/>
      <c r="E430" s="71"/>
      <c r="F430" s="7"/>
      <c r="G430" s="7"/>
      <c r="H430" s="7"/>
      <c r="I430" s="145"/>
      <c r="J430" s="7"/>
      <c r="K430" s="7"/>
      <c r="L430" s="7"/>
      <c r="M430" s="7"/>
      <c r="N430" s="7"/>
      <c r="O430" s="7"/>
      <c r="P430" s="7"/>
      <c r="Q430" s="7"/>
      <c r="R430" s="146"/>
      <c r="S430" s="146"/>
      <c r="T430" s="7"/>
      <c r="U430" s="7"/>
    </row>
    <row r="431" customFormat="false" ht="18" hidden="false" customHeight="true" outlineLevel="0" collapsed="false">
      <c r="B431" s="87"/>
      <c r="C431" s="87"/>
      <c r="D431" s="87"/>
      <c r="E431" s="142"/>
      <c r="F431" s="87"/>
      <c r="G431" s="87"/>
      <c r="H431" s="87"/>
      <c r="I431" s="143"/>
      <c r="J431" s="87"/>
      <c r="K431" s="87"/>
      <c r="L431" s="87"/>
      <c r="M431" s="87"/>
      <c r="N431" s="87"/>
      <c r="O431" s="87"/>
      <c r="P431" s="87"/>
      <c r="Q431" s="87"/>
      <c r="R431" s="144"/>
      <c r="S431" s="144"/>
      <c r="T431" s="87"/>
      <c r="U431" s="87"/>
    </row>
    <row r="432" customFormat="false" ht="18" hidden="false" customHeight="true" outlineLevel="0" collapsed="false">
      <c r="B432" s="7"/>
      <c r="C432" s="7"/>
      <c r="D432" s="7"/>
      <c r="E432" s="71"/>
      <c r="F432" s="7"/>
      <c r="G432" s="7"/>
      <c r="H432" s="7"/>
      <c r="I432" s="145"/>
      <c r="J432" s="7"/>
      <c r="K432" s="7"/>
      <c r="L432" s="7"/>
      <c r="M432" s="7"/>
      <c r="N432" s="7"/>
      <c r="O432" s="7"/>
      <c r="P432" s="7"/>
      <c r="Q432" s="7"/>
      <c r="R432" s="146"/>
      <c r="S432" s="146"/>
      <c r="T432" s="7"/>
      <c r="U432" s="7"/>
    </row>
    <row r="433" customFormat="false" ht="18" hidden="false" customHeight="true" outlineLevel="0" collapsed="false">
      <c r="B433" s="87"/>
      <c r="C433" s="87"/>
      <c r="D433" s="87"/>
      <c r="E433" s="142"/>
      <c r="F433" s="87"/>
      <c r="G433" s="87"/>
      <c r="H433" s="87"/>
      <c r="I433" s="143"/>
      <c r="J433" s="87"/>
      <c r="K433" s="87"/>
      <c r="L433" s="87"/>
      <c r="M433" s="87"/>
      <c r="N433" s="87"/>
      <c r="O433" s="87"/>
      <c r="P433" s="87"/>
      <c r="Q433" s="87"/>
      <c r="R433" s="144"/>
      <c r="S433" s="144"/>
      <c r="T433" s="87"/>
      <c r="U433" s="87"/>
    </row>
    <row r="434" customFormat="false" ht="18" hidden="false" customHeight="true" outlineLevel="0" collapsed="false">
      <c r="B434" s="7"/>
      <c r="C434" s="7"/>
      <c r="D434" s="7"/>
      <c r="E434" s="71"/>
      <c r="F434" s="7"/>
      <c r="G434" s="7"/>
      <c r="H434" s="7"/>
      <c r="I434" s="145"/>
      <c r="J434" s="7"/>
      <c r="K434" s="7"/>
      <c r="L434" s="7"/>
      <c r="M434" s="7"/>
      <c r="N434" s="7"/>
      <c r="O434" s="7"/>
      <c r="P434" s="7"/>
      <c r="Q434" s="7"/>
      <c r="R434" s="146"/>
      <c r="S434" s="146"/>
      <c r="T434" s="7"/>
      <c r="U434" s="7"/>
    </row>
    <row r="435" customFormat="false" ht="18" hidden="false" customHeight="true" outlineLevel="0" collapsed="false">
      <c r="B435" s="87"/>
      <c r="C435" s="87"/>
      <c r="D435" s="87"/>
      <c r="E435" s="142"/>
      <c r="F435" s="87"/>
      <c r="G435" s="87"/>
      <c r="H435" s="87"/>
      <c r="I435" s="143"/>
      <c r="J435" s="87"/>
      <c r="K435" s="87"/>
      <c r="L435" s="87"/>
      <c r="M435" s="87"/>
      <c r="N435" s="87"/>
      <c r="O435" s="87"/>
      <c r="P435" s="87"/>
      <c r="Q435" s="87"/>
      <c r="R435" s="144"/>
      <c r="S435" s="144"/>
      <c r="T435" s="87"/>
      <c r="U435" s="87"/>
    </row>
    <row r="436" customFormat="false" ht="18" hidden="false" customHeight="true" outlineLevel="0" collapsed="false">
      <c r="B436" s="7"/>
      <c r="C436" s="7"/>
      <c r="D436" s="7"/>
      <c r="E436" s="71"/>
      <c r="F436" s="7"/>
      <c r="G436" s="7"/>
      <c r="H436" s="7"/>
      <c r="I436" s="145"/>
      <c r="J436" s="7"/>
      <c r="K436" s="7"/>
      <c r="L436" s="7"/>
      <c r="M436" s="7"/>
      <c r="N436" s="7"/>
      <c r="O436" s="7"/>
      <c r="P436" s="7"/>
      <c r="Q436" s="7"/>
      <c r="R436" s="146"/>
      <c r="S436" s="146"/>
      <c r="T436" s="7"/>
      <c r="U436" s="7"/>
    </row>
    <row r="437" customFormat="false" ht="18" hidden="false" customHeight="true" outlineLevel="0" collapsed="false">
      <c r="B437" s="87"/>
      <c r="C437" s="87"/>
      <c r="D437" s="87"/>
      <c r="E437" s="142"/>
      <c r="F437" s="87"/>
      <c r="G437" s="87"/>
      <c r="H437" s="87"/>
      <c r="I437" s="143"/>
      <c r="J437" s="87"/>
      <c r="K437" s="87"/>
      <c r="L437" s="87"/>
      <c r="M437" s="87"/>
      <c r="N437" s="87"/>
      <c r="O437" s="87"/>
      <c r="P437" s="87"/>
      <c r="Q437" s="87"/>
      <c r="R437" s="144"/>
      <c r="S437" s="144"/>
      <c r="T437" s="87"/>
      <c r="U437" s="87"/>
    </row>
    <row r="438" customFormat="false" ht="18" hidden="false" customHeight="true" outlineLevel="0" collapsed="false">
      <c r="B438" s="7"/>
      <c r="C438" s="7"/>
      <c r="D438" s="7"/>
      <c r="E438" s="71"/>
      <c r="F438" s="7"/>
      <c r="G438" s="7"/>
      <c r="H438" s="7"/>
      <c r="I438" s="145"/>
      <c r="J438" s="7"/>
      <c r="K438" s="7"/>
      <c r="L438" s="7"/>
      <c r="M438" s="7"/>
      <c r="N438" s="7"/>
      <c r="O438" s="7"/>
      <c r="P438" s="7"/>
      <c r="Q438" s="7"/>
      <c r="R438" s="146"/>
      <c r="S438" s="146"/>
      <c r="T438" s="7"/>
      <c r="U438" s="7"/>
    </row>
    <row r="439" customFormat="false" ht="18" hidden="false" customHeight="true" outlineLevel="0" collapsed="false">
      <c r="B439" s="87"/>
      <c r="C439" s="87"/>
      <c r="D439" s="87"/>
      <c r="E439" s="142"/>
      <c r="F439" s="87"/>
      <c r="G439" s="87"/>
      <c r="H439" s="87"/>
      <c r="I439" s="143"/>
      <c r="J439" s="87"/>
      <c r="K439" s="87"/>
      <c r="L439" s="87"/>
      <c r="M439" s="87"/>
      <c r="N439" s="87"/>
      <c r="O439" s="87"/>
      <c r="P439" s="87"/>
      <c r="Q439" s="87"/>
      <c r="R439" s="144"/>
      <c r="S439" s="144"/>
      <c r="T439" s="87"/>
      <c r="U439" s="87"/>
    </row>
    <row r="440" customFormat="false" ht="18" hidden="false" customHeight="true" outlineLevel="0" collapsed="false">
      <c r="B440" s="7"/>
      <c r="C440" s="7"/>
      <c r="D440" s="7"/>
      <c r="E440" s="71"/>
      <c r="F440" s="7"/>
      <c r="G440" s="7"/>
      <c r="H440" s="7"/>
      <c r="I440" s="145"/>
      <c r="J440" s="7"/>
      <c r="K440" s="7"/>
      <c r="L440" s="7"/>
      <c r="M440" s="7"/>
      <c r="N440" s="7"/>
      <c r="O440" s="7"/>
      <c r="P440" s="7"/>
      <c r="Q440" s="7"/>
      <c r="R440" s="146"/>
      <c r="S440" s="146"/>
      <c r="T440" s="7"/>
      <c r="U440" s="7"/>
    </row>
    <row r="441" customFormat="false" ht="18" hidden="false" customHeight="true" outlineLevel="0" collapsed="false">
      <c r="B441" s="87"/>
      <c r="C441" s="87"/>
      <c r="D441" s="87"/>
      <c r="E441" s="142"/>
      <c r="F441" s="87"/>
      <c r="G441" s="87"/>
      <c r="H441" s="87"/>
      <c r="I441" s="143"/>
      <c r="J441" s="87"/>
      <c r="K441" s="87"/>
      <c r="L441" s="87"/>
      <c r="M441" s="87"/>
      <c r="N441" s="87"/>
      <c r="O441" s="87"/>
      <c r="P441" s="87"/>
      <c r="Q441" s="87"/>
      <c r="R441" s="144"/>
      <c r="S441" s="144"/>
      <c r="T441" s="87"/>
      <c r="U441" s="87"/>
    </row>
    <row r="442" customFormat="false" ht="18" hidden="false" customHeight="true" outlineLevel="0" collapsed="false">
      <c r="B442" s="7"/>
      <c r="C442" s="7"/>
      <c r="D442" s="7"/>
      <c r="E442" s="71"/>
      <c r="F442" s="7"/>
      <c r="G442" s="7"/>
      <c r="H442" s="7"/>
      <c r="I442" s="145"/>
      <c r="J442" s="7"/>
      <c r="K442" s="7"/>
      <c r="L442" s="7"/>
      <c r="M442" s="7"/>
      <c r="N442" s="7"/>
      <c r="O442" s="7"/>
      <c r="P442" s="7"/>
      <c r="Q442" s="7"/>
      <c r="R442" s="146"/>
      <c r="S442" s="146"/>
      <c r="T442" s="7"/>
      <c r="U442" s="7"/>
    </row>
    <row r="443" customFormat="false" ht="18" hidden="false" customHeight="true" outlineLevel="0" collapsed="false">
      <c r="B443" s="87"/>
      <c r="C443" s="87"/>
      <c r="D443" s="87"/>
      <c r="E443" s="142"/>
      <c r="F443" s="87"/>
      <c r="G443" s="87"/>
      <c r="H443" s="87"/>
      <c r="I443" s="143"/>
      <c r="J443" s="87"/>
      <c r="K443" s="87"/>
      <c r="L443" s="87"/>
      <c r="M443" s="87"/>
      <c r="N443" s="87"/>
      <c r="O443" s="87"/>
      <c r="P443" s="87"/>
      <c r="Q443" s="87"/>
      <c r="R443" s="144"/>
      <c r="S443" s="144"/>
      <c r="T443" s="87"/>
      <c r="U443" s="87"/>
    </row>
    <row r="444" customFormat="false" ht="18" hidden="false" customHeight="true" outlineLevel="0" collapsed="false">
      <c r="B444" s="7"/>
      <c r="C444" s="7"/>
      <c r="D444" s="7"/>
      <c r="E444" s="71"/>
      <c r="F444" s="7"/>
      <c r="G444" s="7"/>
      <c r="H444" s="7"/>
      <c r="I444" s="145"/>
      <c r="J444" s="7"/>
      <c r="K444" s="7"/>
      <c r="L444" s="7"/>
      <c r="M444" s="7"/>
      <c r="N444" s="7"/>
      <c r="O444" s="7"/>
      <c r="P444" s="7"/>
      <c r="Q444" s="7"/>
      <c r="R444" s="146"/>
      <c r="S444" s="146"/>
      <c r="T444" s="7"/>
      <c r="U444" s="7"/>
    </row>
    <row r="445" customFormat="false" ht="18" hidden="false" customHeight="true" outlineLevel="0" collapsed="false">
      <c r="B445" s="87"/>
      <c r="C445" s="87"/>
      <c r="D445" s="87"/>
      <c r="E445" s="142"/>
      <c r="F445" s="87"/>
      <c r="G445" s="87"/>
      <c r="H445" s="87"/>
      <c r="I445" s="143"/>
      <c r="J445" s="87"/>
      <c r="K445" s="87"/>
      <c r="L445" s="87"/>
      <c r="M445" s="87"/>
      <c r="N445" s="87"/>
      <c r="O445" s="87"/>
      <c r="P445" s="87"/>
      <c r="Q445" s="87"/>
      <c r="R445" s="144"/>
      <c r="S445" s="144"/>
      <c r="T445" s="87"/>
      <c r="U445" s="87"/>
    </row>
    <row r="446" customFormat="false" ht="18" hidden="false" customHeight="true" outlineLevel="0" collapsed="false">
      <c r="B446" s="7"/>
      <c r="C446" s="7"/>
      <c r="D446" s="7"/>
      <c r="E446" s="71"/>
      <c r="F446" s="7"/>
      <c r="G446" s="7"/>
      <c r="H446" s="7"/>
      <c r="I446" s="145"/>
      <c r="J446" s="7"/>
      <c r="K446" s="7"/>
      <c r="L446" s="7"/>
      <c r="M446" s="7"/>
      <c r="N446" s="7"/>
      <c r="O446" s="7"/>
      <c r="P446" s="7"/>
      <c r="Q446" s="7"/>
      <c r="R446" s="146"/>
      <c r="S446" s="146"/>
      <c r="T446" s="7"/>
      <c r="U446" s="7"/>
    </row>
    <row r="447" customFormat="false" ht="18" hidden="false" customHeight="true" outlineLevel="0" collapsed="false">
      <c r="B447" s="87"/>
      <c r="C447" s="87"/>
      <c r="D447" s="87"/>
      <c r="E447" s="142"/>
      <c r="F447" s="87"/>
      <c r="G447" s="87"/>
      <c r="H447" s="87"/>
      <c r="I447" s="143"/>
      <c r="J447" s="87"/>
      <c r="K447" s="87"/>
      <c r="L447" s="87"/>
      <c r="M447" s="87"/>
      <c r="N447" s="87"/>
      <c r="O447" s="87"/>
      <c r="P447" s="87"/>
      <c r="Q447" s="87"/>
      <c r="R447" s="144"/>
      <c r="S447" s="144"/>
      <c r="T447" s="87"/>
      <c r="U447" s="87"/>
    </row>
    <row r="448" customFormat="false" ht="18" hidden="false" customHeight="true" outlineLevel="0" collapsed="false">
      <c r="B448" s="7"/>
      <c r="C448" s="7"/>
      <c r="D448" s="7"/>
      <c r="E448" s="71"/>
      <c r="F448" s="7"/>
      <c r="G448" s="7"/>
      <c r="H448" s="7"/>
      <c r="I448" s="145"/>
      <c r="J448" s="7"/>
      <c r="K448" s="7"/>
      <c r="L448" s="7"/>
      <c r="M448" s="7"/>
      <c r="N448" s="7"/>
      <c r="O448" s="7"/>
      <c r="P448" s="7"/>
      <c r="Q448" s="7"/>
      <c r="R448" s="146"/>
      <c r="S448" s="146"/>
      <c r="T448" s="7"/>
      <c r="U448" s="7"/>
    </row>
    <row r="449" customFormat="false" ht="18" hidden="false" customHeight="true" outlineLevel="0" collapsed="false">
      <c r="B449" s="87"/>
      <c r="C449" s="87"/>
      <c r="D449" s="87"/>
      <c r="E449" s="142"/>
      <c r="F449" s="87"/>
      <c r="G449" s="87"/>
      <c r="H449" s="87"/>
      <c r="I449" s="143"/>
      <c r="J449" s="87"/>
      <c r="K449" s="87"/>
      <c r="L449" s="87"/>
      <c r="M449" s="87"/>
      <c r="N449" s="87"/>
      <c r="O449" s="87"/>
      <c r="P449" s="87"/>
      <c r="Q449" s="87"/>
      <c r="R449" s="144"/>
      <c r="S449" s="144"/>
      <c r="T449" s="87"/>
      <c r="U449" s="87"/>
    </row>
    <row r="450" customFormat="false" ht="18" hidden="false" customHeight="true" outlineLevel="0" collapsed="false">
      <c r="B450" s="7"/>
      <c r="C450" s="7"/>
      <c r="D450" s="7"/>
      <c r="E450" s="71"/>
      <c r="F450" s="7"/>
      <c r="G450" s="7"/>
      <c r="H450" s="7"/>
      <c r="I450" s="145"/>
      <c r="J450" s="7"/>
      <c r="K450" s="7"/>
      <c r="L450" s="7"/>
      <c r="M450" s="7"/>
      <c r="N450" s="7"/>
      <c r="O450" s="7"/>
      <c r="P450" s="7"/>
      <c r="Q450" s="7"/>
      <c r="R450" s="146"/>
      <c r="S450" s="146"/>
      <c r="T450" s="7"/>
      <c r="U450" s="7"/>
    </row>
    <row r="451" customFormat="false" ht="18" hidden="false" customHeight="true" outlineLevel="0" collapsed="false">
      <c r="B451" s="87"/>
      <c r="C451" s="87"/>
      <c r="D451" s="87"/>
      <c r="E451" s="142"/>
      <c r="F451" s="87"/>
      <c r="G451" s="87"/>
      <c r="H451" s="87"/>
      <c r="I451" s="143"/>
      <c r="J451" s="87"/>
      <c r="K451" s="87"/>
      <c r="L451" s="87"/>
      <c r="M451" s="87"/>
      <c r="N451" s="87"/>
      <c r="O451" s="87"/>
      <c r="P451" s="87"/>
      <c r="Q451" s="87"/>
      <c r="R451" s="144"/>
      <c r="S451" s="144"/>
      <c r="T451" s="87"/>
      <c r="U451" s="87"/>
    </row>
    <row r="452" customFormat="false" ht="18" hidden="false" customHeight="true" outlineLevel="0" collapsed="false">
      <c r="B452" s="7"/>
      <c r="C452" s="7"/>
      <c r="D452" s="7"/>
      <c r="E452" s="71"/>
      <c r="F452" s="7"/>
      <c r="G452" s="7"/>
      <c r="H452" s="7"/>
      <c r="I452" s="145"/>
      <c r="J452" s="7"/>
      <c r="K452" s="7"/>
      <c r="L452" s="7"/>
      <c r="M452" s="7"/>
      <c r="N452" s="7"/>
      <c r="O452" s="7"/>
      <c r="P452" s="7"/>
      <c r="Q452" s="7"/>
      <c r="R452" s="146"/>
      <c r="S452" s="146"/>
      <c r="T452" s="7"/>
      <c r="U452" s="7"/>
    </row>
    <row r="453" customFormat="false" ht="18" hidden="false" customHeight="true" outlineLevel="0" collapsed="false">
      <c r="B453" s="87"/>
      <c r="C453" s="87"/>
      <c r="D453" s="87"/>
      <c r="E453" s="142"/>
      <c r="F453" s="87"/>
      <c r="G453" s="87"/>
      <c r="H453" s="87"/>
      <c r="I453" s="143"/>
      <c r="J453" s="87"/>
      <c r="K453" s="87"/>
      <c r="L453" s="87"/>
      <c r="M453" s="87"/>
      <c r="N453" s="87"/>
      <c r="O453" s="87"/>
      <c r="P453" s="87"/>
      <c r="Q453" s="87"/>
      <c r="R453" s="144"/>
      <c r="S453" s="144"/>
      <c r="T453" s="87"/>
      <c r="U453" s="87"/>
    </row>
    <row r="454" customFormat="false" ht="18" hidden="false" customHeight="true" outlineLevel="0" collapsed="false">
      <c r="B454" s="7"/>
      <c r="C454" s="7"/>
      <c r="D454" s="7"/>
      <c r="E454" s="71"/>
      <c r="F454" s="7"/>
      <c r="G454" s="7"/>
      <c r="H454" s="7"/>
      <c r="I454" s="145"/>
      <c r="J454" s="7"/>
      <c r="K454" s="7"/>
      <c r="L454" s="7"/>
      <c r="M454" s="7"/>
      <c r="N454" s="7"/>
      <c r="O454" s="7"/>
      <c r="P454" s="7"/>
      <c r="Q454" s="7"/>
      <c r="R454" s="146"/>
      <c r="S454" s="146"/>
      <c r="T454" s="7"/>
      <c r="U454" s="7"/>
    </row>
    <row r="455" customFormat="false" ht="18" hidden="false" customHeight="true" outlineLevel="0" collapsed="false">
      <c r="B455" s="87"/>
      <c r="C455" s="87"/>
      <c r="D455" s="87"/>
      <c r="E455" s="142"/>
      <c r="F455" s="87"/>
      <c r="G455" s="87"/>
      <c r="H455" s="87"/>
      <c r="I455" s="143"/>
      <c r="J455" s="87"/>
      <c r="K455" s="87"/>
      <c r="L455" s="87"/>
      <c r="M455" s="87"/>
      <c r="N455" s="87"/>
      <c r="O455" s="87"/>
      <c r="P455" s="87"/>
      <c r="Q455" s="87"/>
      <c r="R455" s="144"/>
      <c r="S455" s="144"/>
      <c r="T455" s="87"/>
      <c r="U455" s="87"/>
    </row>
    <row r="456" customFormat="false" ht="18" hidden="false" customHeight="true" outlineLevel="0" collapsed="false">
      <c r="B456" s="7"/>
      <c r="C456" s="7"/>
      <c r="D456" s="7"/>
      <c r="E456" s="71"/>
      <c r="F456" s="7"/>
      <c r="G456" s="7"/>
      <c r="H456" s="7"/>
      <c r="I456" s="145"/>
      <c r="J456" s="7"/>
      <c r="K456" s="7"/>
      <c r="L456" s="7"/>
      <c r="M456" s="7"/>
      <c r="N456" s="7"/>
      <c r="O456" s="7"/>
      <c r="P456" s="7"/>
      <c r="Q456" s="7"/>
      <c r="R456" s="146"/>
      <c r="S456" s="146"/>
      <c r="T456" s="7"/>
      <c r="U456" s="7"/>
    </row>
    <row r="457" customFormat="false" ht="18" hidden="false" customHeight="true" outlineLevel="0" collapsed="false">
      <c r="B457" s="87"/>
      <c r="C457" s="87"/>
      <c r="D457" s="87"/>
      <c r="E457" s="142"/>
      <c r="F457" s="87"/>
      <c r="G457" s="87"/>
      <c r="H457" s="87"/>
      <c r="I457" s="143"/>
      <c r="J457" s="87"/>
      <c r="K457" s="87"/>
      <c r="L457" s="87"/>
      <c r="M457" s="87"/>
      <c r="N457" s="87"/>
      <c r="O457" s="87"/>
      <c r="P457" s="87"/>
      <c r="Q457" s="87"/>
      <c r="R457" s="144"/>
      <c r="S457" s="144"/>
      <c r="T457" s="87"/>
      <c r="U457" s="87"/>
    </row>
    <row r="458" customFormat="false" ht="18" hidden="false" customHeight="true" outlineLevel="0" collapsed="false">
      <c r="B458" s="7"/>
      <c r="C458" s="7"/>
      <c r="D458" s="7"/>
      <c r="E458" s="71"/>
      <c r="F458" s="7"/>
      <c r="G458" s="7"/>
      <c r="H458" s="7"/>
      <c r="I458" s="145"/>
      <c r="J458" s="7"/>
      <c r="K458" s="7"/>
      <c r="L458" s="7"/>
      <c r="M458" s="7"/>
      <c r="N458" s="7"/>
      <c r="O458" s="7"/>
      <c r="P458" s="7"/>
      <c r="Q458" s="7"/>
      <c r="R458" s="146"/>
      <c r="S458" s="146"/>
      <c r="T458" s="7"/>
      <c r="U458" s="7"/>
    </row>
    <row r="459" customFormat="false" ht="18" hidden="false" customHeight="true" outlineLevel="0" collapsed="false">
      <c r="B459" s="87"/>
      <c r="C459" s="87"/>
      <c r="D459" s="87"/>
      <c r="E459" s="142"/>
      <c r="F459" s="87"/>
      <c r="G459" s="87"/>
      <c r="H459" s="87"/>
      <c r="I459" s="143"/>
      <c r="J459" s="87"/>
      <c r="K459" s="87"/>
      <c r="L459" s="87"/>
      <c r="M459" s="87"/>
      <c r="N459" s="87"/>
      <c r="O459" s="87"/>
      <c r="P459" s="87"/>
      <c r="Q459" s="87"/>
      <c r="R459" s="144"/>
      <c r="S459" s="144"/>
      <c r="T459" s="87"/>
      <c r="U459" s="87"/>
    </row>
    <row r="460" customFormat="false" ht="18" hidden="false" customHeight="true" outlineLevel="0" collapsed="false">
      <c r="B460" s="7"/>
      <c r="C460" s="7"/>
      <c r="D460" s="7"/>
      <c r="E460" s="71"/>
      <c r="F460" s="7"/>
      <c r="G460" s="7"/>
      <c r="H460" s="7"/>
      <c r="I460" s="145"/>
      <c r="J460" s="7"/>
      <c r="K460" s="7"/>
      <c r="L460" s="7"/>
      <c r="M460" s="7"/>
      <c r="N460" s="7"/>
      <c r="O460" s="7"/>
      <c r="P460" s="7"/>
      <c r="Q460" s="7"/>
      <c r="R460" s="146"/>
      <c r="S460" s="146"/>
      <c r="T460" s="7"/>
      <c r="U460" s="7"/>
    </row>
    <row r="461" customFormat="false" ht="18" hidden="false" customHeight="true" outlineLevel="0" collapsed="false">
      <c r="B461" s="87"/>
      <c r="C461" s="87"/>
      <c r="D461" s="87"/>
      <c r="E461" s="142"/>
      <c r="F461" s="87"/>
      <c r="G461" s="87"/>
      <c r="H461" s="87"/>
      <c r="I461" s="143"/>
      <c r="J461" s="87"/>
      <c r="K461" s="87"/>
      <c r="L461" s="87"/>
      <c r="M461" s="87"/>
      <c r="N461" s="87"/>
      <c r="O461" s="87"/>
      <c r="P461" s="87"/>
      <c r="Q461" s="87"/>
      <c r="R461" s="144"/>
      <c r="S461" s="144"/>
      <c r="T461" s="87"/>
      <c r="U461" s="87"/>
    </row>
    <row r="462" customFormat="false" ht="18" hidden="false" customHeight="true" outlineLevel="0" collapsed="false">
      <c r="B462" s="7"/>
      <c r="C462" s="7"/>
      <c r="D462" s="7"/>
      <c r="E462" s="71"/>
      <c r="F462" s="7"/>
      <c r="G462" s="7"/>
      <c r="H462" s="7"/>
      <c r="I462" s="145"/>
      <c r="J462" s="7"/>
      <c r="K462" s="7"/>
      <c r="L462" s="7"/>
      <c r="M462" s="7"/>
      <c r="N462" s="7"/>
      <c r="O462" s="7"/>
      <c r="P462" s="7"/>
      <c r="Q462" s="7"/>
      <c r="R462" s="146"/>
      <c r="S462" s="146"/>
      <c r="T462" s="7"/>
      <c r="U462" s="7"/>
    </row>
    <row r="463" customFormat="false" ht="18" hidden="false" customHeight="true" outlineLevel="0" collapsed="false">
      <c r="B463" s="87"/>
      <c r="C463" s="87"/>
      <c r="D463" s="87"/>
      <c r="E463" s="142"/>
      <c r="F463" s="87"/>
      <c r="G463" s="87"/>
      <c r="H463" s="87"/>
      <c r="I463" s="143"/>
      <c r="J463" s="87"/>
      <c r="K463" s="87"/>
      <c r="L463" s="87"/>
      <c r="M463" s="87"/>
      <c r="N463" s="87"/>
      <c r="O463" s="87"/>
      <c r="P463" s="87"/>
      <c r="Q463" s="87"/>
      <c r="R463" s="144"/>
      <c r="S463" s="144"/>
      <c r="T463" s="87"/>
      <c r="U463" s="87"/>
    </row>
    <row r="464" customFormat="false" ht="18" hidden="false" customHeight="true" outlineLevel="0" collapsed="false">
      <c r="B464" s="7"/>
      <c r="C464" s="7"/>
      <c r="D464" s="7"/>
      <c r="E464" s="71"/>
      <c r="F464" s="7"/>
      <c r="G464" s="7"/>
      <c r="H464" s="7"/>
      <c r="I464" s="145"/>
      <c r="J464" s="7"/>
      <c r="K464" s="7"/>
      <c r="L464" s="7"/>
      <c r="M464" s="7"/>
      <c r="N464" s="7"/>
      <c r="O464" s="7"/>
      <c r="P464" s="7"/>
      <c r="Q464" s="7"/>
      <c r="R464" s="146"/>
      <c r="S464" s="146"/>
      <c r="T464" s="7"/>
      <c r="U464" s="7"/>
    </row>
    <row r="465" customFormat="false" ht="18" hidden="false" customHeight="true" outlineLevel="0" collapsed="false">
      <c r="B465" s="87"/>
      <c r="C465" s="87"/>
      <c r="D465" s="87"/>
      <c r="E465" s="142"/>
      <c r="F465" s="87"/>
      <c r="G465" s="87"/>
      <c r="H465" s="87"/>
      <c r="I465" s="143"/>
      <c r="J465" s="87"/>
      <c r="K465" s="87"/>
      <c r="L465" s="87"/>
      <c r="M465" s="87"/>
      <c r="N465" s="87"/>
      <c r="O465" s="87"/>
      <c r="P465" s="87"/>
      <c r="Q465" s="87"/>
      <c r="R465" s="144"/>
      <c r="S465" s="144"/>
      <c r="T465" s="87"/>
      <c r="U465" s="87"/>
    </row>
    <row r="466" customFormat="false" ht="18" hidden="false" customHeight="true" outlineLevel="0" collapsed="false">
      <c r="B466" s="7"/>
      <c r="C466" s="7"/>
      <c r="D466" s="7"/>
      <c r="E466" s="71"/>
      <c r="F466" s="7"/>
      <c r="G466" s="7"/>
      <c r="H466" s="7"/>
      <c r="I466" s="145"/>
      <c r="J466" s="7"/>
      <c r="K466" s="7"/>
      <c r="L466" s="7"/>
      <c r="M466" s="7"/>
      <c r="N466" s="7"/>
      <c r="O466" s="7"/>
      <c r="P466" s="7"/>
      <c r="Q466" s="7"/>
      <c r="R466" s="146"/>
      <c r="S466" s="146"/>
      <c r="T466" s="7"/>
      <c r="U466" s="7"/>
    </row>
    <row r="467" customFormat="false" ht="18" hidden="false" customHeight="true" outlineLevel="0" collapsed="false">
      <c r="B467" s="87"/>
      <c r="C467" s="87"/>
      <c r="D467" s="87"/>
      <c r="E467" s="142"/>
      <c r="F467" s="87"/>
      <c r="G467" s="87"/>
      <c r="H467" s="87"/>
      <c r="I467" s="143"/>
      <c r="J467" s="87"/>
      <c r="K467" s="87"/>
      <c r="L467" s="87"/>
      <c r="M467" s="87"/>
      <c r="N467" s="87"/>
      <c r="O467" s="87"/>
      <c r="P467" s="87"/>
      <c r="Q467" s="87"/>
      <c r="R467" s="144"/>
      <c r="S467" s="144"/>
      <c r="T467" s="87"/>
      <c r="U467" s="87"/>
    </row>
    <row r="468" customFormat="false" ht="18" hidden="false" customHeight="true" outlineLevel="0" collapsed="false">
      <c r="B468" s="7"/>
      <c r="C468" s="7"/>
      <c r="D468" s="7"/>
      <c r="E468" s="71"/>
      <c r="F468" s="7"/>
      <c r="G468" s="7"/>
      <c r="H468" s="7"/>
      <c r="I468" s="145"/>
      <c r="J468" s="7"/>
      <c r="K468" s="7"/>
      <c r="L468" s="7"/>
      <c r="M468" s="7"/>
      <c r="N468" s="7"/>
      <c r="O468" s="7"/>
      <c r="P468" s="7"/>
      <c r="Q468" s="7"/>
      <c r="R468" s="146"/>
      <c r="S468" s="146"/>
      <c r="T468" s="7"/>
      <c r="U468" s="7"/>
    </row>
    <row r="469" customFormat="false" ht="18" hidden="false" customHeight="true" outlineLevel="0" collapsed="false">
      <c r="B469" s="87"/>
      <c r="C469" s="87"/>
      <c r="D469" s="87"/>
      <c r="E469" s="142"/>
      <c r="F469" s="87"/>
      <c r="G469" s="87"/>
      <c r="H469" s="87"/>
      <c r="I469" s="143"/>
      <c r="J469" s="87"/>
      <c r="K469" s="87"/>
      <c r="L469" s="87"/>
      <c r="M469" s="87"/>
      <c r="N469" s="87"/>
      <c r="O469" s="87"/>
      <c r="P469" s="87"/>
      <c r="Q469" s="87"/>
      <c r="R469" s="144"/>
      <c r="S469" s="144"/>
      <c r="T469" s="87"/>
      <c r="U469" s="87"/>
    </row>
    <row r="470" customFormat="false" ht="18" hidden="false" customHeight="true" outlineLevel="0" collapsed="false">
      <c r="B470" s="7"/>
      <c r="C470" s="7"/>
      <c r="D470" s="7"/>
      <c r="E470" s="71"/>
      <c r="F470" s="7"/>
      <c r="G470" s="7"/>
      <c r="H470" s="7"/>
      <c r="I470" s="145"/>
      <c r="J470" s="7"/>
      <c r="K470" s="7"/>
      <c r="L470" s="7"/>
      <c r="M470" s="7"/>
      <c r="N470" s="7"/>
      <c r="O470" s="7"/>
      <c r="P470" s="7"/>
      <c r="Q470" s="7"/>
      <c r="R470" s="146"/>
      <c r="S470" s="146"/>
      <c r="T470" s="7"/>
      <c r="U470" s="7"/>
    </row>
    <row r="471" customFormat="false" ht="18" hidden="false" customHeight="true" outlineLevel="0" collapsed="false">
      <c r="B471" s="87"/>
      <c r="C471" s="87"/>
      <c r="D471" s="87"/>
      <c r="E471" s="142"/>
      <c r="F471" s="87"/>
      <c r="G471" s="87"/>
      <c r="H471" s="87"/>
      <c r="I471" s="143"/>
      <c r="J471" s="87"/>
      <c r="K471" s="87"/>
      <c r="L471" s="87"/>
      <c r="M471" s="87"/>
      <c r="N471" s="87"/>
      <c r="O471" s="87"/>
      <c r="P471" s="87"/>
      <c r="Q471" s="87"/>
      <c r="R471" s="144"/>
      <c r="S471" s="144"/>
      <c r="T471" s="87"/>
      <c r="U471" s="87"/>
    </row>
    <row r="472" customFormat="false" ht="18" hidden="false" customHeight="true" outlineLevel="0" collapsed="false">
      <c r="B472" s="7"/>
      <c r="C472" s="7"/>
      <c r="D472" s="7"/>
      <c r="E472" s="71"/>
      <c r="F472" s="7"/>
      <c r="G472" s="7"/>
      <c r="H472" s="7"/>
      <c r="I472" s="145"/>
      <c r="J472" s="7"/>
      <c r="K472" s="7"/>
      <c r="L472" s="7"/>
      <c r="M472" s="7"/>
      <c r="N472" s="7"/>
      <c r="O472" s="7"/>
      <c r="P472" s="7"/>
      <c r="Q472" s="7"/>
      <c r="R472" s="146"/>
      <c r="S472" s="146"/>
      <c r="T472" s="7"/>
      <c r="U472" s="7"/>
    </row>
    <row r="473" customFormat="false" ht="18" hidden="false" customHeight="true" outlineLevel="0" collapsed="false">
      <c r="B473" s="87"/>
      <c r="C473" s="87"/>
      <c r="D473" s="87"/>
      <c r="E473" s="142"/>
      <c r="F473" s="87"/>
      <c r="G473" s="87"/>
      <c r="H473" s="87"/>
      <c r="I473" s="143"/>
      <c r="J473" s="87"/>
      <c r="K473" s="87"/>
      <c r="L473" s="87"/>
      <c r="M473" s="87"/>
      <c r="N473" s="87"/>
      <c r="O473" s="87"/>
      <c r="P473" s="87"/>
      <c r="Q473" s="87"/>
      <c r="R473" s="144"/>
      <c r="S473" s="144"/>
      <c r="T473" s="87"/>
      <c r="U473" s="87"/>
    </row>
    <row r="474" customFormat="false" ht="18" hidden="false" customHeight="true" outlineLevel="0" collapsed="false">
      <c r="B474" s="7"/>
      <c r="C474" s="7"/>
      <c r="D474" s="7"/>
      <c r="E474" s="71"/>
      <c r="F474" s="7"/>
      <c r="G474" s="7"/>
      <c r="H474" s="7"/>
      <c r="I474" s="145"/>
      <c r="J474" s="7"/>
      <c r="K474" s="7"/>
      <c r="L474" s="7"/>
      <c r="M474" s="7"/>
      <c r="N474" s="7"/>
      <c r="O474" s="7"/>
      <c r="P474" s="7"/>
      <c r="Q474" s="7"/>
      <c r="R474" s="146"/>
      <c r="S474" s="146"/>
      <c r="T474" s="7"/>
      <c r="U474" s="7"/>
    </row>
    <row r="475" customFormat="false" ht="18" hidden="false" customHeight="true" outlineLevel="0" collapsed="false">
      <c r="B475" s="87"/>
      <c r="C475" s="87"/>
      <c r="D475" s="87"/>
      <c r="E475" s="142"/>
      <c r="F475" s="87"/>
      <c r="G475" s="87"/>
      <c r="H475" s="87"/>
      <c r="I475" s="143"/>
      <c r="J475" s="87"/>
      <c r="K475" s="87"/>
      <c r="L475" s="87"/>
      <c r="M475" s="87"/>
      <c r="N475" s="87"/>
      <c r="O475" s="87"/>
      <c r="P475" s="87"/>
      <c r="Q475" s="87"/>
      <c r="R475" s="144"/>
      <c r="S475" s="144"/>
      <c r="T475" s="87"/>
      <c r="U475" s="87"/>
    </row>
    <row r="476" customFormat="false" ht="18" hidden="false" customHeight="true" outlineLevel="0" collapsed="false">
      <c r="B476" s="7"/>
      <c r="C476" s="7"/>
      <c r="D476" s="7"/>
      <c r="E476" s="71"/>
      <c r="F476" s="7"/>
      <c r="G476" s="7"/>
      <c r="H476" s="7"/>
      <c r="I476" s="145"/>
      <c r="J476" s="7"/>
      <c r="K476" s="7"/>
      <c r="L476" s="7"/>
      <c r="M476" s="7"/>
      <c r="N476" s="7"/>
      <c r="O476" s="7"/>
      <c r="P476" s="7"/>
      <c r="Q476" s="7"/>
      <c r="R476" s="146"/>
      <c r="S476" s="146"/>
      <c r="T476" s="7"/>
      <c r="U476" s="7"/>
    </row>
    <row r="477" customFormat="false" ht="18" hidden="false" customHeight="true" outlineLevel="0" collapsed="false">
      <c r="B477" s="87"/>
      <c r="C477" s="87"/>
      <c r="D477" s="87"/>
      <c r="E477" s="142"/>
      <c r="F477" s="87"/>
      <c r="G477" s="87"/>
      <c r="H477" s="87"/>
      <c r="I477" s="143"/>
      <c r="J477" s="87"/>
      <c r="K477" s="87"/>
      <c r="L477" s="87"/>
      <c r="M477" s="87"/>
      <c r="N477" s="87"/>
      <c r="O477" s="87"/>
      <c r="P477" s="87"/>
      <c r="Q477" s="87"/>
      <c r="R477" s="144"/>
      <c r="S477" s="144"/>
      <c r="T477" s="87"/>
      <c r="U477" s="87"/>
    </row>
    <row r="478" customFormat="false" ht="18" hidden="false" customHeight="true" outlineLevel="0" collapsed="false">
      <c r="B478" s="7"/>
      <c r="C478" s="7"/>
      <c r="D478" s="7"/>
      <c r="E478" s="71"/>
      <c r="F478" s="7"/>
      <c r="G478" s="7"/>
      <c r="H478" s="7"/>
      <c r="I478" s="145"/>
      <c r="J478" s="7"/>
      <c r="K478" s="7"/>
      <c r="L478" s="7"/>
      <c r="M478" s="7"/>
      <c r="N478" s="7"/>
      <c r="O478" s="7"/>
      <c r="P478" s="7"/>
      <c r="Q478" s="7"/>
      <c r="R478" s="146"/>
      <c r="S478" s="146"/>
      <c r="T478" s="7"/>
      <c r="U478" s="7"/>
    </row>
    <row r="479" customFormat="false" ht="18" hidden="false" customHeight="true" outlineLevel="0" collapsed="false">
      <c r="B479" s="87"/>
      <c r="C479" s="87"/>
      <c r="D479" s="87"/>
      <c r="E479" s="142"/>
      <c r="F479" s="87"/>
      <c r="G479" s="87"/>
      <c r="H479" s="87"/>
      <c r="I479" s="143"/>
      <c r="J479" s="87"/>
      <c r="K479" s="87"/>
      <c r="L479" s="87"/>
      <c r="M479" s="87"/>
      <c r="N479" s="87"/>
      <c r="O479" s="87"/>
      <c r="P479" s="87"/>
      <c r="Q479" s="87"/>
      <c r="R479" s="144"/>
      <c r="S479" s="144"/>
      <c r="T479" s="87"/>
      <c r="U479" s="87"/>
    </row>
    <row r="480" customFormat="false" ht="18" hidden="false" customHeight="true" outlineLevel="0" collapsed="false">
      <c r="B480" s="7"/>
      <c r="C480" s="7"/>
      <c r="D480" s="7"/>
      <c r="E480" s="71"/>
      <c r="F480" s="7"/>
      <c r="G480" s="7"/>
      <c r="H480" s="7"/>
      <c r="I480" s="145"/>
      <c r="J480" s="7"/>
      <c r="K480" s="7"/>
      <c r="L480" s="7"/>
      <c r="M480" s="7"/>
      <c r="N480" s="7"/>
      <c r="O480" s="7"/>
      <c r="P480" s="7"/>
      <c r="Q480" s="7"/>
      <c r="R480" s="146"/>
      <c r="S480" s="146"/>
      <c r="T480" s="7"/>
      <c r="U480" s="7"/>
    </row>
    <row r="481" customFormat="false" ht="18" hidden="false" customHeight="true" outlineLevel="0" collapsed="false">
      <c r="B481" s="87"/>
      <c r="C481" s="87"/>
      <c r="D481" s="87"/>
      <c r="E481" s="142"/>
      <c r="F481" s="87"/>
      <c r="G481" s="87"/>
      <c r="H481" s="87"/>
      <c r="I481" s="143"/>
      <c r="J481" s="87"/>
      <c r="K481" s="87"/>
      <c r="L481" s="87"/>
      <c r="M481" s="87"/>
      <c r="N481" s="87"/>
      <c r="O481" s="87"/>
      <c r="P481" s="87"/>
      <c r="Q481" s="87"/>
      <c r="R481" s="144"/>
      <c r="S481" s="144"/>
      <c r="T481" s="87"/>
      <c r="U481" s="87"/>
    </row>
    <row r="482" customFormat="false" ht="18" hidden="false" customHeight="true" outlineLevel="0" collapsed="false">
      <c r="B482" s="7"/>
      <c r="C482" s="7"/>
      <c r="D482" s="7"/>
      <c r="E482" s="71"/>
      <c r="F482" s="7"/>
      <c r="G482" s="7"/>
      <c r="H482" s="7"/>
      <c r="I482" s="145"/>
      <c r="J482" s="7"/>
      <c r="K482" s="7"/>
      <c r="L482" s="7"/>
      <c r="M482" s="7"/>
      <c r="N482" s="7"/>
      <c r="O482" s="7"/>
      <c r="P482" s="7"/>
      <c r="Q482" s="7"/>
      <c r="R482" s="146"/>
      <c r="S482" s="146"/>
      <c r="T482" s="7"/>
      <c r="U482" s="7"/>
    </row>
    <row r="483" customFormat="false" ht="18" hidden="false" customHeight="true" outlineLevel="0" collapsed="false">
      <c r="B483" s="87"/>
      <c r="C483" s="87"/>
      <c r="D483" s="87"/>
      <c r="E483" s="142"/>
      <c r="F483" s="87"/>
      <c r="G483" s="87"/>
      <c r="H483" s="87"/>
      <c r="I483" s="143"/>
      <c r="J483" s="87"/>
      <c r="K483" s="87"/>
      <c r="L483" s="87"/>
      <c r="M483" s="87"/>
      <c r="N483" s="87"/>
      <c r="O483" s="87"/>
      <c r="P483" s="87"/>
      <c r="Q483" s="87"/>
      <c r="R483" s="144"/>
      <c r="S483" s="144"/>
      <c r="T483" s="87"/>
      <c r="U483" s="87"/>
    </row>
    <row r="484" customFormat="false" ht="18" hidden="false" customHeight="true" outlineLevel="0" collapsed="false">
      <c r="B484" s="7"/>
      <c r="C484" s="7"/>
      <c r="D484" s="7"/>
      <c r="E484" s="71"/>
      <c r="F484" s="7"/>
      <c r="G484" s="7"/>
      <c r="H484" s="7"/>
      <c r="I484" s="145"/>
      <c r="J484" s="7"/>
      <c r="K484" s="7"/>
      <c r="L484" s="7"/>
      <c r="M484" s="7"/>
      <c r="N484" s="7"/>
      <c r="O484" s="7"/>
      <c r="P484" s="7"/>
      <c r="Q484" s="7"/>
      <c r="R484" s="146"/>
      <c r="S484" s="146"/>
      <c r="T484" s="7"/>
      <c r="U484" s="7"/>
    </row>
    <row r="485" customFormat="false" ht="18" hidden="false" customHeight="true" outlineLevel="0" collapsed="false">
      <c r="B485" s="87"/>
      <c r="C485" s="87"/>
      <c r="D485" s="87"/>
      <c r="E485" s="142"/>
      <c r="F485" s="87"/>
      <c r="G485" s="87"/>
      <c r="H485" s="87"/>
      <c r="I485" s="143"/>
      <c r="J485" s="87"/>
      <c r="K485" s="87"/>
      <c r="L485" s="87"/>
      <c r="M485" s="87"/>
      <c r="N485" s="87"/>
      <c r="O485" s="87"/>
      <c r="P485" s="87"/>
      <c r="Q485" s="87"/>
      <c r="R485" s="144"/>
      <c r="S485" s="144"/>
      <c r="T485" s="87"/>
      <c r="U485" s="87"/>
    </row>
    <row r="486" customFormat="false" ht="18" hidden="false" customHeight="true" outlineLevel="0" collapsed="false">
      <c r="B486" s="7"/>
      <c r="C486" s="7"/>
      <c r="D486" s="7"/>
      <c r="E486" s="71"/>
      <c r="F486" s="7"/>
      <c r="G486" s="7"/>
      <c r="H486" s="7"/>
      <c r="I486" s="145"/>
      <c r="J486" s="7"/>
      <c r="K486" s="7"/>
      <c r="L486" s="7"/>
      <c r="M486" s="7"/>
      <c r="N486" s="7"/>
      <c r="O486" s="7"/>
      <c r="P486" s="7"/>
      <c r="Q486" s="7"/>
      <c r="R486" s="146"/>
      <c r="S486" s="146"/>
      <c r="T486" s="7"/>
      <c r="U486" s="7"/>
    </row>
    <row r="487" customFormat="false" ht="18" hidden="false" customHeight="true" outlineLevel="0" collapsed="false">
      <c r="B487" s="87"/>
      <c r="C487" s="87"/>
      <c r="D487" s="87"/>
      <c r="E487" s="142"/>
      <c r="F487" s="87"/>
      <c r="G487" s="87"/>
      <c r="H487" s="87"/>
      <c r="I487" s="143"/>
      <c r="J487" s="87"/>
      <c r="K487" s="87"/>
      <c r="L487" s="87"/>
      <c r="M487" s="87"/>
      <c r="N487" s="87"/>
      <c r="O487" s="87"/>
      <c r="P487" s="87"/>
      <c r="Q487" s="87"/>
      <c r="R487" s="144"/>
      <c r="S487" s="144"/>
      <c r="T487" s="87"/>
      <c r="U487" s="87"/>
    </row>
    <row r="488" customFormat="false" ht="18" hidden="false" customHeight="true" outlineLevel="0" collapsed="false">
      <c r="B488" s="7"/>
      <c r="C488" s="7"/>
      <c r="D488" s="7"/>
      <c r="E488" s="71"/>
      <c r="F488" s="7"/>
      <c r="G488" s="7"/>
      <c r="H488" s="7"/>
      <c r="I488" s="145"/>
      <c r="J488" s="7"/>
      <c r="K488" s="7"/>
      <c r="L488" s="7"/>
      <c r="M488" s="7"/>
      <c r="N488" s="7"/>
      <c r="O488" s="7"/>
      <c r="P488" s="7"/>
      <c r="Q488" s="7"/>
      <c r="R488" s="146"/>
      <c r="S488" s="146"/>
      <c r="T488" s="7"/>
      <c r="U488" s="7"/>
    </row>
    <row r="489" customFormat="false" ht="18" hidden="false" customHeight="true" outlineLevel="0" collapsed="false">
      <c r="B489" s="87"/>
      <c r="C489" s="87"/>
      <c r="D489" s="87"/>
      <c r="E489" s="142"/>
      <c r="F489" s="87"/>
      <c r="G489" s="87"/>
      <c r="H489" s="87"/>
      <c r="I489" s="143"/>
      <c r="J489" s="87"/>
      <c r="K489" s="87"/>
      <c r="L489" s="87"/>
      <c r="M489" s="87"/>
      <c r="N489" s="87"/>
      <c r="O489" s="87"/>
      <c r="P489" s="87"/>
      <c r="Q489" s="87"/>
      <c r="R489" s="144"/>
      <c r="S489" s="144"/>
      <c r="T489" s="87"/>
      <c r="U489" s="87"/>
    </row>
    <row r="490" customFormat="false" ht="18" hidden="false" customHeight="true" outlineLevel="0" collapsed="false">
      <c r="B490" s="7"/>
      <c r="C490" s="7"/>
      <c r="D490" s="7"/>
      <c r="E490" s="71"/>
      <c r="F490" s="7"/>
      <c r="G490" s="7"/>
      <c r="H490" s="7"/>
      <c r="I490" s="145"/>
      <c r="J490" s="7"/>
      <c r="K490" s="7"/>
      <c r="L490" s="7"/>
      <c r="M490" s="7"/>
      <c r="N490" s="7"/>
      <c r="O490" s="7"/>
      <c r="P490" s="7"/>
      <c r="Q490" s="7"/>
      <c r="R490" s="146"/>
      <c r="S490" s="146"/>
      <c r="T490" s="7"/>
      <c r="U490" s="7"/>
    </row>
    <row r="491" customFormat="false" ht="18" hidden="false" customHeight="true" outlineLevel="0" collapsed="false">
      <c r="B491" s="87"/>
      <c r="C491" s="87"/>
      <c r="D491" s="87"/>
      <c r="E491" s="142"/>
      <c r="F491" s="87"/>
      <c r="G491" s="87"/>
      <c r="H491" s="87"/>
      <c r="I491" s="143"/>
      <c r="J491" s="87"/>
      <c r="K491" s="87"/>
      <c r="L491" s="87"/>
      <c r="M491" s="87"/>
      <c r="N491" s="87"/>
      <c r="O491" s="87"/>
      <c r="P491" s="87"/>
      <c r="Q491" s="87"/>
      <c r="R491" s="144"/>
      <c r="S491" s="144"/>
      <c r="T491" s="87"/>
      <c r="U491" s="87"/>
    </row>
    <row r="492" customFormat="false" ht="18" hidden="false" customHeight="true" outlineLevel="0" collapsed="false">
      <c r="B492" s="7"/>
      <c r="C492" s="7"/>
      <c r="D492" s="7"/>
      <c r="E492" s="71"/>
      <c r="F492" s="7"/>
      <c r="G492" s="7"/>
      <c r="H492" s="7"/>
      <c r="I492" s="145"/>
      <c r="J492" s="7"/>
      <c r="K492" s="7"/>
      <c r="L492" s="7"/>
      <c r="M492" s="7"/>
      <c r="N492" s="7"/>
      <c r="O492" s="7"/>
      <c r="P492" s="7"/>
      <c r="Q492" s="7"/>
      <c r="R492" s="146"/>
      <c r="S492" s="146"/>
      <c r="T492" s="7"/>
      <c r="U492" s="7"/>
    </row>
    <row r="493" customFormat="false" ht="18" hidden="false" customHeight="true" outlineLevel="0" collapsed="false">
      <c r="B493" s="87"/>
      <c r="C493" s="87"/>
      <c r="D493" s="87"/>
      <c r="E493" s="142"/>
      <c r="F493" s="87"/>
      <c r="G493" s="87"/>
      <c r="H493" s="87"/>
      <c r="I493" s="143"/>
      <c r="J493" s="87"/>
      <c r="K493" s="87"/>
      <c r="L493" s="87"/>
      <c r="M493" s="87"/>
      <c r="N493" s="87"/>
      <c r="O493" s="87"/>
      <c r="P493" s="87"/>
      <c r="Q493" s="87"/>
      <c r="R493" s="144"/>
      <c r="S493" s="144"/>
      <c r="T493" s="87"/>
      <c r="U493" s="87"/>
    </row>
    <row r="494" customFormat="false" ht="18" hidden="false" customHeight="true" outlineLevel="0" collapsed="false">
      <c r="B494" s="7"/>
      <c r="C494" s="7"/>
      <c r="D494" s="7"/>
      <c r="E494" s="71"/>
      <c r="F494" s="7"/>
      <c r="G494" s="7"/>
      <c r="H494" s="7"/>
      <c r="I494" s="145"/>
      <c r="J494" s="7"/>
      <c r="K494" s="7"/>
      <c r="L494" s="7"/>
      <c r="M494" s="7"/>
      <c r="N494" s="7"/>
      <c r="O494" s="7"/>
      <c r="P494" s="7"/>
      <c r="Q494" s="7"/>
      <c r="R494" s="146"/>
      <c r="S494" s="146"/>
      <c r="T494" s="7"/>
      <c r="U494" s="7"/>
    </row>
    <row r="495" customFormat="false" ht="18" hidden="false" customHeight="true" outlineLevel="0" collapsed="false">
      <c r="B495" s="87"/>
      <c r="C495" s="87"/>
      <c r="D495" s="87"/>
      <c r="E495" s="142"/>
      <c r="F495" s="87"/>
      <c r="G495" s="87"/>
      <c r="H495" s="87"/>
      <c r="I495" s="143"/>
      <c r="J495" s="87"/>
      <c r="K495" s="87"/>
      <c r="L495" s="87"/>
      <c r="M495" s="87"/>
      <c r="N495" s="87"/>
      <c r="O495" s="87"/>
      <c r="P495" s="87"/>
      <c r="Q495" s="87"/>
      <c r="R495" s="144"/>
      <c r="S495" s="144"/>
      <c r="T495" s="87"/>
      <c r="U495" s="87"/>
    </row>
    <row r="496" customFormat="false" ht="18" hidden="false" customHeight="true" outlineLevel="0" collapsed="false">
      <c r="B496" s="7"/>
      <c r="C496" s="7"/>
      <c r="D496" s="7"/>
      <c r="E496" s="71"/>
      <c r="F496" s="7"/>
      <c r="G496" s="7"/>
      <c r="H496" s="7"/>
      <c r="I496" s="145"/>
      <c r="J496" s="7"/>
      <c r="K496" s="7"/>
      <c r="L496" s="7"/>
      <c r="M496" s="7"/>
      <c r="N496" s="7"/>
      <c r="O496" s="7"/>
      <c r="P496" s="7"/>
      <c r="Q496" s="7"/>
      <c r="R496" s="146"/>
      <c r="S496" s="146"/>
      <c r="T496" s="7"/>
      <c r="U496" s="7"/>
    </row>
    <row r="497" customFormat="false" ht="18" hidden="false" customHeight="true" outlineLevel="0" collapsed="false">
      <c r="B497" s="87"/>
      <c r="C497" s="87"/>
      <c r="D497" s="87"/>
      <c r="E497" s="142"/>
      <c r="F497" s="87"/>
      <c r="G497" s="87"/>
      <c r="H497" s="87"/>
      <c r="I497" s="143"/>
      <c r="J497" s="87"/>
      <c r="K497" s="87"/>
      <c r="L497" s="87"/>
      <c r="M497" s="87"/>
      <c r="N497" s="87"/>
      <c r="O497" s="87"/>
      <c r="P497" s="87"/>
      <c r="Q497" s="87"/>
      <c r="R497" s="144"/>
      <c r="S497" s="144"/>
      <c r="T497" s="87"/>
      <c r="U497" s="87"/>
    </row>
    <row r="498" customFormat="false" ht="18" hidden="false" customHeight="true" outlineLevel="0" collapsed="false">
      <c r="B498" s="7"/>
      <c r="C498" s="7"/>
      <c r="D498" s="7"/>
      <c r="E498" s="71"/>
      <c r="F498" s="7"/>
      <c r="G498" s="7"/>
      <c r="H498" s="7"/>
      <c r="I498" s="145"/>
      <c r="J498" s="7"/>
      <c r="K498" s="7"/>
      <c r="L498" s="7"/>
      <c r="M498" s="7"/>
      <c r="N498" s="7"/>
      <c r="O498" s="7"/>
      <c r="P498" s="7"/>
      <c r="Q498" s="7"/>
      <c r="R498" s="146"/>
      <c r="S498" s="146"/>
      <c r="T498" s="7"/>
      <c r="U498" s="7"/>
    </row>
    <row r="499" customFormat="false" ht="18" hidden="false" customHeight="true" outlineLevel="0" collapsed="false">
      <c r="B499" s="87"/>
      <c r="C499" s="87"/>
      <c r="D499" s="87"/>
      <c r="E499" s="142"/>
      <c r="F499" s="87"/>
      <c r="G499" s="87"/>
      <c r="H499" s="87"/>
      <c r="I499" s="143"/>
      <c r="J499" s="87"/>
      <c r="K499" s="87"/>
      <c r="L499" s="87"/>
      <c r="M499" s="87"/>
      <c r="N499" s="87"/>
      <c r="O499" s="87"/>
      <c r="P499" s="87"/>
      <c r="Q499" s="87"/>
      <c r="R499" s="144"/>
      <c r="S499" s="144"/>
      <c r="T499" s="87"/>
      <c r="U499" s="87"/>
    </row>
    <row r="500" customFormat="false" ht="18" hidden="false" customHeight="true" outlineLevel="0" collapsed="false">
      <c r="B500" s="7"/>
      <c r="C500" s="7"/>
      <c r="D500" s="7"/>
      <c r="E500" s="71"/>
      <c r="F500" s="7"/>
      <c r="G500" s="7"/>
      <c r="H500" s="7"/>
      <c r="I500" s="145"/>
      <c r="J500" s="7"/>
      <c r="K500" s="7"/>
      <c r="L500" s="7"/>
      <c r="M500" s="7"/>
      <c r="N500" s="7"/>
      <c r="O500" s="7"/>
      <c r="P500" s="7"/>
      <c r="Q500" s="7"/>
      <c r="R500" s="146"/>
      <c r="S500" s="146"/>
      <c r="T500" s="7"/>
      <c r="U500" s="7"/>
    </row>
  </sheetData>
  <mergeCells count="8">
    <mergeCell ref="B2:N2"/>
    <mergeCell ref="B3:N3"/>
    <mergeCell ref="B5:N5"/>
    <mergeCell ref="B6:N6"/>
    <mergeCell ref="B7:N7"/>
    <mergeCell ref="B8:N8"/>
    <mergeCell ref="B9:N9"/>
    <mergeCell ref="B10:N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6985"/>
    <pageSetUpPr fitToPage="false"/>
  </sheetPr>
  <dimension ref="B2:M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2"/>
    <col collapsed="false" customWidth="true" hidden="false" outlineLevel="0" max="3" min="3" style="1" width="13"/>
    <col collapsed="false" customWidth="true" hidden="false" outlineLevel="0" max="4" min="4" style="1" width="12"/>
    <col collapsed="false" customWidth="true" hidden="false" outlineLevel="0" max="6" min="5" style="1" width="18"/>
    <col collapsed="false" customWidth="true" hidden="false" outlineLevel="0" max="7" min="7" style="1" width="12"/>
    <col collapsed="false" customWidth="true" hidden="false" outlineLevel="0" max="8" min="8" style="1" width="40"/>
    <col collapsed="false" customWidth="true" hidden="false" outlineLevel="0" max="9" min="9" style="1" width="28"/>
    <col collapsed="false" customWidth="true" hidden="false" outlineLevel="0" max="11" min="10" style="1" width="13"/>
    <col collapsed="false" customWidth="true" hidden="false" outlineLevel="0" max="12" min="12" style="1" width="11"/>
    <col collapsed="false" customWidth="true" hidden="false" outlineLevel="0" max="13" min="13" style="1" width="20"/>
  </cols>
  <sheetData>
    <row r="2" customFormat="false" ht="27.75" hidden="false" customHeight="true" outlineLevel="0" collapsed="false">
      <c r="B2" s="134" t="s">
        <v>789</v>
      </c>
      <c r="C2" s="134"/>
      <c r="D2" s="134"/>
      <c r="E2" s="134"/>
      <c r="F2" s="134"/>
      <c r="G2" s="134"/>
      <c r="H2" s="134"/>
      <c r="I2" s="134"/>
      <c r="J2" s="134"/>
      <c r="K2" s="134"/>
      <c r="L2" s="134"/>
      <c r="M2" s="134"/>
    </row>
    <row r="3" customFormat="false" ht="36" hidden="false" customHeight="true" outlineLevel="0" collapsed="false">
      <c r="B3" s="147" t="s">
        <v>790</v>
      </c>
      <c r="C3" s="147"/>
      <c r="D3" s="147"/>
      <c r="E3" s="147"/>
      <c r="F3" s="147"/>
      <c r="G3" s="147"/>
      <c r="H3" s="147"/>
      <c r="I3" s="147"/>
      <c r="J3" s="147"/>
      <c r="K3" s="147"/>
      <c r="L3" s="147"/>
      <c r="M3" s="147"/>
    </row>
    <row r="5" customFormat="false" ht="25.5" hidden="false" customHeight="true" outlineLevel="0" collapsed="false">
      <c r="B5" s="148" t="s">
        <v>791</v>
      </c>
      <c r="C5" s="148"/>
      <c r="D5" s="148"/>
      <c r="E5" s="149" t="n">
        <f aca="false">COUNTIF(C13:C500,"Témoignage")</f>
        <v>0</v>
      </c>
      <c r="G5" s="150" t="s">
        <v>792</v>
      </c>
      <c r="H5" s="150"/>
      <c r="I5" s="150"/>
      <c r="J5" s="151" t="n">
        <f aca="false">COUNTIF(C13:C500,"Incident")</f>
        <v>0</v>
      </c>
      <c r="K5" s="152" t="s">
        <v>793</v>
      </c>
      <c r="L5" s="152"/>
      <c r="M5" s="153" t="n">
        <f aca="false">COUNTIF(K13:K500,"À traiter")</f>
        <v>0</v>
      </c>
    </row>
    <row r="7" customFormat="false" ht="21.75" hidden="false" customHeight="true" outlineLevel="0" collapsed="false">
      <c r="B7" s="154" t="s">
        <v>794</v>
      </c>
      <c r="C7" s="154"/>
      <c r="D7" s="154"/>
      <c r="E7" s="154"/>
      <c r="F7" s="154"/>
      <c r="G7" s="154"/>
      <c r="H7" s="154"/>
      <c r="I7" s="154"/>
      <c r="J7" s="154"/>
      <c r="K7" s="154"/>
      <c r="L7" s="154"/>
      <c r="M7" s="154"/>
    </row>
    <row r="10" customFormat="false" ht="30" hidden="false" customHeight="true" outlineLevel="0" collapsed="false">
      <c r="B10" s="139" t="s">
        <v>748</v>
      </c>
      <c r="C10" s="139"/>
      <c r="D10" s="139"/>
      <c r="E10" s="139"/>
      <c r="F10" s="139"/>
      <c r="G10" s="139"/>
      <c r="H10" s="139"/>
      <c r="I10" s="139"/>
      <c r="J10" s="139"/>
      <c r="K10" s="139"/>
      <c r="L10" s="139"/>
      <c r="M10" s="139"/>
    </row>
    <row r="11" customFormat="false" ht="27.75" hidden="false" customHeight="true" outlineLevel="0" collapsed="false">
      <c r="B11" s="140" t="s">
        <v>749</v>
      </c>
      <c r="C11" s="140" t="s">
        <v>795</v>
      </c>
      <c r="D11" s="140" t="s">
        <v>752</v>
      </c>
      <c r="E11" s="140" t="s">
        <v>796</v>
      </c>
      <c r="F11" s="140" t="s">
        <v>797</v>
      </c>
      <c r="G11" s="140" t="s">
        <v>798</v>
      </c>
      <c r="H11" s="140" t="s">
        <v>799</v>
      </c>
      <c r="I11" s="140" t="s">
        <v>800</v>
      </c>
      <c r="J11" s="140" t="s">
        <v>801</v>
      </c>
      <c r="K11" s="140" t="s">
        <v>802</v>
      </c>
      <c r="L11" s="140" t="s">
        <v>803</v>
      </c>
      <c r="M11" s="140" t="s">
        <v>804</v>
      </c>
    </row>
    <row r="12" customFormat="false" ht="31.5" hidden="false" customHeight="true" outlineLevel="0" collapsed="false">
      <c r="B12" s="141" t="s">
        <v>769</v>
      </c>
      <c r="C12" s="141" t="s">
        <v>805</v>
      </c>
      <c r="D12" s="141" t="s">
        <v>806</v>
      </c>
      <c r="E12" s="141" t="s">
        <v>807</v>
      </c>
      <c r="F12" s="141" t="s">
        <v>808</v>
      </c>
      <c r="G12" s="141" t="s">
        <v>809</v>
      </c>
      <c r="H12" s="141" t="s">
        <v>810</v>
      </c>
      <c r="I12" s="141" t="s">
        <v>811</v>
      </c>
      <c r="J12" s="141" t="s">
        <v>812</v>
      </c>
      <c r="K12" s="141" t="s">
        <v>813</v>
      </c>
      <c r="L12" s="141" t="s">
        <v>814</v>
      </c>
      <c r="M12" s="141" t="s">
        <v>815</v>
      </c>
    </row>
    <row r="13" customFormat="false" ht="19.5" hidden="false" customHeight="true" outlineLevel="0" collapsed="false">
      <c r="B13" s="87"/>
      <c r="C13" s="87"/>
      <c r="D13" s="142"/>
      <c r="E13" s="87"/>
      <c r="F13" s="87"/>
      <c r="G13" s="87"/>
      <c r="H13" s="87"/>
      <c r="I13" s="87"/>
      <c r="J13" s="87"/>
      <c r="K13" s="87"/>
      <c r="L13" s="87"/>
      <c r="M13" s="87"/>
    </row>
    <row r="14" customFormat="false" ht="19.5" hidden="false" customHeight="true" outlineLevel="0" collapsed="false">
      <c r="B14" s="7"/>
      <c r="C14" s="7"/>
      <c r="D14" s="71"/>
      <c r="E14" s="7"/>
      <c r="F14" s="7"/>
      <c r="G14" s="7"/>
      <c r="H14" s="7"/>
      <c r="I14" s="7"/>
      <c r="J14" s="7"/>
      <c r="K14" s="7"/>
      <c r="L14" s="7"/>
      <c r="M14" s="7"/>
    </row>
    <row r="15" customFormat="false" ht="19.5" hidden="false" customHeight="true" outlineLevel="0" collapsed="false">
      <c r="B15" s="87"/>
      <c r="C15" s="87"/>
      <c r="D15" s="142"/>
      <c r="E15" s="87"/>
      <c r="F15" s="87"/>
      <c r="G15" s="87"/>
      <c r="H15" s="87"/>
      <c r="I15" s="87"/>
      <c r="J15" s="87"/>
      <c r="K15" s="87"/>
      <c r="L15" s="87"/>
      <c r="M15" s="87"/>
    </row>
    <row r="16" customFormat="false" ht="19.5" hidden="false" customHeight="true" outlineLevel="0" collapsed="false">
      <c r="B16" s="7"/>
      <c r="C16" s="7"/>
      <c r="D16" s="71"/>
      <c r="E16" s="7"/>
      <c r="F16" s="7"/>
      <c r="G16" s="7"/>
      <c r="H16" s="7"/>
      <c r="I16" s="7"/>
      <c r="J16" s="7"/>
      <c r="K16" s="7"/>
      <c r="L16" s="7"/>
      <c r="M16" s="7"/>
    </row>
    <row r="17" customFormat="false" ht="19.5" hidden="false" customHeight="true" outlineLevel="0" collapsed="false">
      <c r="B17" s="87"/>
      <c r="C17" s="87"/>
      <c r="D17" s="142"/>
      <c r="E17" s="87"/>
      <c r="F17" s="87"/>
      <c r="G17" s="87"/>
      <c r="H17" s="87"/>
      <c r="I17" s="87"/>
      <c r="J17" s="87"/>
      <c r="K17" s="87"/>
      <c r="L17" s="87"/>
      <c r="M17" s="87"/>
    </row>
    <row r="18" customFormat="false" ht="19.5" hidden="false" customHeight="true" outlineLevel="0" collapsed="false">
      <c r="B18" s="7"/>
      <c r="C18" s="7"/>
      <c r="D18" s="71"/>
      <c r="E18" s="7"/>
      <c r="F18" s="7"/>
      <c r="G18" s="7"/>
      <c r="H18" s="7"/>
      <c r="I18" s="7"/>
      <c r="J18" s="7"/>
      <c r="K18" s="7"/>
      <c r="L18" s="7"/>
      <c r="M18" s="7"/>
    </row>
    <row r="19" customFormat="false" ht="19.5" hidden="false" customHeight="true" outlineLevel="0" collapsed="false">
      <c r="B19" s="87"/>
      <c r="C19" s="87"/>
      <c r="D19" s="142"/>
      <c r="E19" s="87"/>
      <c r="F19" s="87"/>
      <c r="G19" s="87"/>
      <c r="H19" s="87"/>
      <c r="I19" s="87"/>
      <c r="J19" s="87"/>
      <c r="K19" s="87"/>
      <c r="L19" s="87"/>
      <c r="M19" s="87"/>
    </row>
    <row r="20" customFormat="false" ht="19.5" hidden="false" customHeight="true" outlineLevel="0" collapsed="false">
      <c r="B20" s="7"/>
      <c r="C20" s="7"/>
      <c r="D20" s="71"/>
      <c r="E20" s="7"/>
      <c r="F20" s="7"/>
      <c r="G20" s="7"/>
      <c r="H20" s="7"/>
      <c r="I20" s="7"/>
      <c r="J20" s="7"/>
      <c r="K20" s="7"/>
      <c r="L20" s="7"/>
      <c r="M20" s="7"/>
    </row>
    <row r="21" customFormat="false" ht="19.5" hidden="false" customHeight="true" outlineLevel="0" collapsed="false">
      <c r="B21" s="87"/>
      <c r="C21" s="87"/>
      <c r="D21" s="142"/>
      <c r="E21" s="87"/>
      <c r="F21" s="87"/>
      <c r="G21" s="87"/>
      <c r="H21" s="87"/>
      <c r="I21" s="87"/>
      <c r="J21" s="87"/>
      <c r="K21" s="87"/>
      <c r="L21" s="87"/>
      <c r="M21" s="87"/>
    </row>
    <row r="22" customFormat="false" ht="19.5" hidden="false" customHeight="true" outlineLevel="0" collapsed="false">
      <c r="B22" s="7"/>
      <c r="C22" s="7"/>
      <c r="D22" s="71"/>
      <c r="E22" s="7"/>
      <c r="F22" s="7"/>
      <c r="G22" s="7"/>
      <c r="H22" s="7"/>
      <c r="I22" s="7"/>
      <c r="J22" s="7"/>
      <c r="K22" s="7"/>
      <c r="L22" s="7"/>
      <c r="M22" s="7"/>
    </row>
    <row r="23" customFormat="false" ht="19.5" hidden="false" customHeight="true" outlineLevel="0" collapsed="false">
      <c r="B23" s="87"/>
      <c r="C23" s="87"/>
      <c r="D23" s="142"/>
      <c r="E23" s="87"/>
      <c r="F23" s="87"/>
      <c r="G23" s="87"/>
      <c r="H23" s="87"/>
      <c r="I23" s="87"/>
      <c r="J23" s="87"/>
      <c r="K23" s="87"/>
      <c r="L23" s="87"/>
      <c r="M23" s="87"/>
    </row>
    <row r="24" customFormat="false" ht="19.5" hidden="false" customHeight="true" outlineLevel="0" collapsed="false">
      <c r="B24" s="7"/>
      <c r="C24" s="7"/>
      <c r="D24" s="71"/>
      <c r="E24" s="7"/>
      <c r="F24" s="7"/>
      <c r="G24" s="7"/>
      <c r="H24" s="7"/>
      <c r="I24" s="7"/>
      <c r="J24" s="7"/>
      <c r="K24" s="7"/>
      <c r="L24" s="7"/>
      <c r="M24" s="7"/>
    </row>
    <row r="25" customFormat="false" ht="19.5" hidden="false" customHeight="true" outlineLevel="0" collapsed="false">
      <c r="B25" s="87"/>
      <c r="C25" s="87"/>
      <c r="D25" s="142"/>
      <c r="E25" s="87"/>
      <c r="F25" s="87"/>
      <c r="G25" s="87"/>
      <c r="H25" s="87"/>
      <c r="I25" s="87"/>
      <c r="J25" s="87"/>
      <c r="K25" s="87"/>
      <c r="L25" s="87"/>
      <c r="M25" s="87"/>
    </row>
    <row r="26" customFormat="false" ht="19.5" hidden="false" customHeight="true" outlineLevel="0" collapsed="false">
      <c r="B26" s="7"/>
      <c r="C26" s="7"/>
      <c r="D26" s="71"/>
      <c r="E26" s="7"/>
      <c r="F26" s="7"/>
      <c r="G26" s="7"/>
      <c r="H26" s="7"/>
      <c r="I26" s="7"/>
      <c r="J26" s="7"/>
      <c r="K26" s="7"/>
      <c r="L26" s="7"/>
      <c r="M26" s="7"/>
    </row>
    <row r="27" customFormat="false" ht="19.5" hidden="false" customHeight="true" outlineLevel="0" collapsed="false">
      <c r="B27" s="87"/>
      <c r="C27" s="87"/>
      <c r="D27" s="142"/>
      <c r="E27" s="87"/>
      <c r="F27" s="87"/>
      <c r="G27" s="87"/>
      <c r="H27" s="87"/>
      <c r="I27" s="87"/>
      <c r="J27" s="87"/>
      <c r="K27" s="87"/>
      <c r="L27" s="87"/>
      <c r="M27" s="87"/>
    </row>
    <row r="28" customFormat="false" ht="19.5" hidden="false" customHeight="true" outlineLevel="0" collapsed="false">
      <c r="B28" s="7"/>
      <c r="C28" s="7"/>
      <c r="D28" s="71"/>
      <c r="E28" s="7"/>
      <c r="F28" s="7"/>
      <c r="G28" s="7"/>
      <c r="H28" s="7"/>
      <c r="I28" s="7"/>
      <c r="J28" s="7"/>
      <c r="K28" s="7"/>
      <c r="L28" s="7"/>
      <c r="M28" s="7"/>
    </row>
    <row r="29" customFormat="false" ht="19.5" hidden="false" customHeight="true" outlineLevel="0" collapsed="false">
      <c r="B29" s="87"/>
      <c r="C29" s="87"/>
      <c r="D29" s="142"/>
      <c r="E29" s="87"/>
      <c r="F29" s="87"/>
      <c r="G29" s="87"/>
      <c r="H29" s="87"/>
      <c r="I29" s="87"/>
      <c r="J29" s="87"/>
      <c r="K29" s="87"/>
      <c r="L29" s="87"/>
      <c r="M29" s="87"/>
    </row>
    <row r="30" customFormat="false" ht="19.5" hidden="false" customHeight="true" outlineLevel="0" collapsed="false">
      <c r="B30" s="7"/>
      <c r="C30" s="7"/>
      <c r="D30" s="71"/>
      <c r="E30" s="7"/>
      <c r="F30" s="7"/>
      <c r="G30" s="7"/>
      <c r="H30" s="7"/>
      <c r="I30" s="7"/>
      <c r="J30" s="7"/>
      <c r="K30" s="7"/>
      <c r="L30" s="7"/>
      <c r="M30" s="7"/>
    </row>
    <row r="31" customFormat="false" ht="19.5" hidden="false" customHeight="true" outlineLevel="0" collapsed="false">
      <c r="B31" s="87"/>
      <c r="C31" s="87"/>
      <c r="D31" s="142"/>
      <c r="E31" s="87"/>
      <c r="F31" s="87"/>
      <c r="G31" s="87"/>
      <c r="H31" s="87"/>
      <c r="I31" s="87"/>
      <c r="J31" s="87"/>
      <c r="K31" s="87"/>
      <c r="L31" s="87"/>
      <c r="M31" s="87"/>
    </row>
    <row r="32" customFormat="false" ht="19.5" hidden="false" customHeight="true" outlineLevel="0" collapsed="false">
      <c r="B32" s="7"/>
      <c r="C32" s="7"/>
      <c r="D32" s="71"/>
      <c r="E32" s="7"/>
      <c r="F32" s="7"/>
      <c r="G32" s="7"/>
      <c r="H32" s="7"/>
      <c r="I32" s="7"/>
      <c r="J32" s="7"/>
      <c r="K32" s="7"/>
      <c r="L32" s="7"/>
      <c r="M32" s="7"/>
    </row>
    <row r="33" customFormat="false" ht="19.5" hidden="false" customHeight="true" outlineLevel="0" collapsed="false">
      <c r="B33" s="87"/>
      <c r="C33" s="87"/>
      <c r="D33" s="142"/>
      <c r="E33" s="87"/>
      <c r="F33" s="87"/>
      <c r="G33" s="87"/>
      <c r="H33" s="87"/>
      <c r="I33" s="87"/>
      <c r="J33" s="87"/>
      <c r="K33" s="87"/>
      <c r="L33" s="87"/>
      <c r="M33" s="87"/>
    </row>
    <row r="34" customFormat="false" ht="19.5" hidden="false" customHeight="true" outlineLevel="0" collapsed="false">
      <c r="B34" s="7"/>
      <c r="C34" s="7"/>
      <c r="D34" s="71"/>
      <c r="E34" s="7"/>
      <c r="F34" s="7"/>
      <c r="G34" s="7"/>
      <c r="H34" s="7"/>
      <c r="I34" s="7"/>
      <c r="J34" s="7"/>
      <c r="K34" s="7"/>
      <c r="L34" s="7"/>
      <c r="M34" s="7"/>
    </row>
    <row r="35" customFormat="false" ht="19.5" hidden="false" customHeight="true" outlineLevel="0" collapsed="false">
      <c r="B35" s="87"/>
      <c r="C35" s="87"/>
      <c r="D35" s="142"/>
      <c r="E35" s="87"/>
      <c r="F35" s="87"/>
      <c r="G35" s="87"/>
      <c r="H35" s="87"/>
      <c r="I35" s="87"/>
      <c r="J35" s="87"/>
      <c r="K35" s="87"/>
      <c r="L35" s="87"/>
      <c r="M35" s="87"/>
    </row>
    <row r="36" customFormat="false" ht="19.5" hidden="false" customHeight="true" outlineLevel="0" collapsed="false">
      <c r="B36" s="7"/>
      <c r="C36" s="7"/>
      <c r="D36" s="71"/>
      <c r="E36" s="7"/>
      <c r="F36" s="7"/>
      <c r="G36" s="7"/>
      <c r="H36" s="7"/>
      <c r="I36" s="7"/>
      <c r="J36" s="7"/>
      <c r="K36" s="7"/>
      <c r="L36" s="7"/>
      <c r="M36" s="7"/>
    </row>
    <row r="37" customFormat="false" ht="19.5" hidden="false" customHeight="true" outlineLevel="0" collapsed="false">
      <c r="B37" s="87"/>
      <c r="C37" s="87"/>
      <c r="D37" s="142"/>
      <c r="E37" s="87"/>
      <c r="F37" s="87"/>
      <c r="G37" s="87"/>
      <c r="H37" s="87"/>
      <c r="I37" s="87"/>
      <c r="J37" s="87"/>
      <c r="K37" s="87"/>
      <c r="L37" s="87"/>
      <c r="M37" s="87"/>
    </row>
    <row r="38" customFormat="false" ht="19.5" hidden="false" customHeight="true" outlineLevel="0" collapsed="false">
      <c r="B38" s="7"/>
      <c r="C38" s="7"/>
      <c r="D38" s="71"/>
      <c r="E38" s="7"/>
      <c r="F38" s="7"/>
      <c r="G38" s="7"/>
      <c r="H38" s="7"/>
      <c r="I38" s="7"/>
      <c r="J38" s="7"/>
      <c r="K38" s="7"/>
      <c r="L38" s="7"/>
      <c r="M38" s="7"/>
    </row>
    <row r="39" customFormat="false" ht="19.5" hidden="false" customHeight="true" outlineLevel="0" collapsed="false">
      <c r="B39" s="87"/>
      <c r="C39" s="87"/>
      <c r="D39" s="142"/>
      <c r="E39" s="87"/>
      <c r="F39" s="87"/>
      <c r="G39" s="87"/>
      <c r="H39" s="87"/>
      <c r="I39" s="87"/>
      <c r="J39" s="87"/>
      <c r="K39" s="87"/>
      <c r="L39" s="87"/>
      <c r="M39" s="87"/>
    </row>
    <row r="40" customFormat="false" ht="19.5" hidden="false" customHeight="true" outlineLevel="0" collapsed="false">
      <c r="B40" s="7"/>
      <c r="C40" s="7"/>
      <c r="D40" s="71"/>
      <c r="E40" s="7"/>
      <c r="F40" s="7"/>
      <c r="G40" s="7"/>
      <c r="H40" s="7"/>
      <c r="I40" s="7"/>
      <c r="J40" s="7"/>
      <c r="K40" s="7"/>
      <c r="L40" s="7"/>
      <c r="M40" s="7"/>
    </row>
    <row r="41" customFormat="false" ht="19.5" hidden="false" customHeight="true" outlineLevel="0" collapsed="false">
      <c r="B41" s="87"/>
      <c r="C41" s="87"/>
      <c r="D41" s="142"/>
      <c r="E41" s="87"/>
      <c r="F41" s="87"/>
      <c r="G41" s="87"/>
      <c r="H41" s="87"/>
      <c r="I41" s="87"/>
      <c r="J41" s="87"/>
      <c r="K41" s="87"/>
      <c r="L41" s="87"/>
      <c r="M41" s="87"/>
    </row>
    <row r="42" customFormat="false" ht="19.5" hidden="false" customHeight="true" outlineLevel="0" collapsed="false">
      <c r="B42" s="7"/>
      <c r="C42" s="7"/>
      <c r="D42" s="71"/>
      <c r="E42" s="7"/>
      <c r="F42" s="7"/>
      <c r="G42" s="7"/>
      <c r="H42" s="7"/>
      <c r="I42" s="7"/>
      <c r="J42" s="7"/>
      <c r="K42" s="7"/>
      <c r="L42" s="7"/>
      <c r="M42" s="7"/>
    </row>
    <row r="43" customFormat="false" ht="19.5" hidden="false" customHeight="true" outlineLevel="0" collapsed="false">
      <c r="B43" s="87"/>
      <c r="C43" s="87"/>
      <c r="D43" s="142"/>
      <c r="E43" s="87"/>
      <c r="F43" s="87"/>
      <c r="G43" s="87"/>
      <c r="H43" s="87"/>
      <c r="I43" s="87"/>
      <c r="J43" s="87"/>
      <c r="K43" s="87"/>
      <c r="L43" s="87"/>
      <c r="M43" s="87"/>
    </row>
    <row r="44" customFormat="false" ht="19.5" hidden="false" customHeight="true" outlineLevel="0" collapsed="false">
      <c r="B44" s="7"/>
      <c r="C44" s="7"/>
      <c r="D44" s="71"/>
      <c r="E44" s="7"/>
      <c r="F44" s="7"/>
      <c r="G44" s="7"/>
      <c r="H44" s="7"/>
      <c r="I44" s="7"/>
      <c r="J44" s="7"/>
      <c r="K44" s="7"/>
      <c r="L44" s="7"/>
      <c r="M44" s="7"/>
    </row>
    <row r="45" customFormat="false" ht="19.5" hidden="false" customHeight="true" outlineLevel="0" collapsed="false">
      <c r="B45" s="87"/>
      <c r="C45" s="87"/>
      <c r="D45" s="142"/>
      <c r="E45" s="87"/>
      <c r="F45" s="87"/>
      <c r="G45" s="87"/>
      <c r="H45" s="87"/>
      <c r="I45" s="87"/>
      <c r="J45" s="87"/>
      <c r="K45" s="87"/>
      <c r="L45" s="87"/>
      <c r="M45" s="87"/>
    </row>
    <row r="46" customFormat="false" ht="19.5" hidden="false" customHeight="true" outlineLevel="0" collapsed="false">
      <c r="B46" s="7"/>
      <c r="C46" s="7"/>
      <c r="D46" s="71"/>
      <c r="E46" s="7"/>
      <c r="F46" s="7"/>
      <c r="G46" s="7"/>
      <c r="H46" s="7"/>
      <c r="I46" s="7"/>
      <c r="J46" s="7"/>
      <c r="K46" s="7"/>
      <c r="L46" s="7"/>
      <c r="M46" s="7"/>
    </row>
    <row r="47" customFormat="false" ht="19.5" hidden="false" customHeight="true" outlineLevel="0" collapsed="false">
      <c r="B47" s="87"/>
      <c r="C47" s="87"/>
      <c r="D47" s="142"/>
      <c r="E47" s="87"/>
      <c r="F47" s="87"/>
      <c r="G47" s="87"/>
      <c r="H47" s="87"/>
      <c r="I47" s="87"/>
      <c r="J47" s="87"/>
      <c r="K47" s="87"/>
      <c r="L47" s="87"/>
      <c r="M47" s="87"/>
    </row>
    <row r="48" customFormat="false" ht="19.5" hidden="false" customHeight="true" outlineLevel="0" collapsed="false">
      <c r="B48" s="7"/>
      <c r="C48" s="7"/>
      <c r="D48" s="71"/>
      <c r="E48" s="7"/>
      <c r="F48" s="7"/>
      <c r="G48" s="7"/>
      <c r="H48" s="7"/>
      <c r="I48" s="7"/>
      <c r="J48" s="7"/>
      <c r="K48" s="7"/>
      <c r="L48" s="7"/>
      <c r="M48" s="7"/>
    </row>
    <row r="49" customFormat="false" ht="19.5" hidden="false" customHeight="true" outlineLevel="0" collapsed="false">
      <c r="B49" s="87"/>
      <c r="C49" s="87"/>
      <c r="D49" s="142"/>
      <c r="E49" s="87"/>
      <c r="F49" s="87"/>
      <c r="G49" s="87"/>
      <c r="H49" s="87"/>
      <c r="I49" s="87"/>
      <c r="J49" s="87"/>
      <c r="K49" s="87"/>
      <c r="L49" s="87"/>
      <c r="M49" s="87"/>
    </row>
    <row r="50" customFormat="false" ht="19.5" hidden="false" customHeight="true" outlineLevel="0" collapsed="false">
      <c r="B50" s="7"/>
      <c r="C50" s="7"/>
      <c r="D50" s="71"/>
      <c r="E50" s="7"/>
      <c r="F50" s="7"/>
      <c r="G50" s="7"/>
      <c r="H50" s="7"/>
      <c r="I50" s="7"/>
      <c r="J50" s="7"/>
      <c r="K50" s="7"/>
      <c r="L50" s="7"/>
      <c r="M50" s="7"/>
    </row>
    <row r="51" customFormat="false" ht="19.5" hidden="false" customHeight="true" outlineLevel="0" collapsed="false">
      <c r="B51" s="87"/>
      <c r="C51" s="87"/>
      <c r="D51" s="142"/>
      <c r="E51" s="87"/>
      <c r="F51" s="87"/>
      <c r="G51" s="87"/>
      <c r="H51" s="87"/>
      <c r="I51" s="87"/>
      <c r="J51" s="87"/>
      <c r="K51" s="87"/>
      <c r="L51" s="87"/>
      <c r="M51" s="87"/>
    </row>
    <row r="52" customFormat="false" ht="19.5" hidden="false" customHeight="true" outlineLevel="0" collapsed="false">
      <c r="B52" s="7"/>
      <c r="C52" s="7"/>
      <c r="D52" s="71"/>
      <c r="E52" s="7"/>
      <c r="F52" s="7"/>
      <c r="G52" s="7"/>
      <c r="H52" s="7"/>
      <c r="I52" s="7"/>
      <c r="J52" s="7"/>
      <c r="K52" s="7"/>
      <c r="L52" s="7"/>
      <c r="M52" s="7"/>
    </row>
    <row r="53" customFormat="false" ht="19.5" hidden="false" customHeight="true" outlineLevel="0" collapsed="false">
      <c r="B53" s="87"/>
      <c r="C53" s="87"/>
      <c r="D53" s="142"/>
      <c r="E53" s="87"/>
      <c r="F53" s="87"/>
      <c r="G53" s="87"/>
      <c r="H53" s="87"/>
      <c r="I53" s="87"/>
      <c r="J53" s="87"/>
      <c r="K53" s="87"/>
      <c r="L53" s="87"/>
      <c r="M53" s="87"/>
    </row>
    <row r="54" customFormat="false" ht="19.5" hidden="false" customHeight="true" outlineLevel="0" collapsed="false">
      <c r="B54" s="7"/>
      <c r="C54" s="7"/>
      <c r="D54" s="71"/>
      <c r="E54" s="7"/>
      <c r="F54" s="7"/>
      <c r="G54" s="7"/>
      <c r="H54" s="7"/>
      <c r="I54" s="7"/>
      <c r="J54" s="7"/>
      <c r="K54" s="7"/>
      <c r="L54" s="7"/>
      <c r="M54" s="7"/>
    </row>
    <row r="55" customFormat="false" ht="19.5" hidden="false" customHeight="true" outlineLevel="0" collapsed="false">
      <c r="B55" s="87"/>
      <c r="C55" s="87"/>
      <c r="D55" s="142"/>
      <c r="E55" s="87"/>
      <c r="F55" s="87"/>
      <c r="G55" s="87"/>
      <c r="H55" s="87"/>
      <c r="I55" s="87"/>
      <c r="J55" s="87"/>
      <c r="K55" s="87"/>
      <c r="L55" s="87"/>
      <c r="M55" s="87"/>
    </row>
    <row r="56" customFormat="false" ht="19.5" hidden="false" customHeight="true" outlineLevel="0" collapsed="false">
      <c r="B56" s="7"/>
      <c r="C56" s="7"/>
      <c r="D56" s="71"/>
      <c r="E56" s="7"/>
      <c r="F56" s="7"/>
      <c r="G56" s="7"/>
      <c r="H56" s="7"/>
      <c r="I56" s="7"/>
      <c r="J56" s="7"/>
      <c r="K56" s="7"/>
      <c r="L56" s="7"/>
      <c r="M56" s="7"/>
    </row>
    <row r="57" customFormat="false" ht="19.5" hidden="false" customHeight="true" outlineLevel="0" collapsed="false">
      <c r="B57" s="87"/>
      <c r="C57" s="87"/>
      <c r="D57" s="142"/>
      <c r="E57" s="87"/>
      <c r="F57" s="87"/>
      <c r="G57" s="87"/>
      <c r="H57" s="87"/>
      <c r="I57" s="87"/>
      <c r="J57" s="87"/>
      <c r="K57" s="87"/>
      <c r="L57" s="87"/>
      <c r="M57" s="87"/>
    </row>
    <row r="58" customFormat="false" ht="19.5" hidden="false" customHeight="true" outlineLevel="0" collapsed="false">
      <c r="B58" s="7"/>
      <c r="C58" s="7"/>
      <c r="D58" s="71"/>
      <c r="E58" s="7"/>
      <c r="F58" s="7"/>
      <c r="G58" s="7"/>
      <c r="H58" s="7"/>
      <c r="I58" s="7"/>
      <c r="J58" s="7"/>
      <c r="K58" s="7"/>
      <c r="L58" s="7"/>
      <c r="M58" s="7"/>
    </row>
    <row r="59" customFormat="false" ht="19.5" hidden="false" customHeight="true" outlineLevel="0" collapsed="false">
      <c r="B59" s="87"/>
      <c r="C59" s="87"/>
      <c r="D59" s="142"/>
      <c r="E59" s="87"/>
      <c r="F59" s="87"/>
      <c r="G59" s="87"/>
      <c r="H59" s="87"/>
      <c r="I59" s="87"/>
      <c r="J59" s="87"/>
      <c r="K59" s="87"/>
      <c r="L59" s="87"/>
      <c r="M59" s="87"/>
    </row>
    <row r="60" customFormat="false" ht="19.5" hidden="false" customHeight="true" outlineLevel="0" collapsed="false">
      <c r="B60" s="7"/>
      <c r="C60" s="7"/>
      <c r="D60" s="71"/>
      <c r="E60" s="7"/>
      <c r="F60" s="7"/>
      <c r="G60" s="7"/>
      <c r="H60" s="7"/>
      <c r="I60" s="7"/>
      <c r="J60" s="7"/>
      <c r="K60" s="7"/>
      <c r="L60" s="7"/>
      <c r="M60" s="7"/>
    </row>
    <row r="61" customFormat="false" ht="19.5" hidden="false" customHeight="true" outlineLevel="0" collapsed="false">
      <c r="B61" s="87"/>
      <c r="C61" s="87"/>
      <c r="D61" s="142"/>
      <c r="E61" s="87"/>
      <c r="F61" s="87"/>
      <c r="G61" s="87"/>
      <c r="H61" s="87"/>
      <c r="I61" s="87"/>
      <c r="J61" s="87"/>
      <c r="K61" s="87"/>
      <c r="L61" s="87"/>
      <c r="M61" s="87"/>
    </row>
    <row r="62" customFormat="false" ht="19.5" hidden="false" customHeight="true" outlineLevel="0" collapsed="false">
      <c r="B62" s="7"/>
      <c r="C62" s="7"/>
      <c r="D62" s="71"/>
      <c r="E62" s="7"/>
      <c r="F62" s="7"/>
      <c r="G62" s="7"/>
      <c r="H62" s="7"/>
      <c r="I62" s="7"/>
      <c r="J62" s="7"/>
      <c r="K62" s="7"/>
      <c r="L62" s="7"/>
      <c r="M62" s="7"/>
    </row>
    <row r="63" customFormat="false" ht="19.5" hidden="false" customHeight="true" outlineLevel="0" collapsed="false">
      <c r="B63" s="87"/>
      <c r="C63" s="87"/>
      <c r="D63" s="142"/>
      <c r="E63" s="87"/>
      <c r="F63" s="87"/>
      <c r="G63" s="87"/>
      <c r="H63" s="87"/>
      <c r="I63" s="87"/>
      <c r="J63" s="87"/>
      <c r="K63" s="87"/>
      <c r="L63" s="87"/>
      <c r="M63" s="87"/>
    </row>
    <row r="64" customFormat="false" ht="19.5" hidden="false" customHeight="true" outlineLevel="0" collapsed="false">
      <c r="B64" s="7"/>
      <c r="C64" s="7"/>
      <c r="D64" s="71"/>
      <c r="E64" s="7"/>
      <c r="F64" s="7"/>
      <c r="G64" s="7"/>
      <c r="H64" s="7"/>
      <c r="I64" s="7"/>
      <c r="J64" s="7"/>
      <c r="K64" s="7"/>
      <c r="L64" s="7"/>
      <c r="M64" s="7"/>
    </row>
    <row r="65" customFormat="false" ht="19.5" hidden="false" customHeight="true" outlineLevel="0" collapsed="false">
      <c r="B65" s="87"/>
      <c r="C65" s="87"/>
      <c r="D65" s="142"/>
      <c r="E65" s="87"/>
      <c r="F65" s="87"/>
      <c r="G65" s="87"/>
      <c r="H65" s="87"/>
      <c r="I65" s="87"/>
      <c r="J65" s="87"/>
      <c r="K65" s="87"/>
      <c r="L65" s="87"/>
      <c r="M65" s="87"/>
    </row>
    <row r="66" customFormat="false" ht="19.5" hidden="false" customHeight="true" outlineLevel="0" collapsed="false">
      <c r="B66" s="7"/>
      <c r="C66" s="7"/>
      <c r="D66" s="71"/>
      <c r="E66" s="7"/>
      <c r="F66" s="7"/>
      <c r="G66" s="7"/>
      <c r="H66" s="7"/>
      <c r="I66" s="7"/>
      <c r="J66" s="7"/>
      <c r="K66" s="7"/>
      <c r="L66" s="7"/>
      <c r="M66" s="7"/>
    </row>
    <row r="67" customFormat="false" ht="19.5" hidden="false" customHeight="true" outlineLevel="0" collapsed="false">
      <c r="B67" s="87"/>
      <c r="C67" s="87"/>
      <c r="D67" s="142"/>
      <c r="E67" s="87"/>
      <c r="F67" s="87"/>
      <c r="G67" s="87"/>
      <c r="H67" s="87"/>
      <c r="I67" s="87"/>
      <c r="J67" s="87"/>
      <c r="K67" s="87"/>
      <c r="L67" s="87"/>
      <c r="M67" s="87"/>
    </row>
    <row r="68" customFormat="false" ht="19.5" hidden="false" customHeight="true" outlineLevel="0" collapsed="false">
      <c r="B68" s="7"/>
      <c r="C68" s="7"/>
      <c r="D68" s="71"/>
      <c r="E68" s="7"/>
      <c r="F68" s="7"/>
      <c r="G68" s="7"/>
      <c r="H68" s="7"/>
      <c r="I68" s="7"/>
      <c r="J68" s="7"/>
      <c r="K68" s="7"/>
      <c r="L68" s="7"/>
      <c r="M68" s="7"/>
    </row>
    <row r="69" customFormat="false" ht="19.5" hidden="false" customHeight="true" outlineLevel="0" collapsed="false">
      <c r="B69" s="87"/>
      <c r="C69" s="87"/>
      <c r="D69" s="142"/>
      <c r="E69" s="87"/>
      <c r="F69" s="87"/>
      <c r="G69" s="87"/>
      <c r="H69" s="87"/>
      <c r="I69" s="87"/>
      <c r="J69" s="87"/>
      <c r="K69" s="87"/>
      <c r="L69" s="87"/>
      <c r="M69" s="87"/>
    </row>
    <row r="70" customFormat="false" ht="19.5" hidden="false" customHeight="true" outlineLevel="0" collapsed="false">
      <c r="B70" s="7"/>
      <c r="C70" s="7"/>
      <c r="D70" s="71"/>
      <c r="E70" s="7"/>
      <c r="F70" s="7"/>
      <c r="G70" s="7"/>
      <c r="H70" s="7"/>
      <c r="I70" s="7"/>
      <c r="J70" s="7"/>
      <c r="K70" s="7"/>
      <c r="L70" s="7"/>
      <c r="M70" s="7"/>
    </row>
    <row r="71" customFormat="false" ht="19.5" hidden="false" customHeight="true" outlineLevel="0" collapsed="false">
      <c r="B71" s="87"/>
      <c r="C71" s="87"/>
      <c r="D71" s="142"/>
      <c r="E71" s="87"/>
      <c r="F71" s="87"/>
      <c r="G71" s="87"/>
      <c r="H71" s="87"/>
      <c r="I71" s="87"/>
      <c r="J71" s="87"/>
      <c r="K71" s="87"/>
      <c r="L71" s="87"/>
      <c r="M71" s="87"/>
    </row>
    <row r="72" customFormat="false" ht="19.5" hidden="false" customHeight="true" outlineLevel="0" collapsed="false">
      <c r="B72" s="7"/>
      <c r="C72" s="7"/>
      <c r="D72" s="71"/>
      <c r="E72" s="7"/>
      <c r="F72" s="7"/>
      <c r="G72" s="7"/>
      <c r="H72" s="7"/>
      <c r="I72" s="7"/>
      <c r="J72" s="7"/>
      <c r="K72" s="7"/>
      <c r="L72" s="7"/>
      <c r="M72" s="7"/>
    </row>
    <row r="73" customFormat="false" ht="19.5" hidden="false" customHeight="true" outlineLevel="0" collapsed="false">
      <c r="B73" s="87"/>
      <c r="C73" s="87"/>
      <c r="D73" s="142"/>
      <c r="E73" s="87"/>
      <c r="F73" s="87"/>
      <c r="G73" s="87"/>
      <c r="H73" s="87"/>
      <c r="I73" s="87"/>
      <c r="J73" s="87"/>
      <c r="K73" s="87"/>
      <c r="L73" s="87"/>
      <c r="M73" s="87"/>
    </row>
    <row r="74" customFormat="false" ht="19.5" hidden="false" customHeight="true" outlineLevel="0" collapsed="false">
      <c r="B74" s="7"/>
      <c r="C74" s="7"/>
      <c r="D74" s="71"/>
      <c r="E74" s="7"/>
      <c r="F74" s="7"/>
      <c r="G74" s="7"/>
      <c r="H74" s="7"/>
      <c r="I74" s="7"/>
      <c r="J74" s="7"/>
      <c r="K74" s="7"/>
      <c r="L74" s="7"/>
      <c r="M74" s="7"/>
    </row>
    <row r="75" customFormat="false" ht="19.5" hidden="false" customHeight="true" outlineLevel="0" collapsed="false">
      <c r="B75" s="87"/>
      <c r="C75" s="87"/>
      <c r="D75" s="142"/>
      <c r="E75" s="87"/>
      <c r="F75" s="87"/>
      <c r="G75" s="87"/>
      <c r="H75" s="87"/>
      <c r="I75" s="87"/>
      <c r="J75" s="87"/>
      <c r="K75" s="87"/>
      <c r="L75" s="87"/>
      <c r="M75" s="87"/>
    </row>
    <row r="76" customFormat="false" ht="19.5" hidden="false" customHeight="true" outlineLevel="0" collapsed="false">
      <c r="B76" s="7"/>
      <c r="C76" s="7"/>
      <c r="D76" s="71"/>
      <c r="E76" s="7"/>
      <c r="F76" s="7"/>
      <c r="G76" s="7"/>
      <c r="H76" s="7"/>
      <c r="I76" s="7"/>
      <c r="J76" s="7"/>
      <c r="K76" s="7"/>
      <c r="L76" s="7"/>
      <c r="M76" s="7"/>
    </row>
    <row r="77" customFormat="false" ht="19.5" hidden="false" customHeight="true" outlineLevel="0" collapsed="false">
      <c r="B77" s="87"/>
      <c r="C77" s="87"/>
      <c r="D77" s="142"/>
      <c r="E77" s="87"/>
      <c r="F77" s="87"/>
      <c r="G77" s="87"/>
      <c r="H77" s="87"/>
      <c r="I77" s="87"/>
      <c r="J77" s="87"/>
      <c r="K77" s="87"/>
      <c r="L77" s="87"/>
      <c r="M77" s="87"/>
    </row>
    <row r="78" customFormat="false" ht="19.5" hidden="false" customHeight="true" outlineLevel="0" collapsed="false">
      <c r="B78" s="7"/>
      <c r="C78" s="7"/>
      <c r="D78" s="71"/>
      <c r="E78" s="7"/>
      <c r="F78" s="7"/>
      <c r="G78" s="7"/>
      <c r="H78" s="7"/>
      <c r="I78" s="7"/>
      <c r="J78" s="7"/>
      <c r="K78" s="7"/>
      <c r="L78" s="7"/>
      <c r="M78" s="7"/>
    </row>
    <row r="79" customFormat="false" ht="19.5" hidden="false" customHeight="true" outlineLevel="0" collapsed="false">
      <c r="B79" s="87"/>
      <c r="C79" s="87"/>
      <c r="D79" s="142"/>
      <c r="E79" s="87"/>
      <c r="F79" s="87"/>
      <c r="G79" s="87"/>
      <c r="H79" s="87"/>
      <c r="I79" s="87"/>
      <c r="J79" s="87"/>
      <c r="K79" s="87"/>
      <c r="L79" s="87"/>
      <c r="M79" s="87"/>
    </row>
    <row r="80" customFormat="false" ht="19.5" hidden="false" customHeight="true" outlineLevel="0" collapsed="false">
      <c r="B80" s="7"/>
      <c r="C80" s="7"/>
      <c r="D80" s="71"/>
      <c r="E80" s="7"/>
      <c r="F80" s="7"/>
      <c r="G80" s="7"/>
      <c r="H80" s="7"/>
      <c r="I80" s="7"/>
      <c r="J80" s="7"/>
      <c r="K80" s="7"/>
      <c r="L80" s="7"/>
      <c r="M80" s="7"/>
    </row>
    <row r="81" customFormat="false" ht="19.5" hidden="false" customHeight="true" outlineLevel="0" collapsed="false">
      <c r="B81" s="87"/>
      <c r="C81" s="87"/>
      <c r="D81" s="142"/>
      <c r="E81" s="87"/>
      <c r="F81" s="87"/>
      <c r="G81" s="87"/>
      <c r="H81" s="87"/>
      <c r="I81" s="87"/>
      <c r="J81" s="87"/>
      <c r="K81" s="87"/>
      <c r="L81" s="87"/>
      <c r="M81" s="87"/>
    </row>
    <row r="82" customFormat="false" ht="19.5" hidden="false" customHeight="true" outlineLevel="0" collapsed="false">
      <c r="B82" s="7"/>
      <c r="C82" s="7"/>
      <c r="D82" s="71"/>
      <c r="E82" s="7"/>
      <c r="F82" s="7"/>
      <c r="G82" s="7"/>
      <c r="H82" s="7"/>
      <c r="I82" s="7"/>
      <c r="J82" s="7"/>
      <c r="K82" s="7"/>
      <c r="L82" s="7"/>
      <c r="M82" s="7"/>
    </row>
    <row r="83" customFormat="false" ht="19.5" hidden="false" customHeight="true" outlineLevel="0" collapsed="false">
      <c r="B83" s="87"/>
      <c r="C83" s="87"/>
      <c r="D83" s="142"/>
      <c r="E83" s="87"/>
      <c r="F83" s="87"/>
      <c r="G83" s="87"/>
      <c r="H83" s="87"/>
      <c r="I83" s="87"/>
      <c r="J83" s="87"/>
      <c r="K83" s="87"/>
      <c r="L83" s="87"/>
      <c r="M83" s="87"/>
    </row>
    <row r="84" customFormat="false" ht="19.5" hidden="false" customHeight="true" outlineLevel="0" collapsed="false">
      <c r="B84" s="7"/>
      <c r="C84" s="7"/>
      <c r="D84" s="71"/>
      <c r="E84" s="7"/>
      <c r="F84" s="7"/>
      <c r="G84" s="7"/>
      <c r="H84" s="7"/>
      <c r="I84" s="7"/>
      <c r="J84" s="7"/>
      <c r="K84" s="7"/>
      <c r="L84" s="7"/>
      <c r="M84" s="7"/>
    </row>
    <row r="85" customFormat="false" ht="19.5" hidden="false" customHeight="true" outlineLevel="0" collapsed="false">
      <c r="B85" s="87"/>
      <c r="C85" s="87"/>
      <c r="D85" s="142"/>
      <c r="E85" s="87"/>
      <c r="F85" s="87"/>
      <c r="G85" s="87"/>
      <c r="H85" s="87"/>
      <c r="I85" s="87"/>
      <c r="J85" s="87"/>
      <c r="K85" s="87"/>
      <c r="L85" s="87"/>
      <c r="M85" s="87"/>
    </row>
    <row r="86" customFormat="false" ht="19.5" hidden="false" customHeight="true" outlineLevel="0" collapsed="false">
      <c r="B86" s="7"/>
      <c r="C86" s="7"/>
      <c r="D86" s="71"/>
      <c r="E86" s="7"/>
      <c r="F86" s="7"/>
      <c r="G86" s="7"/>
      <c r="H86" s="7"/>
      <c r="I86" s="7"/>
      <c r="J86" s="7"/>
      <c r="K86" s="7"/>
      <c r="L86" s="7"/>
      <c r="M86" s="7"/>
    </row>
    <row r="87" customFormat="false" ht="19.5" hidden="false" customHeight="true" outlineLevel="0" collapsed="false">
      <c r="B87" s="87"/>
      <c r="C87" s="87"/>
      <c r="D87" s="142"/>
      <c r="E87" s="87"/>
      <c r="F87" s="87"/>
      <c r="G87" s="87"/>
      <c r="H87" s="87"/>
      <c r="I87" s="87"/>
      <c r="J87" s="87"/>
      <c r="K87" s="87"/>
      <c r="L87" s="87"/>
      <c r="M87" s="87"/>
    </row>
    <row r="88" customFormat="false" ht="19.5" hidden="false" customHeight="true" outlineLevel="0" collapsed="false">
      <c r="B88" s="7"/>
      <c r="C88" s="7"/>
      <c r="D88" s="71"/>
      <c r="E88" s="7"/>
      <c r="F88" s="7"/>
      <c r="G88" s="7"/>
      <c r="H88" s="7"/>
      <c r="I88" s="7"/>
      <c r="J88" s="7"/>
      <c r="K88" s="7"/>
      <c r="L88" s="7"/>
      <c r="M88" s="7"/>
    </row>
    <row r="89" customFormat="false" ht="19.5" hidden="false" customHeight="true" outlineLevel="0" collapsed="false">
      <c r="B89" s="87"/>
      <c r="C89" s="87"/>
      <c r="D89" s="142"/>
      <c r="E89" s="87"/>
      <c r="F89" s="87"/>
      <c r="G89" s="87"/>
      <c r="H89" s="87"/>
      <c r="I89" s="87"/>
      <c r="J89" s="87"/>
      <c r="K89" s="87"/>
      <c r="L89" s="87"/>
      <c r="M89" s="87"/>
    </row>
    <row r="90" customFormat="false" ht="19.5" hidden="false" customHeight="true" outlineLevel="0" collapsed="false">
      <c r="B90" s="7"/>
      <c r="C90" s="7"/>
      <c r="D90" s="71"/>
      <c r="E90" s="7"/>
      <c r="F90" s="7"/>
      <c r="G90" s="7"/>
      <c r="H90" s="7"/>
      <c r="I90" s="7"/>
      <c r="J90" s="7"/>
      <c r="K90" s="7"/>
      <c r="L90" s="7"/>
      <c r="M90" s="7"/>
    </row>
    <row r="91" customFormat="false" ht="19.5" hidden="false" customHeight="true" outlineLevel="0" collapsed="false">
      <c r="B91" s="87"/>
      <c r="C91" s="87"/>
      <c r="D91" s="142"/>
      <c r="E91" s="87"/>
      <c r="F91" s="87"/>
      <c r="G91" s="87"/>
      <c r="H91" s="87"/>
      <c r="I91" s="87"/>
      <c r="J91" s="87"/>
      <c r="K91" s="87"/>
      <c r="L91" s="87"/>
      <c r="M91" s="87"/>
    </row>
    <row r="92" customFormat="false" ht="19.5" hidden="false" customHeight="true" outlineLevel="0" collapsed="false">
      <c r="B92" s="7"/>
      <c r="C92" s="7"/>
      <c r="D92" s="71"/>
      <c r="E92" s="7"/>
      <c r="F92" s="7"/>
      <c r="G92" s="7"/>
      <c r="H92" s="7"/>
      <c r="I92" s="7"/>
      <c r="J92" s="7"/>
      <c r="K92" s="7"/>
      <c r="L92" s="7"/>
      <c r="M92" s="7"/>
    </row>
    <row r="93" customFormat="false" ht="19.5" hidden="false" customHeight="true" outlineLevel="0" collapsed="false">
      <c r="B93" s="87"/>
      <c r="C93" s="87"/>
      <c r="D93" s="142"/>
      <c r="E93" s="87"/>
      <c r="F93" s="87"/>
      <c r="G93" s="87"/>
      <c r="H93" s="87"/>
      <c r="I93" s="87"/>
      <c r="J93" s="87"/>
      <c r="K93" s="87"/>
      <c r="L93" s="87"/>
      <c r="M93" s="87"/>
    </row>
    <row r="94" customFormat="false" ht="19.5" hidden="false" customHeight="true" outlineLevel="0" collapsed="false">
      <c r="B94" s="7"/>
      <c r="C94" s="7"/>
      <c r="D94" s="71"/>
      <c r="E94" s="7"/>
      <c r="F94" s="7"/>
      <c r="G94" s="7"/>
      <c r="H94" s="7"/>
      <c r="I94" s="7"/>
      <c r="J94" s="7"/>
      <c r="K94" s="7"/>
      <c r="L94" s="7"/>
      <c r="M94" s="7"/>
    </row>
    <row r="95" customFormat="false" ht="19.5" hidden="false" customHeight="true" outlineLevel="0" collapsed="false">
      <c r="B95" s="87"/>
      <c r="C95" s="87"/>
      <c r="D95" s="142"/>
      <c r="E95" s="87"/>
      <c r="F95" s="87"/>
      <c r="G95" s="87"/>
      <c r="H95" s="87"/>
      <c r="I95" s="87"/>
      <c r="J95" s="87"/>
      <c r="K95" s="87"/>
      <c r="L95" s="87"/>
      <c r="M95" s="87"/>
    </row>
    <row r="96" customFormat="false" ht="19.5" hidden="false" customHeight="true" outlineLevel="0" collapsed="false">
      <c r="B96" s="7"/>
      <c r="C96" s="7"/>
      <c r="D96" s="71"/>
      <c r="E96" s="7"/>
      <c r="F96" s="7"/>
      <c r="G96" s="7"/>
      <c r="H96" s="7"/>
      <c r="I96" s="7"/>
      <c r="J96" s="7"/>
      <c r="K96" s="7"/>
      <c r="L96" s="7"/>
      <c r="M96" s="7"/>
    </row>
    <row r="97" customFormat="false" ht="19.5" hidden="false" customHeight="true" outlineLevel="0" collapsed="false">
      <c r="B97" s="87"/>
      <c r="C97" s="87"/>
      <c r="D97" s="142"/>
      <c r="E97" s="87"/>
      <c r="F97" s="87"/>
      <c r="G97" s="87"/>
      <c r="H97" s="87"/>
      <c r="I97" s="87"/>
      <c r="J97" s="87"/>
      <c r="K97" s="87"/>
      <c r="L97" s="87"/>
      <c r="M97" s="87"/>
    </row>
    <row r="98" customFormat="false" ht="19.5" hidden="false" customHeight="true" outlineLevel="0" collapsed="false">
      <c r="B98" s="7"/>
      <c r="C98" s="7"/>
      <c r="D98" s="71"/>
      <c r="E98" s="7"/>
      <c r="F98" s="7"/>
      <c r="G98" s="7"/>
      <c r="H98" s="7"/>
      <c r="I98" s="7"/>
      <c r="J98" s="7"/>
      <c r="K98" s="7"/>
      <c r="L98" s="7"/>
      <c r="M98" s="7"/>
    </row>
    <row r="99" customFormat="false" ht="19.5" hidden="false" customHeight="true" outlineLevel="0" collapsed="false">
      <c r="B99" s="87"/>
      <c r="C99" s="87"/>
      <c r="D99" s="142"/>
      <c r="E99" s="87"/>
      <c r="F99" s="87"/>
      <c r="G99" s="87"/>
      <c r="H99" s="87"/>
      <c r="I99" s="87"/>
      <c r="J99" s="87"/>
      <c r="K99" s="87"/>
      <c r="L99" s="87"/>
      <c r="M99" s="87"/>
    </row>
    <row r="100" customFormat="false" ht="19.5" hidden="false" customHeight="true" outlineLevel="0" collapsed="false">
      <c r="B100" s="7"/>
      <c r="C100" s="7"/>
      <c r="D100" s="71"/>
      <c r="E100" s="7"/>
      <c r="F100" s="7"/>
      <c r="G100" s="7"/>
      <c r="H100" s="7"/>
      <c r="I100" s="7"/>
      <c r="J100" s="7"/>
      <c r="K100" s="7"/>
      <c r="L100" s="7"/>
      <c r="M100" s="7"/>
    </row>
    <row r="101" customFormat="false" ht="19.5" hidden="false" customHeight="true" outlineLevel="0" collapsed="false">
      <c r="B101" s="87"/>
      <c r="C101" s="87"/>
      <c r="D101" s="142"/>
      <c r="E101" s="87"/>
      <c r="F101" s="87"/>
      <c r="G101" s="87"/>
      <c r="H101" s="87"/>
      <c r="I101" s="87"/>
      <c r="J101" s="87"/>
      <c r="K101" s="87"/>
      <c r="L101" s="87"/>
      <c r="M101" s="87"/>
    </row>
    <row r="102" customFormat="false" ht="19.5" hidden="false" customHeight="true" outlineLevel="0" collapsed="false">
      <c r="B102" s="7"/>
      <c r="C102" s="7"/>
      <c r="D102" s="71"/>
      <c r="E102" s="7"/>
      <c r="F102" s="7"/>
      <c r="G102" s="7"/>
      <c r="H102" s="7"/>
      <c r="I102" s="7"/>
      <c r="J102" s="7"/>
      <c r="K102" s="7"/>
      <c r="L102" s="7"/>
      <c r="M102" s="7"/>
    </row>
    <row r="103" customFormat="false" ht="19.5" hidden="false" customHeight="true" outlineLevel="0" collapsed="false">
      <c r="B103" s="87"/>
      <c r="C103" s="87"/>
      <c r="D103" s="142"/>
      <c r="E103" s="87"/>
      <c r="F103" s="87"/>
      <c r="G103" s="87"/>
      <c r="H103" s="87"/>
      <c r="I103" s="87"/>
      <c r="J103" s="87"/>
      <c r="K103" s="87"/>
      <c r="L103" s="87"/>
      <c r="M103" s="87"/>
    </row>
    <row r="104" customFormat="false" ht="19.5" hidden="false" customHeight="true" outlineLevel="0" collapsed="false">
      <c r="B104" s="7"/>
      <c r="C104" s="7"/>
      <c r="D104" s="71"/>
      <c r="E104" s="7"/>
      <c r="F104" s="7"/>
      <c r="G104" s="7"/>
      <c r="H104" s="7"/>
      <c r="I104" s="7"/>
      <c r="J104" s="7"/>
      <c r="K104" s="7"/>
      <c r="L104" s="7"/>
      <c r="M104" s="7"/>
    </row>
    <row r="105" customFormat="false" ht="19.5" hidden="false" customHeight="true" outlineLevel="0" collapsed="false">
      <c r="B105" s="87"/>
      <c r="C105" s="87"/>
      <c r="D105" s="142"/>
      <c r="E105" s="87"/>
      <c r="F105" s="87"/>
      <c r="G105" s="87"/>
      <c r="H105" s="87"/>
      <c r="I105" s="87"/>
      <c r="J105" s="87"/>
      <c r="K105" s="87"/>
      <c r="L105" s="87"/>
      <c r="M105" s="87"/>
    </row>
    <row r="106" customFormat="false" ht="19.5" hidden="false" customHeight="true" outlineLevel="0" collapsed="false">
      <c r="B106" s="7"/>
      <c r="C106" s="7"/>
      <c r="D106" s="71"/>
      <c r="E106" s="7"/>
      <c r="F106" s="7"/>
      <c r="G106" s="7"/>
      <c r="H106" s="7"/>
      <c r="I106" s="7"/>
      <c r="J106" s="7"/>
      <c r="K106" s="7"/>
      <c r="L106" s="7"/>
      <c r="M106" s="7"/>
    </row>
    <row r="107" customFormat="false" ht="19.5" hidden="false" customHeight="true" outlineLevel="0" collapsed="false">
      <c r="B107" s="87"/>
      <c r="C107" s="87"/>
      <c r="D107" s="142"/>
      <c r="E107" s="87"/>
      <c r="F107" s="87"/>
      <c r="G107" s="87"/>
      <c r="H107" s="87"/>
      <c r="I107" s="87"/>
      <c r="J107" s="87"/>
      <c r="K107" s="87"/>
      <c r="L107" s="87"/>
      <c r="M107" s="87"/>
    </row>
    <row r="108" customFormat="false" ht="19.5" hidden="false" customHeight="true" outlineLevel="0" collapsed="false">
      <c r="B108" s="7"/>
      <c r="C108" s="7"/>
      <c r="D108" s="71"/>
      <c r="E108" s="7"/>
      <c r="F108" s="7"/>
      <c r="G108" s="7"/>
      <c r="H108" s="7"/>
      <c r="I108" s="7"/>
      <c r="J108" s="7"/>
      <c r="K108" s="7"/>
      <c r="L108" s="7"/>
      <c r="M108" s="7"/>
    </row>
    <row r="109" customFormat="false" ht="19.5" hidden="false" customHeight="true" outlineLevel="0" collapsed="false">
      <c r="B109" s="87"/>
      <c r="C109" s="87"/>
      <c r="D109" s="142"/>
      <c r="E109" s="87"/>
      <c r="F109" s="87"/>
      <c r="G109" s="87"/>
      <c r="H109" s="87"/>
      <c r="I109" s="87"/>
      <c r="J109" s="87"/>
      <c r="K109" s="87"/>
      <c r="L109" s="87"/>
      <c r="M109" s="87"/>
    </row>
    <row r="110" customFormat="false" ht="19.5" hidden="false" customHeight="true" outlineLevel="0" collapsed="false">
      <c r="B110" s="7"/>
      <c r="C110" s="7"/>
      <c r="D110" s="71"/>
      <c r="E110" s="7"/>
      <c r="F110" s="7"/>
      <c r="G110" s="7"/>
      <c r="H110" s="7"/>
      <c r="I110" s="7"/>
      <c r="J110" s="7"/>
      <c r="K110" s="7"/>
      <c r="L110" s="7"/>
      <c r="M110" s="7"/>
    </row>
    <row r="111" customFormat="false" ht="19.5" hidden="false" customHeight="true" outlineLevel="0" collapsed="false">
      <c r="B111" s="87"/>
      <c r="C111" s="87"/>
      <c r="D111" s="142"/>
      <c r="E111" s="87"/>
      <c r="F111" s="87"/>
      <c r="G111" s="87"/>
      <c r="H111" s="87"/>
      <c r="I111" s="87"/>
      <c r="J111" s="87"/>
      <c r="K111" s="87"/>
      <c r="L111" s="87"/>
      <c r="M111" s="87"/>
    </row>
    <row r="112" customFormat="false" ht="19.5" hidden="false" customHeight="true" outlineLevel="0" collapsed="false">
      <c r="B112" s="7"/>
      <c r="C112" s="7"/>
      <c r="D112" s="71"/>
      <c r="E112" s="7"/>
      <c r="F112" s="7"/>
      <c r="G112" s="7"/>
      <c r="H112" s="7"/>
      <c r="I112" s="7"/>
      <c r="J112" s="7"/>
      <c r="K112" s="7"/>
      <c r="L112" s="7"/>
      <c r="M112" s="7"/>
    </row>
    <row r="113" customFormat="false" ht="19.5" hidden="false" customHeight="true" outlineLevel="0" collapsed="false">
      <c r="B113" s="87"/>
      <c r="C113" s="87"/>
      <c r="D113" s="142"/>
      <c r="E113" s="87"/>
      <c r="F113" s="87"/>
      <c r="G113" s="87"/>
      <c r="H113" s="87"/>
      <c r="I113" s="87"/>
      <c r="J113" s="87"/>
      <c r="K113" s="87"/>
      <c r="L113" s="87"/>
      <c r="M113" s="87"/>
    </row>
    <row r="114" customFormat="false" ht="19.5" hidden="false" customHeight="true" outlineLevel="0" collapsed="false">
      <c r="B114" s="7"/>
      <c r="C114" s="7"/>
      <c r="D114" s="71"/>
      <c r="E114" s="7"/>
      <c r="F114" s="7"/>
      <c r="G114" s="7"/>
      <c r="H114" s="7"/>
      <c r="I114" s="7"/>
      <c r="J114" s="7"/>
      <c r="K114" s="7"/>
      <c r="L114" s="7"/>
      <c r="M114" s="7"/>
    </row>
    <row r="115" customFormat="false" ht="19.5" hidden="false" customHeight="true" outlineLevel="0" collapsed="false">
      <c r="B115" s="87"/>
      <c r="C115" s="87"/>
      <c r="D115" s="142"/>
      <c r="E115" s="87"/>
      <c r="F115" s="87"/>
      <c r="G115" s="87"/>
      <c r="H115" s="87"/>
      <c r="I115" s="87"/>
      <c r="J115" s="87"/>
      <c r="K115" s="87"/>
      <c r="L115" s="87"/>
      <c r="M115" s="87"/>
    </row>
    <row r="116" customFormat="false" ht="19.5" hidden="false" customHeight="true" outlineLevel="0" collapsed="false">
      <c r="B116" s="7"/>
      <c r="C116" s="7"/>
      <c r="D116" s="71"/>
      <c r="E116" s="7"/>
      <c r="F116" s="7"/>
      <c r="G116" s="7"/>
      <c r="H116" s="7"/>
      <c r="I116" s="7"/>
      <c r="J116" s="7"/>
      <c r="K116" s="7"/>
      <c r="L116" s="7"/>
      <c r="M116" s="7"/>
    </row>
    <row r="117" customFormat="false" ht="19.5" hidden="false" customHeight="true" outlineLevel="0" collapsed="false">
      <c r="B117" s="87"/>
      <c r="C117" s="87"/>
      <c r="D117" s="142"/>
      <c r="E117" s="87"/>
      <c r="F117" s="87"/>
      <c r="G117" s="87"/>
      <c r="H117" s="87"/>
      <c r="I117" s="87"/>
      <c r="J117" s="87"/>
      <c r="K117" s="87"/>
      <c r="L117" s="87"/>
      <c r="M117" s="87"/>
    </row>
    <row r="118" customFormat="false" ht="19.5" hidden="false" customHeight="true" outlineLevel="0" collapsed="false">
      <c r="B118" s="7"/>
      <c r="C118" s="7"/>
      <c r="D118" s="71"/>
      <c r="E118" s="7"/>
      <c r="F118" s="7"/>
      <c r="G118" s="7"/>
      <c r="H118" s="7"/>
      <c r="I118" s="7"/>
      <c r="J118" s="7"/>
      <c r="K118" s="7"/>
      <c r="L118" s="7"/>
      <c r="M118" s="7"/>
    </row>
    <row r="119" customFormat="false" ht="19.5" hidden="false" customHeight="true" outlineLevel="0" collapsed="false">
      <c r="B119" s="87"/>
      <c r="C119" s="87"/>
      <c r="D119" s="142"/>
      <c r="E119" s="87"/>
      <c r="F119" s="87"/>
      <c r="G119" s="87"/>
      <c r="H119" s="87"/>
      <c r="I119" s="87"/>
      <c r="J119" s="87"/>
      <c r="K119" s="87"/>
      <c r="L119" s="87"/>
      <c r="M119" s="87"/>
    </row>
    <row r="120" customFormat="false" ht="19.5" hidden="false" customHeight="true" outlineLevel="0" collapsed="false">
      <c r="B120" s="7"/>
      <c r="C120" s="7"/>
      <c r="D120" s="71"/>
      <c r="E120" s="7"/>
      <c r="F120" s="7"/>
      <c r="G120" s="7"/>
      <c r="H120" s="7"/>
      <c r="I120" s="7"/>
      <c r="J120" s="7"/>
      <c r="K120" s="7"/>
      <c r="L120" s="7"/>
      <c r="M120" s="7"/>
    </row>
    <row r="121" customFormat="false" ht="19.5" hidden="false" customHeight="true" outlineLevel="0" collapsed="false">
      <c r="B121" s="87"/>
      <c r="C121" s="87"/>
      <c r="D121" s="142"/>
      <c r="E121" s="87"/>
      <c r="F121" s="87"/>
      <c r="G121" s="87"/>
      <c r="H121" s="87"/>
      <c r="I121" s="87"/>
      <c r="J121" s="87"/>
      <c r="K121" s="87"/>
      <c r="L121" s="87"/>
      <c r="M121" s="87"/>
    </row>
    <row r="122" customFormat="false" ht="19.5" hidden="false" customHeight="true" outlineLevel="0" collapsed="false">
      <c r="B122" s="7"/>
      <c r="C122" s="7"/>
      <c r="D122" s="71"/>
      <c r="E122" s="7"/>
      <c r="F122" s="7"/>
      <c r="G122" s="7"/>
      <c r="H122" s="7"/>
      <c r="I122" s="7"/>
      <c r="J122" s="7"/>
      <c r="K122" s="7"/>
      <c r="L122" s="7"/>
      <c r="M122" s="7"/>
    </row>
    <row r="123" customFormat="false" ht="19.5" hidden="false" customHeight="true" outlineLevel="0" collapsed="false">
      <c r="B123" s="87"/>
      <c r="C123" s="87"/>
      <c r="D123" s="142"/>
      <c r="E123" s="87"/>
      <c r="F123" s="87"/>
      <c r="G123" s="87"/>
      <c r="H123" s="87"/>
      <c r="I123" s="87"/>
      <c r="J123" s="87"/>
      <c r="K123" s="87"/>
      <c r="L123" s="87"/>
      <c r="M123" s="87"/>
    </row>
    <row r="124" customFormat="false" ht="19.5" hidden="false" customHeight="true" outlineLevel="0" collapsed="false">
      <c r="B124" s="7"/>
      <c r="C124" s="7"/>
      <c r="D124" s="71"/>
      <c r="E124" s="7"/>
      <c r="F124" s="7"/>
      <c r="G124" s="7"/>
      <c r="H124" s="7"/>
      <c r="I124" s="7"/>
      <c r="J124" s="7"/>
      <c r="K124" s="7"/>
      <c r="L124" s="7"/>
      <c r="M124" s="7"/>
    </row>
    <row r="125" customFormat="false" ht="19.5" hidden="false" customHeight="true" outlineLevel="0" collapsed="false">
      <c r="B125" s="87"/>
      <c r="C125" s="87"/>
      <c r="D125" s="142"/>
      <c r="E125" s="87"/>
      <c r="F125" s="87"/>
      <c r="G125" s="87"/>
      <c r="H125" s="87"/>
      <c r="I125" s="87"/>
      <c r="J125" s="87"/>
      <c r="K125" s="87"/>
      <c r="L125" s="87"/>
      <c r="M125" s="87"/>
    </row>
    <row r="126" customFormat="false" ht="19.5" hidden="false" customHeight="true" outlineLevel="0" collapsed="false">
      <c r="B126" s="7"/>
      <c r="C126" s="7"/>
      <c r="D126" s="71"/>
      <c r="E126" s="7"/>
      <c r="F126" s="7"/>
      <c r="G126" s="7"/>
      <c r="H126" s="7"/>
      <c r="I126" s="7"/>
      <c r="J126" s="7"/>
      <c r="K126" s="7"/>
      <c r="L126" s="7"/>
      <c r="M126" s="7"/>
    </row>
    <row r="127" customFormat="false" ht="19.5" hidden="false" customHeight="true" outlineLevel="0" collapsed="false">
      <c r="B127" s="87"/>
      <c r="C127" s="87"/>
      <c r="D127" s="142"/>
      <c r="E127" s="87"/>
      <c r="F127" s="87"/>
      <c r="G127" s="87"/>
      <c r="H127" s="87"/>
      <c r="I127" s="87"/>
      <c r="J127" s="87"/>
      <c r="K127" s="87"/>
      <c r="L127" s="87"/>
      <c r="M127" s="87"/>
    </row>
    <row r="128" customFormat="false" ht="19.5" hidden="false" customHeight="true" outlineLevel="0" collapsed="false">
      <c r="B128" s="7"/>
      <c r="C128" s="7"/>
      <c r="D128" s="71"/>
      <c r="E128" s="7"/>
      <c r="F128" s="7"/>
      <c r="G128" s="7"/>
      <c r="H128" s="7"/>
      <c r="I128" s="7"/>
      <c r="J128" s="7"/>
      <c r="K128" s="7"/>
      <c r="L128" s="7"/>
      <c r="M128" s="7"/>
    </row>
    <row r="129" customFormat="false" ht="19.5" hidden="false" customHeight="true" outlineLevel="0" collapsed="false">
      <c r="B129" s="87"/>
      <c r="C129" s="87"/>
      <c r="D129" s="142"/>
      <c r="E129" s="87"/>
      <c r="F129" s="87"/>
      <c r="G129" s="87"/>
      <c r="H129" s="87"/>
      <c r="I129" s="87"/>
      <c r="J129" s="87"/>
      <c r="K129" s="87"/>
      <c r="L129" s="87"/>
      <c r="M129" s="87"/>
    </row>
    <row r="130" customFormat="false" ht="19.5" hidden="false" customHeight="true" outlineLevel="0" collapsed="false">
      <c r="B130" s="7"/>
      <c r="C130" s="7"/>
      <c r="D130" s="71"/>
      <c r="E130" s="7"/>
      <c r="F130" s="7"/>
      <c r="G130" s="7"/>
      <c r="H130" s="7"/>
      <c r="I130" s="7"/>
      <c r="J130" s="7"/>
      <c r="K130" s="7"/>
      <c r="L130" s="7"/>
      <c r="M130" s="7"/>
    </row>
    <row r="131" customFormat="false" ht="19.5" hidden="false" customHeight="true" outlineLevel="0" collapsed="false">
      <c r="B131" s="87"/>
      <c r="C131" s="87"/>
      <c r="D131" s="142"/>
      <c r="E131" s="87"/>
      <c r="F131" s="87"/>
      <c r="G131" s="87"/>
      <c r="H131" s="87"/>
      <c r="I131" s="87"/>
      <c r="J131" s="87"/>
      <c r="K131" s="87"/>
      <c r="L131" s="87"/>
      <c r="M131" s="87"/>
    </row>
    <row r="132" customFormat="false" ht="19.5" hidden="false" customHeight="true" outlineLevel="0" collapsed="false">
      <c r="B132" s="7"/>
      <c r="C132" s="7"/>
      <c r="D132" s="71"/>
      <c r="E132" s="7"/>
      <c r="F132" s="7"/>
      <c r="G132" s="7"/>
      <c r="H132" s="7"/>
      <c r="I132" s="7"/>
      <c r="J132" s="7"/>
      <c r="K132" s="7"/>
      <c r="L132" s="7"/>
      <c r="M132" s="7"/>
    </row>
    <row r="133" customFormat="false" ht="19.5" hidden="false" customHeight="true" outlineLevel="0" collapsed="false">
      <c r="B133" s="87"/>
      <c r="C133" s="87"/>
      <c r="D133" s="142"/>
      <c r="E133" s="87"/>
      <c r="F133" s="87"/>
      <c r="G133" s="87"/>
      <c r="H133" s="87"/>
      <c r="I133" s="87"/>
      <c r="J133" s="87"/>
      <c r="K133" s="87"/>
      <c r="L133" s="87"/>
      <c r="M133" s="87"/>
    </row>
    <row r="134" customFormat="false" ht="19.5" hidden="false" customHeight="true" outlineLevel="0" collapsed="false">
      <c r="B134" s="7"/>
      <c r="C134" s="7"/>
      <c r="D134" s="71"/>
      <c r="E134" s="7"/>
      <c r="F134" s="7"/>
      <c r="G134" s="7"/>
      <c r="H134" s="7"/>
      <c r="I134" s="7"/>
      <c r="J134" s="7"/>
      <c r="K134" s="7"/>
      <c r="L134" s="7"/>
      <c r="M134" s="7"/>
    </row>
    <row r="135" customFormat="false" ht="19.5" hidden="false" customHeight="true" outlineLevel="0" collapsed="false">
      <c r="B135" s="87"/>
      <c r="C135" s="87"/>
      <c r="D135" s="142"/>
      <c r="E135" s="87"/>
      <c r="F135" s="87"/>
      <c r="G135" s="87"/>
      <c r="H135" s="87"/>
      <c r="I135" s="87"/>
      <c r="J135" s="87"/>
      <c r="K135" s="87"/>
      <c r="L135" s="87"/>
      <c r="M135" s="87"/>
    </row>
    <row r="136" customFormat="false" ht="19.5" hidden="false" customHeight="true" outlineLevel="0" collapsed="false">
      <c r="B136" s="7"/>
      <c r="C136" s="7"/>
      <c r="D136" s="71"/>
      <c r="E136" s="7"/>
      <c r="F136" s="7"/>
      <c r="G136" s="7"/>
      <c r="H136" s="7"/>
      <c r="I136" s="7"/>
      <c r="J136" s="7"/>
      <c r="K136" s="7"/>
      <c r="L136" s="7"/>
      <c r="M136" s="7"/>
    </row>
    <row r="137" customFormat="false" ht="19.5" hidden="false" customHeight="true" outlineLevel="0" collapsed="false">
      <c r="B137" s="87"/>
      <c r="C137" s="87"/>
      <c r="D137" s="142"/>
      <c r="E137" s="87"/>
      <c r="F137" s="87"/>
      <c r="G137" s="87"/>
      <c r="H137" s="87"/>
      <c r="I137" s="87"/>
      <c r="J137" s="87"/>
      <c r="K137" s="87"/>
      <c r="L137" s="87"/>
      <c r="M137" s="87"/>
    </row>
    <row r="138" customFormat="false" ht="19.5" hidden="false" customHeight="true" outlineLevel="0" collapsed="false">
      <c r="B138" s="7"/>
      <c r="C138" s="7"/>
      <c r="D138" s="71"/>
      <c r="E138" s="7"/>
      <c r="F138" s="7"/>
      <c r="G138" s="7"/>
      <c r="H138" s="7"/>
      <c r="I138" s="7"/>
      <c r="J138" s="7"/>
      <c r="K138" s="7"/>
      <c r="L138" s="7"/>
      <c r="M138" s="7"/>
    </row>
    <row r="139" customFormat="false" ht="19.5" hidden="false" customHeight="true" outlineLevel="0" collapsed="false">
      <c r="B139" s="87"/>
      <c r="C139" s="87"/>
      <c r="D139" s="142"/>
      <c r="E139" s="87"/>
      <c r="F139" s="87"/>
      <c r="G139" s="87"/>
      <c r="H139" s="87"/>
      <c r="I139" s="87"/>
      <c r="J139" s="87"/>
      <c r="K139" s="87"/>
      <c r="L139" s="87"/>
      <c r="M139" s="87"/>
    </row>
    <row r="140" customFormat="false" ht="19.5" hidden="false" customHeight="true" outlineLevel="0" collapsed="false">
      <c r="B140" s="7"/>
      <c r="C140" s="7"/>
      <c r="D140" s="71"/>
      <c r="E140" s="7"/>
      <c r="F140" s="7"/>
      <c r="G140" s="7"/>
      <c r="H140" s="7"/>
      <c r="I140" s="7"/>
      <c r="J140" s="7"/>
      <c r="K140" s="7"/>
      <c r="L140" s="7"/>
      <c r="M140" s="7"/>
    </row>
    <row r="141" customFormat="false" ht="19.5" hidden="false" customHeight="true" outlineLevel="0" collapsed="false">
      <c r="B141" s="87"/>
      <c r="C141" s="87"/>
      <c r="D141" s="142"/>
      <c r="E141" s="87"/>
      <c r="F141" s="87"/>
      <c r="G141" s="87"/>
      <c r="H141" s="87"/>
      <c r="I141" s="87"/>
      <c r="J141" s="87"/>
      <c r="K141" s="87"/>
      <c r="L141" s="87"/>
      <c r="M141" s="87"/>
    </row>
    <row r="142" customFormat="false" ht="19.5" hidden="false" customHeight="true" outlineLevel="0" collapsed="false">
      <c r="B142" s="7"/>
      <c r="C142" s="7"/>
      <c r="D142" s="71"/>
      <c r="E142" s="7"/>
      <c r="F142" s="7"/>
      <c r="G142" s="7"/>
      <c r="H142" s="7"/>
      <c r="I142" s="7"/>
      <c r="J142" s="7"/>
      <c r="K142" s="7"/>
      <c r="L142" s="7"/>
      <c r="M142" s="7"/>
    </row>
    <row r="143" customFormat="false" ht="19.5" hidden="false" customHeight="true" outlineLevel="0" collapsed="false">
      <c r="B143" s="87"/>
      <c r="C143" s="87"/>
      <c r="D143" s="142"/>
      <c r="E143" s="87"/>
      <c r="F143" s="87"/>
      <c r="G143" s="87"/>
      <c r="H143" s="87"/>
      <c r="I143" s="87"/>
      <c r="J143" s="87"/>
      <c r="K143" s="87"/>
      <c r="L143" s="87"/>
      <c r="M143" s="87"/>
    </row>
    <row r="144" customFormat="false" ht="19.5" hidden="false" customHeight="true" outlineLevel="0" collapsed="false">
      <c r="B144" s="7"/>
      <c r="C144" s="7"/>
      <c r="D144" s="71"/>
      <c r="E144" s="7"/>
      <c r="F144" s="7"/>
      <c r="G144" s="7"/>
      <c r="H144" s="7"/>
      <c r="I144" s="7"/>
      <c r="J144" s="7"/>
      <c r="K144" s="7"/>
      <c r="L144" s="7"/>
      <c r="M144" s="7"/>
    </row>
    <row r="145" customFormat="false" ht="19.5" hidden="false" customHeight="true" outlineLevel="0" collapsed="false">
      <c r="B145" s="87"/>
      <c r="C145" s="87"/>
      <c r="D145" s="142"/>
      <c r="E145" s="87"/>
      <c r="F145" s="87"/>
      <c r="G145" s="87"/>
      <c r="H145" s="87"/>
      <c r="I145" s="87"/>
      <c r="J145" s="87"/>
      <c r="K145" s="87"/>
      <c r="L145" s="87"/>
      <c r="M145" s="87"/>
    </row>
    <row r="146" customFormat="false" ht="19.5" hidden="false" customHeight="true" outlineLevel="0" collapsed="false">
      <c r="B146" s="7"/>
      <c r="C146" s="7"/>
      <c r="D146" s="71"/>
      <c r="E146" s="7"/>
      <c r="F146" s="7"/>
      <c r="G146" s="7"/>
      <c r="H146" s="7"/>
      <c r="I146" s="7"/>
      <c r="J146" s="7"/>
      <c r="K146" s="7"/>
      <c r="L146" s="7"/>
      <c r="M146" s="7"/>
    </row>
    <row r="147" customFormat="false" ht="19.5" hidden="false" customHeight="true" outlineLevel="0" collapsed="false">
      <c r="B147" s="87"/>
      <c r="C147" s="87"/>
      <c r="D147" s="142"/>
      <c r="E147" s="87"/>
      <c r="F147" s="87"/>
      <c r="G147" s="87"/>
      <c r="H147" s="87"/>
      <c r="I147" s="87"/>
      <c r="J147" s="87"/>
      <c r="K147" s="87"/>
      <c r="L147" s="87"/>
      <c r="M147" s="87"/>
    </row>
    <row r="148" customFormat="false" ht="19.5" hidden="false" customHeight="true" outlineLevel="0" collapsed="false">
      <c r="B148" s="7"/>
      <c r="C148" s="7"/>
      <c r="D148" s="71"/>
      <c r="E148" s="7"/>
      <c r="F148" s="7"/>
      <c r="G148" s="7"/>
      <c r="H148" s="7"/>
      <c r="I148" s="7"/>
      <c r="J148" s="7"/>
      <c r="K148" s="7"/>
      <c r="L148" s="7"/>
      <c r="M148" s="7"/>
    </row>
    <row r="149" customFormat="false" ht="19.5" hidden="false" customHeight="true" outlineLevel="0" collapsed="false">
      <c r="B149" s="87"/>
      <c r="C149" s="87"/>
      <c r="D149" s="142"/>
      <c r="E149" s="87"/>
      <c r="F149" s="87"/>
      <c r="G149" s="87"/>
      <c r="H149" s="87"/>
      <c r="I149" s="87"/>
      <c r="J149" s="87"/>
      <c r="K149" s="87"/>
      <c r="L149" s="87"/>
      <c r="M149" s="87"/>
    </row>
    <row r="150" customFormat="false" ht="19.5" hidden="false" customHeight="true" outlineLevel="0" collapsed="false">
      <c r="B150" s="7"/>
      <c r="C150" s="7"/>
      <c r="D150" s="71"/>
      <c r="E150" s="7"/>
      <c r="F150" s="7"/>
      <c r="G150" s="7"/>
      <c r="H150" s="7"/>
      <c r="I150" s="7"/>
      <c r="J150" s="7"/>
      <c r="K150" s="7"/>
      <c r="L150" s="7"/>
      <c r="M150" s="7"/>
    </row>
    <row r="151" customFormat="false" ht="19.5" hidden="false" customHeight="true" outlineLevel="0" collapsed="false">
      <c r="B151" s="87"/>
      <c r="C151" s="87"/>
      <c r="D151" s="142"/>
      <c r="E151" s="87"/>
      <c r="F151" s="87"/>
      <c r="G151" s="87"/>
      <c r="H151" s="87"/>
      <c r="I151" s="87"/>
      <c r="J151" s="87"/>
      <c r="K151" s="87"/>
      <c r="L151" s="87"/>
      <c r="M151" s="87"/>
    </row>
    <row r="152" customFormat="false" ht="19.5" hidden="false" customHeight="true" outlineLevel="0" collapsed="false">
      <c r="B152" s="7"/>
      <c r="C152" s="7"/>
      <c r="D152" s="71"/>
      <c r="E152" s="7"/>
      <c r="F152" s="7"/>
      <c r="G152" s="7"/>
      <c r="H152" s="7"/>
      <c r="I152" s="7"/>
      <c r="J152" s="7"/>
      <c r="K152" s="7"/>
      <c r="L152" s="7"/>
      <c r="M152" s="7"/>
    </row>
    <row r="153" customFormat="false" ht="19.5" hidden="false" customHeight="true" outlineLevel="0" collapsed="false">
      <c r="B153" s="87"/>
      <c r="C153" s="87"/>
      <c r="D153" s="142"/>
      <c r="E153" s="87"/>
      <c r="F153" s="87"/>
      <c r="G153" s="87"/>
      <c r="H153" s="87"/>
      <c r="I153" s="87"/>
      <c r="J153" s="87"/>
      <c r="K153" s="87"/>
      <c r="L153" s="87"/>
      <c r="M153" s="87"/>
    </row>
    <row r="154" customFormat="false" ht="19.5" hidden="false" customHeight="true" outlineLevel="0" collapsed="false">
      <c r="B154" s="7"/>
      <c r="C154" s="7"/>
      <c r="D154" s="71"/>
      <c r="E154" s="7"/>
      <c r="F154" s="7"/>
      <c r="G154" s="7"/>
      <c r="H154" s="7"/>
      <c r="I154" s="7"/>
      <c r="J154" s="7"/>
      <c r="K154" s="7"/>
      <c r="L154" s="7"/>
      <c r="M154" s="7"/>
    </row>
    <row r="155" customFormat="false" ht="19.5" hidden="false" customHeight="true" outlineLevel="0" collapsed="false">
      <c r="B155" s="87"/>
      <c r="C155" s="87"/>
      <c r="D155" s="142"/>
      <c r="E155" s="87"/>
      <c r="F155" s="87"/>
      <c r="G155" s="87"/>
      <c r="H155" s="87"/>
      <c r="I155" s="87"/>
      <c r="J155" s="87"/>
      <c r="K155" s="87"/>
      <c r="L155" s="87"/>
      <c r="M155" s="87"/>
    </row>
    <row r="156" customFormat="false" ht="19.5" hidden="false" customHeight="true" outlineLevel="0" collapsed="false">
      <c r="B156" s="7"/>
      <c r="C156" s="7"/>
      <c r="D156" s="71"/>
      <c r="E156" s="7"/>
      <c r="F156" s="7"/>
      <c r="G156" s="7"/>
      <c r="H156" s="7"/>
      <c r="I156" s="7"/>
      <c r="J156" s="7"/>
      <c r="K156" s="7"/>
      <c r="L156" s="7"/>
      <c r="M156" s="7"/>
    </row>
    <row r="157" customFormat="false" ht="19.5" hidden="false" customHeight="true" outlineLevel="0" collapsed="false">
      <c r="B157" s="87"/>
      <c r="C157" s="87"/>
      <c r="D157" s="142"/>
      <c r="E157" s="87"/>
      <c r="F157" s="87"/>
      <c r="G157" s="87"/>
      <c r="H157" s="87"/>
      <c r="I157" s="87"/>
      <c r="J157" s="87"/>
      <c r="K157" s="87"/>
      <c r="L157" s="87"/>
      <c r="M157" s="87"/>
    </row>
    <row r="158" customFormat="false" ht="19.5" hidden="false" customHeight="true" outlineLevel="0" collapsed="false">
      <c r="B158" s="7"/>
      <c r="C158" s="7"/>
      <c r="D158" s="71"/>
      <c r="E158" s="7"/>
      <c r="F158" s="7"/>
      <c r="G158" s="7"/>
      <c r="H158" s="7"/>
      <c r="I158" s="7"/>
      <c r="J158" s="7"/>
      <c r="K158" s="7"/>
      <c r="L158" s="7"/>
      <c r="M158" s="7"/>
    </row>
    <row r="159" customFormat="false" ht="19.5" hidden="false" customHeight="true" outlineLevel="0" collapsed="false">
      <c r="B159" s="87"/>
      <c r="C159" s="87"/>
      <c r="D159" s="142"/>
      <c r="E159" s="87"/>
      <c r="F159" s="87"/>
      <c r="G159" s="87"/>
      <c r="H159" s="87"/>
      <c r="I159" s="87"/>
      <c r="J159" s="87"/>
      <c r="K159" s="87"/>
      <c r="L159" s="87"/>
      <c r="M159" s="87"/>
    </row>
    <row r="160" customFormat="false" ht="19.5" hidden="false" customHeight="true" outlineLevel="0" collapsed="false">
      <c r="B160" s="7"/>
      <c r="C160" s="7"/>
      <c r="D160" s="71"/>
      <c r="E160" s="7"/>
      <c r="F160" s="7"/>
      <c r="G160" s="7"/>
      <c r="H160" s="7"/>
      <c r="I160" s="7"/>
      <c r="J160" s="7"/>
      <c r="K160" s="7"/>
      <c r="L160" s="7"/>
      <c r="M160" s="7"/>
    </row>
    <row r="161" customFormat="false" ht="19.5" hidden="false" customHeight="true" outlineLevel="0" collapsed="false">
      <c r="B161" s="87"/>
      <c r="C161" s="87"/>
      <c r="D161" s="142"/>
      <c r="E161" s="87"/>
      <c r="F161" s="87"/>
      <c r="G161" s="87"/>
      <c r="H161" s="87"/>
      <c r="I161" s="87"/>
      <c r="J161" s="87"/>
      <c r="K161" s="87"/>
      <c r="L161" s="87"/>
      <c r="M161" s="87"/>
    </row>
    <row r="162" customFormat="false" ht="19.5" hidden="false" customHeight="true" outlineLevel="0" collapsed="false">
      <c r="B162" s="7"/>
      <c r="C162" s="7"/>
      <c r="D162" s="71"/>
      <c r="E162" s="7"/>
      <c r="F162" s="7"/>
      <c r="G162" s="7"/>
      <c r="H162" s="7"/>
      <c r="I162" s="7"/>
      <c r="J162" s="7"/>
      <c r="K162" s="7"/>
      <c r="L162" s="7"/>
      <c r="M162" s="7"/>
    </row>
    <row r="163" customFormat="false" ht="19.5" hidden="false" customHeight="true" outlineLevel="0" collapsed="false">
      <c r="B163" s="87"/>
      <c r="C163" s="87"/>
      <c r="D163" s="142"/>
      <c r="E163" s="87"/>
      <c r="F163" s="87"/>
      <c r="G163" s="87"/>
      <c r="H163" s="87"/>
      <c r="I163" s="87"/>
      <c r="J163" s="87"/>
      <c r="K163" s="87"/>
      <c r="L163" s="87"/>
      <c r="M163" s="87"/>
    </row>
    <row r="164" customFormat="false" ht="19.5" hidden="false" customHeight="true" outlineLevel="0" collapsed="false">
      <c r="B164" s="7"/>
      <c r="C164" s="7"/>
      <c r="D164" s="71"/>
      <c r="E164" s="7"/>
      <c r="F164" s="7"/>
      <c r="G164" s="7"/>
      <c r="H164" s="7"/>
      <c r="I164" s="7"/>
      <c r="J164" s="7"/>
      <c r="K164" s="7"/>
      <c r="L164" s="7"/>
      <c r="M164" s="7"/>
    </row>
    <row r="165" customFormat="false" ht="19.5" hidden="false" customHeight="true" outlineLevel="0" collapsed="false">
      <c r="B165" s="87"/>
      <c r="C165" s="87"/>
      <c r="D165" s="142"/>
      <c r="E165" s="87"/>
      <c r="F165" s="87"/>
      <c r="G165" s="87"/>
      <c r="H165" s="87"/>
      <c r="I165" s="87"/>
      <c r="J165" s="87"/>
      <c r="K165" s="87"/>
      <c r="L165" s="87"/>
      <c r="M165" s="87"/>
    </row>
    <row r="166" customFormat="false" ht="19.5" hidden="false" customHeight="true" outlineLevel="0" collapsed="false">
      <c r="B166" s="7"/>
      <c r="C166" s="7"/>
      <c r="D166" s="71"/>
      <c r="E166" s="7"/>
      <c r="F166" s="7"/>
      <c r="G166" s="7"/>
      <c r="H166" s="7"/>
      <c r="I166" s="7"/>
      <c r="J166" s="7"/>
      <c r="K166" s="7"/>
      <c r="L166" s="7"/>
      <c r="M166" s="7"/>
    </row>
    <row r="167" customFormat="false" ht="19.5" hidden="false" customHeight="true" outlineLevel="0" collapsed="false">
      <c r="B167" s="87"/>
      <c r="C167" s="87"/>
      <c r="D167" s="142"/>
      <c r="E167" s="87"/>
      <c r="F167" s="87"/>
      <c r="G167" s="87"/>
      <c r="H167" s="87"/>
      <c r="I167" s="87"/>
      <c r="J167" s="87"/>
      <c r="K167" s="87"/>
      <c r="L167" s="87"/>
      <c r="M167" s="87"/>
    </row>
    <row r="168" customFormat="false" ht="19.5" hidden="false" customHeight="true" outlineLevel="0" collapsed="false">
      <c r="B168" s="7"/>
      <c r="C168" s="7"/>
      <c r="D168" s="71"/>
      <c r="E168" s="7"/>
      <c r="F168" s="7"/>
      <c r="G168" s="7"/>
      <c r="H168" s="7"/>
      <c r="I168" s="7"/>
      <c r="J168" s="7"/>
      <c r="K168" s="7"/>
      <c r="L168" s="7"/>
      <c r="M168" s="7"/>
    </row>
    <row r="169" customFormat="false" ht="19.5" hidden="false" customHeight="true" outlineLevel="0" collapsed="false">
      <c r="B169" s="87"/>
      <c r="C169" s="87"/>
      <c r="D169" s="142"/>
      <c r="E169" s="87"/>
      <c r="F169" s="87"/>
      <c r="G169" s="87"/>
      <c r="H169" s="87"/>
      <c r="I169" s="87"/>
      <c r="J169" s="87"/>
      <c r="K169" s="87"/>
      <c r="L169" s="87"/>
      <c r="M169" s="87"/>
    </row>
    <row r="170" customFormat="false" ht="19.5" hidden="false" customHeight="true" outlineLevel="0" collapsed="false">
      <c r="B170" s="7"/>
      <c r="C170" s="7"/>
      <c r="D170" s="71"/>
      <c r="E170" s="7"/>
      <c r="F170" s="7"/>
      <c r="G170" s="7"/>
      <c r="H170" s="7"/>
      <c r="I170" s="7"/>
      <c r="J170" s="7"/>
      <c r="K170" s="7"/>
      <c r="L170" s="7"/>
      <c r="M170" s="7"/>
    </row>
    <row r="171" customFormat="false" ht="19.5" hidden="false" customHeight="true" outlineLevel="0" collapsed="false">
      <c r="B171" s="87"/>
      <c r="C171" s="87"/>
      <c r="D171" s="142"/>
      <c r="E171" s="87"/>
      <c r="F171" s="87"/>
      <c r="G171" s="87"/>
      <c r="H171" s="87"/>
      <c r="I171" s="87"/>
      <c r="J171" s="87"/>
      <c r="K171" s="87"/>
      <c r="L171" s="87"/>
      <c r="M171" s="87"/>
    </row>
    <row r="172" customFormat="false" ht="19.5" hidden="false" customHeight="true" outlineLevel="0" collapsed="false">
      <c r="B172" s="7"/>
      <c r="C172" s="7"/>
      <c r="D172" s="71"/>
      <c r="E172" s="7"/>
      <c r="F172" s="7"/>
      <c r="G172" s="7"/>
      <c r="H172" s="7"/>
      <c r="I172" s="7"/>
      <c r="J172" s="7"/>
      <c r="K172" s="7"/>
      <c r="L172" s="7"/>
      <c r="M172" s="7"/>
    </row>
    <row r="173" customFormat="false" ht="19.5" hidden="false" customHeight="true" outlineLevel="0" collapsed="false">
      <c r="B173" s="87"/>
      <c r="C173" s="87"/>
      <c r="D173" s="142"/>
      <c r="E173" s="87"/>
      <c r="F173" s="87"/>
      <c r="G173" s="87"/>
      <c r="H173" s="87"/>
      <c r="I173" s="87"/>
      <c r="J173" s="87"/>
      <c r="K173" s="87"/>
      <c r="L173" s="87"/>
      <c r="M173" s="87"/>
    </row>
    <row r="174" customFormat="false" ht="19.5" hidden="false" customHeight="true" outlineLevel="0" collapsed="false">
      <c r="B174" s="7"/>
      <c r="C174" s="7"/>
      <c r="D174" s="71"/>
      <c r="E174" s="7"/>
      <c r="F174" s="7"/>
      <c r="G174" s="7"/>
      <c r="H174" s="7"/>
      <c r="I174" s="7"/>
      <c r="J174" s="7"/>
      <c r="K174" s="7"/>
      <c r="L174" s="7"/>
      <c r="M174" s="7"/>
    </row>
    <row r="175" customFormat="false" ht="19.5" hidden="false" customHeight="true" outlineLevel="0" collapsed="false">
      <c r="B175" s="87"/>
      <c r="C175" s="87"/>
      <c r="D175" s="142"/>
      <c r="E175" s="87"/>
      <c r="F175" s="87"/>
      <c r="G175" s="87"/>
      <c r="H175" s="87"/>
      <c r="I175" s="87"/>
      <c r="J175" s="87"/>
      <c r="K175" s="87"/>
      <c r="L175" s="87"/>
      <c r="M175" s="87"/>
    </row>
    <row r="176" customFormat="false" ht="19.5" hidden="false" customHeight="true" outlineLevel="0" collapsed="false">
      <c r="B176" s="7"/>
      <c r="C176" s="7"/>
      <c r="D176" s="71"/>
      <c r="E176" s="7"/>
      <c r="F176" s="7"/>
      <c r="G176" s="7"/>
      <c r="H176" s="7"/>
      <c r="I176" s="7"/>
      <c r="J176" s="7"/>
      <c r="K176" s="7"/>
      <c r="L176" s="7"/>
      <c r="M176" s="7"/>
    </row>
    <row r="177" customFormat="false" ht="19.5" hidden="false" customHeight="true" outlineLevel="0" collapsed="false">
      <c r="B177" s="87"/>
      <c r="C177" s="87"/>
      <c r="D177" s="142"/>
      <c r="E177" s="87"/>
      <c r="F177" s="87"/>
      <c r="G177" s="87"/>
      <c r="H177" s="87"/>
      <c r="I177" s="87"/>
      <c r="J177" s="87"/>
      <c r="K177" s="87"/>
      <c r="L177" s="87"/>
      <c r="M177" s="87"/>
    </row>
    <row r="178" customFormat="false" ht="19.5" hidden="false" customHeight="true" outlineLevel="0" collapsed="false">
      <c r="B178" s="7"/>
      <c r="C178" s="7"/>
      <c r="D178" s="71"/>
      <c r="E178" s="7"/>
      <c r="F178" s="7"/>
      <c r="G178" s="7"/>
      <c r="H178" s="7"/>
      <c r="I178" s="7"/>
      <c r="J178" s="7"/>
      <c r="K178" s="7"/>
      <c r="L178" s="7"/>
      <c r="M178" s="7"/>
    </row>
    <row r="179" customFormat="false" ht="19.5" hidden="false" customHeight="true" outlineLevel="0" collapsed="false">
      <c r="B179" s="87"/>
      <c r="C179" s="87"/>
      <c r="D179" s="142"/>
      <c r="E179" s="87"/>
      <c r="F179" s="87"/>
      <c r="G179" s="87"/>
      <c r="H179" s="87"/>
      <c r="I179" s="87"/>
      <c r="J179" s="87"/>
      <c r="K179" s="87"/>
      <c r="L179" s="87"/>
      <c r="M179" s="87"/>
    </row>
    <row r="180" customFormat="false" ht="19.5" hidden="false" customHeight="true" outlineLevel="0" collapsed="false">
      <c r="B180" s="7"/>
      <c r="C180" s="7"/>
      <c r="D180" s="71"/>
      <c r="E180" s="7"/>
      <c r="F180" s="7"/>
      <c r="G180" s="7"/>
      <c r="H180" s="7"/>
      <c r="I180" s="7"/>
      <c r="J180" s="7"/>
      <c r="K180" s="7"/>
      <c r="L180" s="7"/>
      <c r="M180" s="7"/>
    </row>
    <row r="181" customFormat="false" ht="19.5" hidden="false" customHeight="true" outlineLevel="0" collapsed="false">
      <c r="B181" s="87"/>
      <c r="C181" s="87"/>
      <c r="D181" s="142"/>
      <c r="E181" s="87"/>
      <c r="F181" s="87"/>
      <c r="G181" s="87"/>
      <c r="H181" s="87"/>
      <c r="I181" s="87"/>
      <c r="J181" s="87"/>
      <c r="K181" s="87"/>
      <c r="L181" s="87"/>
      <c r="M181" s="87"/>
    </row>
    <row r="182" customFormat="false" ht="19.5" hidden="false" customHeight="true" outlineLevel="0" collapsed="false">
      <c r="B182" s="7"/>
      <c r="C182" s="7"/>
      <c r="D182" s="71"/>
      <c r="E182" s="7"/>
      <c r="F182" s="7"/>
      <c r="G182" s="7"/>
      <c r="H182" s="7"/>
      <c r="I182" s="7"/>
      <c r="J182" s="7"/>
      <c r="K182" s="7"/>
      <c r="L182" s="7"/>
      <c r="M182" s="7"/>
    </row>
    <row r="183" customFormat="false" ht="19.5" hidden="false" customHeight="true" outlineLevel="0" collapsed="false">
      <c r="B183" s="87"/>
      <c r="C183" s="87"/>
      <c r="D183" s="142"/>
      <c r="E183" s="87"/>
      <c r="F183" s="87"/>
      <c r="G183" s="87"/>
      <c r="H183" s="87"/>
      <c r="I183" s="87"/>
      <c r="J183" s="87"/>
      <c r="K183" s="87"/>
      <c r="L183" s="87"/>
      <c r="M183" s="87"/>
    </row>
    <row r="184" customFormat="false" ht="19.5" hidden="false" customHeight="true" outlineLevel="0" collapsed="false">
      <c r="B184" s="7"/>
      <c r="C184" s="7"/>
      <c r="D184" s="71"/>
      <c r="E184" s="7"/>
      <c r="F184" s="7"/>
      <c r="G184" s="7"/>
      <c r="H184" s="7"/>
      <c r="I184" s="7"/>
      <c r="J184" s="7"/>
      <c r="K184" s="7"/>
      <c r="L184" s="7"/>
      <c r="M184" s="7"/>
    </row>
    <row r="185" customFormat="false" ht="19.5" hidden="false" customHeight="true" outlineLevel="0" collapsed="false">
      <c r="B185" s="87"/>
      <c r="C185" s="87"/>
      <c r="D185" s="142"/>
      <c r="E185" s="87"/>
      <c r="F185" s="87"/>
      <c r="G185" s="87"/>
      <c r="H185" s="87"/>
      <c r="I185" s="87"/>
      <c r="J185" s="87"/>
      <c r="K185" s="87"/>
      <c r="L185" s="87"/>
      <c r="M185" s="87"/>
    </row>
    <row r="186" customFormat="false" ht="19.5" hidden="false" customHeight="true" outlineLevel="0" collapsed="false">
      <c r="B186" s="7"/>
      <c r="C186" s="7"/>
      <c r="D186" s="71"/>
      <c r="E186" s="7"/>
      <c r="F186" s="7"/>
      <c r="G186" s="7"/>
      <c r="H186" s="7"/>
      <c r="I186" s="7"/>
      <c r="J186" s="7"/>
      <c r="K186" s="7"/>
      <c r="L186" s="7"/>
      <c r="M186" s="7"/>
    </row>
    <row r="187" customFormat="false" ht="19.5" hidden="false" customHeight="true" outlineLevel="0" collapsed="false">
      <c r="B187" s="87"/>
      <c r="C187" s="87"/>
      <c r="D187" s="142"/>
      <c r="E187" s="87"/>
      <c r="F187" s="87"/>
      <c r="G187" s="87"/>
      <c r="H187" s="87"/>
      <c r="I187" s="87"/>
      <c r="J187" s="87"/>
      <c r="K187" s="87"/>
      <c r="L187" s="87"/>
      <c r="M187" s="87"/>
    </row>
    <row r="188" customFormat="false" ht="19.5" hidden="false" customHeight="true" outlineLevel="0" collapsed="false">
      <c r="B188" s="7"/>
      <c r="C188" s="7"/>
      <c r="D188" s="71"/>
      <c r="E188" s="7"/>
      <c r="F188" s="7"/>
      <c r="G188" s="7"/>
      <c r="H188" s="7"/>
      <c r="I188" s="7"/>
      <c r="J188" s="7"/>
      <c r="K188" s="7"/>
      <c r="L188" s="7"/>
      <c r="M188" s="7"/>
    </row>
    <row r="189" customFormat="false" ht="19.5" hidden="false" customHeight="true" outlineLevel="0" collapsed="false">
      <c r="B189" s="87"/>
      <c r="C189" s="87"/>
      <c r="D189" s="142"/>
      <c r="E189" s="87"/>
      <c r="F189" s="87"/>
      <c r="G189" s="87"/>
      <c r="H189" s="87"/>
      <c r="I189" s="87"/>
      <c r="J189" s="87"/>
      <c r="K189" s="87"/>
      <c r="L189" s="87"/>
      <c r="M189" s="87"/>
    </row>
    <row r="190" customFormat="false" ht="19.5" hidden="false" customHeight="true" outlineLevel="0" collapsed="false">
      <c r="B190" s="7"/>
      <c r="C190" s="7"/>
      <c r="D190" s="71"/>
      <c r="E190" s="7"/>
      <c r="F190" s="7"/>
      <c r="G190" s="7"/>
      <c r="H190" s="7"/>
      <c r="I190" s="7"/>
      <c r="J190" s="7"/>
      <c r="K190" s="7"/>
      <c r="L190" s="7"/>
      <c r="M190" s="7"/>
    </row>
    <row r="191" customFormat="false" ht="19.5" hidden="false" customHeight="true" outlineLevel="0" collapsed="false">
      <c r="B191" s="87"/>
      <c r="C191" s="87"/>
      <c r="D191" s="142"/>
      <c r="E191" s="87"/>
      <c r="F191" s="87"/>
      <c r="G191" s="87"/>
      <c r="H191" s="87"/>
      <c r="I191" s="87"/>
      <c r="J191" s="87"/>
      <c r="K191" s="87"/>
      <c r="L191" s="87"/>
      <c r="M191" s="87"/>
    </row>
    <row r="192" customFormat="false" ht="19.5" hidden="false" customHeight="true" outlineLevel="0" collapsed="false">
      <c r="B192" s="7"/>
      <c r="C192" s="7"/>
      <c r="D192" s="71"/>
      <c r="E192" s="7"/>
      <c r="F192" s="7"/>
      <c r="G192" s="7"/>
      <c r="H192" s="7"/>
      <c r="I192" s="7"/>
      <c r="J192" s="7"/>
      <c r="K192" s="7"/>
      <c r="L192" s="7"/>
      <c r="M192" s="7"/>
    </row>
    <row r="193" customFormat="false" ht="19.5" hidden="false" customHeight="true" outlineLevel="0" collapsed="false">
      <c r="B193" s="87"/>
      <c r="C193" s="87"/>
      <c r="D193" s="142"/>
      <c r="E193" s="87"/>
      <c r="F193" s="87"/>
      <c r="G193" s="87"/>
      <c r="H193" s="87"/>
      <c r="I193" s="87"/>
      <c r="J193" s="87"/>
      <c r="K193" s="87"/>
      <c r="L193" s="87"/>
      <c r="M193" s="87"/>
    </row>
    <row r="194" customFormat="false" ht="19.5" hidden="false" customHeight="true" outlineLevel="0" collapsed="false">
      <c r="B194" s="7"/>
      <c r="C194" s="7"/>
      <c r="D194" s="71"/>
      <c r="E194" s="7"/>
      <c r="F194" s="7"/>
      <c r="G194" s="7"/>
      <c r="H194" s="7"/>
      <c r="I194" s="7"/>
      <c r="J194" s="7"/>
      <c r="K194" s="7"/>
      <c r="L194" s="7"/>
      <c r="M194" s="7"/>
    </row>
    <row r="195" customFormat="false" ht="19.5" hidden="false" customHeight="true" outlineLevel="0" collapsed="false">
      <c r="B195" s="87"/>
      <c r="C195" s="87"/>
      <c r="D195" s="142"/>
      <c r="E195" s="87"/>
      <c r="F195" s="87"/>
      <c r="G195" s="87"/>
      <c r="H195" s="87"/>
      <c r="I195" s="87"/>
      <c r="J195" s="87"/>
      <c r="K195" s="87"/>
      <c r="L195" s="87"/>
      <c r="M195" s="87"/>
    </row>
    <row r="196" customFormat="false" ht="19.5" hidden="false" customHeight="true" outlineLevel="0" collapsed="false">
      <c r="B196" s="7"/>
      <c r="C196" s="7"/>
      <c r="D196" s="71"/>
      <c r="E196" s="7"/>
      <c r="F196" s="7"/>
      <c r="G196" s="7"/>
      <c r="H196" s="7"/>
      <c r="I196" s="7"/>
      <c r="J196" s="7"/>
      <c r="K196" s="7"/>
      <c r="L196" s="7"/>
      <c r="M196" s="7"/>
    </row>
    <row r="197" customFormat="false" ht="19.5" hidden="false" customHeight="true" outlineLevel="0" collapsed="false">
      <c r="B197" s="87"/>
      <c r="C197" s="87"/>
      <c r="D197" s="142"/>
      <c r="E197" s="87"/>
      <c r="F197" s="87"/>
      <c r="G197" s="87"/>
      <c r="H197" s="87"/>
      <c r="I197" s="87"/>
      <c r="J197" s="87"/>
      <c r="K197" s="87"/>
      <c r="L197" s="87"/>
      <c r="M197" s="87"/>
    </row>
    <row r="198" customFormat="false" ht="19.5" hidden="false" customHeight="true" outlineLevel="0" collapsed="false">
      <c r="B198" s="7"/>
      <c r="C198" s="7"/>
      <c r="D198" s="71"/>
      <c r="E198" s="7"/>
      <c r="F198" s="7"/>
      <c r="G198" s="7"/>
      <c r="H198" s="7"/>
      <c r="I198" s="7"/>
      <c r="J198" s="7"/>
      <c r="K198" s="7"/>
      <c r="L198" s="7"/>
      <c r="M198" s="7"/>
    </row>
    <row r="199" customFormat="false" ht="19.5" hidden="false" customHeight="true" outlineLevel="0" collapsed="false">
      <c r="B199" s="87"/>
      <c r="C199" s="87"/>
      <c r="D199" s="142"/>
      <c r="E199" s="87"/>
      <c r="F199" s="87"/>
      <c r="G199" s="87"/>
      <c r="H199" s="87"/>
      <c r="I199" s="87"/>
      <c r="J199" s="87"/>
      <c r="K199" s="87"/>
      <c r="L199" s="87"/>
      <c r="M199" s="87"/>
    </row>
    <row r="200" customFormat="false" ht="19.5" hidden="false" customHeight="true" outlineLevel="0" collapsed="false">
      <c r="B200" s="7"/>
      <c r="C200" s="7"/>
      <c r="D200" s="71"/>
      <c r="E200" s="7"/>
      <c r="F200" s="7"/>
      <c r="G200" s="7"/>
      <c r="H200" s="7"/>
      <c r="I200" s="7"/>
      <c r="J200" s="7"/>
      <c r="K200" s="7"/>
      <c r="L200" s="7"/>
      <c r="M200" s="7"/>
    </row>
  </sheetData>
  <mergeCells count="7">
    <mergeCell ref="B2:M2"/>
    <mergeCell ref="B3:M3"/>
    <mergeCell ref="B5:D5"/>
    <mergeCell ref="G5:I5"/>
    <mergeCell ref="K5:L5"/>
    <mergeCell ref="B7:M7"/>
    <mergeCell ref="B10:M10"/>
  </mergeCells>
  <conditionalFormatting sqref="C13:C200">
    <cfRule type="cellIs" priority="2" operator="equal" aboveAverage="0" equalAverage="0" bottom="0" percent="0" rank="0" text="" dxfId="9">
      <formula>"Incident"</formula>
    </cfRule>
    <cfRule type="cellIs" priority="3" operator="equal" aboveAverage="0" equalAverage="0" bottom="0" percent="0" rank="0" text="" dxfId="10">
      <formula>"Témoignage"</formula>
    </cfRule>
  </conditionalFormatting>
  <conditionalFormatting sqref="L13:L200">
    <cfRule type="cellIs" priority="4" operator="equal" aboveAverage="0" equalAverage="0" bottom="0" percent="0" rank="0" text="" dxfId="3">
      <formula>"Élevée"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6985"/>
    <pageSetUpPr fitToPage="false"/>
  </sheetPr>
  <dimension ref="B2:F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3" min="3" style="1" width="26"/>
    <col collapsed="false" customWidth="true" hidden="false" outlineLevel="0" max="4" min="4" style="1" width="30"/>
    <col collapsed="false" customWidth="true" hidden="false" outlineLevel="0" max="5" min="5" style="1" width="44"/>
  </cols>
  <sheetData>
    <row r="2" customFormat="false" ht="27.75" hidden="false" customHeight="true" outlineLevel="0" collapsed="false">
      <c r="B2" s="134" t="s">
        <v>816</v>
      </c>
      <c r="C2" s="134"/>
      <c r="D2" s="134"/>
      <c r="E2" s="134"/>
      <c r="F2" s="134"/>
    </row>
    <row r="3" customFormat="false" ht="15" hidden="false" customHeight="true" outlineLevel="0" collapsed="false">
      <c r="B3" s="40" t="s">
        <v>817</v>
      </c>
      <c r="C3" s="40"/>
      <c r="D3" s="40"/>
      <c r="E3" s="40"/>
      <c r="F3" s="40"/>
    </row>
    <row r="5" customFormat="false" ht="21.75" hidden="false" customHeight="true" outlineLevel="0" collapsed="false">
      <c r="B5" s="155" t="s">
        <v>818</v>
      </c>
      <c r="C5" s="155"/>
      <c r="D5" s="155"/>
      <c r="E5" s="155"/>
      <c r="F5" s="155"/>
    </row>
    <row r="6" customFormat="false" ht="30" hidden="false" customHeight="true" outlineLevel="0" collapsed="false">
      <c r="B6" s="132" t="s">
        <v>819</v>
      </c>
      <c r="C6" s="132"/>
      <c r="D6" s="132"/>
      <c r="E6" s="132"/>
      <c r="F6" s="132"/>
    </row>
    <row r="7" customFormat="false" ht="30" hidden="false" customHeight="true" outlineLevel="0" collapsed="false">
      <c r="B7" s="133" t="s">
        <v>820</v>
      </c>
      <c r="C7" s="133"/>
      <c r="D7" s="133"/>
      <c r="E7" s="133"/>
      <c r="F7" s="133"/>
    </row>
    <row r="8" customFormat="false" ht="30" hidden="false" customHeight="true" outlineLevel="0" collapsed="false">
      <c r="B8" s="132" t="s">
        <v>821</v>
      </c>
      <c r="C8" s="132"/>
      <c r="D8" s="132"/>
      <c r="E8" s="132"/>
      <c r="F8" s="132"/>
    </row>
    <row r="9" customFormat="false" ht="30" hidden="false" customHeight="true" outlineLevel="0" collapsed="false">
      <c r="B9" s="133" t="s">
        <v>822</v>
      </c>
      <c r="C9" s="133"/>
      <c r="D9" s="133"/>
      <c r="E9" s="133"/>
      <c r="F9" s="133"/>
    </row>
    <row r="10" customFormat="false" ht="30" hidden="false" customHeight="true" outlineLevel="0" collapsed="false">
      <c r="B10" s="132" t="s">
        <v>823</v>
      </c>
      <c r="C10" s="132"/>
      <c r="D10" s="132"/>
      <c r="E10" s="132"/>
      <c r="F10" s="132"/>
    </row>
    <row r="12" customFormat="false" ht="24" hidden="false" customHeight="true" outlineLevel="0" collapsed="false">
      <c r="B12" s="156" t="s">
        <v>824</v>
      </c>
      <c r="C12" s="156"/>
      <c r="D12" s="156"/>
      <c r="E12" s="156"/>
      <c r="F12" s="156"/>
    </row>
    <row r="13" customFormat="false" ht="25.5" hidden="false" customHeight="true" outlineLevel="0" collapsed="false">
      <c r="B13" s="141" t="s">
        <v>825</v>
      </c>
      <c r="C13" s="141" t="s">
        <v>826</v>
      </c>
      <c r="D13" s="141" t="s">
        <v>827</v>
      </c>
      <c r="E13" s="141" t="s">
        <v>828</v>
      </c>
    </row>
    <row r="14" customFormat="false" ht="24" hidden="false" customHeight="true" outlineLevel="0" collapsed="false">
      <c r="B14" s="7" t="s">
        <v>829</v>
      </c>
      <c r="C14" s="7" t="s">
        <v>830</v>
      </c>
      <c r="D14" s="7" t="s">
        <v>831</v>
      </c>
      <c r="E14" s="7"/>
    </row>
    <row r="15" customFormat="false" ht="24" hidden="false" customHeight="true" outlineLevel="0" collapsed="false">
      <c r="B15" s="157" t="s">
        <v>832</v>
      </c>
      <c r="C15" s="157" t="s">
        <v>833</v>
      </c>
      <c r="D15" s="157" t="s">
        <v>834</v>
      </c>
      <c r="E15" s="157" t="s">
        <v>835</v>
      </c>
    </row>
    <row r="16" customFormat="false" ht="24" hidden="false" customHeight="true" outlineLevel="0" collapsed="false">
      <c r="B16" s="7" t="s">
        <v>836</v>
      </c>
      <c r="C16" s="7" t="s">
        <v>837</v>
      </c>
      <c r="D16" s="7" t="s">
        <v>838</v>
      </c>
      <c r="E16" s="7" t="s">
        <v>839</v>
      </c>
    </row>
    <row r="17" customFormat="false" ht="24" hidden="false" customHeight="true" outlineLevel="0" collapsed="false">
      <c r="B17" s="11" t="s">
        <v>840</v>
      </c>
      <c r="C17" s="11" t="s">
        <v>841</v>
      </c>
      <c r="D17" s="11" t="s">
        <v>842</v>
      </c>
      <c r="E17" s="11"/>
    </row>
    <row r="18" customFormat="false" ht="24" hidden="false" customHeight="true" outlineLevel="0" collapsed="false">
      <c r="B18" s="7" t="s">
        <v>843</v>
      </c>
      <c r="C18" s="7" t="s">
        <v>844</v>
      </c>
      <c r="D18" s="7" t="s">
        <v>773</v>
      </c>
      <c r="E18" s="7"/>
    </row>
    <row r="19" customFormat="false" ht="24" hidden="false" customHeight="true" outlineLevel="0" collapsed="false">
      <c r="B19" s="11" t="s">
        <v>845</v>
      </c>
      <c r="C19" s="11" t="s">
        <v>846</v>
      </c>
      <c r="D19" s="11" t="s">
        <v>774</v>
      </c>
      <c r="E19" s="11"/>
    </row>
    <row r="20" customFormat="false" ht="24" hidden="false" customHeight="true" outlineLevel="0" collapsed="false">
      <c r="B20" s="7" t="s">
        <v>847</v>
      </c>
      <c r="C20" s="7" t="s">
        <v>848</v>
      </c>
      <c r="D20" s="7" t="s">
        <v>849</v>
      </c>
      <c r="E20" s="7"/>
    </row>
    <row r="21" customFormat="false" ht="24" hidden="false" customHeight="true" outlineLevel="0" collapsed="false">
      <c r="B21" s="157" t="s">
        <v>850</v>
      </c>
      <c r="C21" s="157" t="s">
        <v>851</v>
      </c>
      <c r="D21" s="157" t="s">
        <v>852</v>
      </c>
      <c r="E21" s="157" t="s">
        <v>853</v>
      </c>
    </row>
    <row r="22" customFormat="false" ht="24" hidden="false" customHeight="true" outlineLevel="0" collapsed="false">
      <c r="B22" s="7" t="s">
        <v>854</v>
      </c>
      <c r="C22" s="7" t="s">
        <v>855</v>
      </c>
      <c r="D22" s="7" t="s">
        <v>856</v>
      </c>
      <c r="E22" s="7"/>
    </row>
    <row r="23" customFormat="false" ht="24" hidden="false" customHeight="true" outlineLevel="0" collapsed="false">
      <c r="B23" s="11" t="s">
        <v>857</v>
      </c>
      <c r="C23" s="11" t="s">
        <v>858</v>
      </c>
      <c r="D23" s="11" t="s">
        <v>859</v>
      </c>
      <c r="E23" s="11"/>
    </row>
    <row r="24" customFormat="false" ht="24" hidden="false" customHeight="true" outlineLevel="0" collapsed="false">
      <c r="B24" s="7" t="s">
        <v>860</v>
      </c>
      <c r="C24" s="7" t="s">
        <v>861</v>
      </c>
      <c r="D24" s="7" t="s">
        <v>862</v>
      </c>
      <c r="E24" s="7" t="s">
        <v>863</v>
      </c>
    </row>
    <row r="25" customFormat="false" ht="24" hidden="false" customHeight="true" outlineLevel="0" collapsed="false">
      <c r="B25" s="11" t="s">
        <v>864</v>
      </c>
      <c r="C25" s="11" t="s">
        <v>865</v>
      </c>
      <c r="D25" s="11" t="s">
        <v>866</v>
      </c>
      <c r="E25" s="11" t="s">
        <v>867</v>
      </c>
    </row>
    <row r="26" customFormat="false" ht="24" hidden="false" customHeight="true" outlineLevel="0" collapsed="false">
      <c r="B26" s="7" t="s">
        <v>868</v>
      </c>
      <c r="C26" s="7" t="s">
        <v>869</v>
      </c>
      <c r="D26" s="7" t="s">
        <v>870</v>
      </c>
      <c r="E26" s="7"/>
    </row>
    <row r="27" customFormat="false" ht="24" hidden="false" customHeight="true" outlineLevel="0" collapsed="false">
      <c r="B27" s="11" t="s">
        <v>871</v>
      </c>
      <c r="C27" s="11" t="s">
        <v>872</v>
      </c>
      <c r="D27" s="11" t="s">
        <v>781</v>
      </c>
      <c r="E27" s="11"/>
    </row>
    <row r="28" customFormat="false" ht="24" hidden="false" customHeight="true" outlineLevel="0" collapsed="false">
      <c r="B28" s="7" t="s">
        <v>873</v>
      </c>
      <c r="C28" s="7" t="s">
        <v>874</v>
      </c>
      <c r="D28" s="7" t="s">
        <v>875</v>
      </c>
      <c r="E28" s="7"/>
    </row>
    <row r="29" customFormat="false" ht="24" hidden="false" customHeight="true" outlineLevel="0" collapsed="false">
      <c r="B29" s="11" t="s">
        <v>876</v>
      </c>
      <c r="C29" s="11" t="s">
        <v>877</v>
      </c>
      <c r="D29" s="11" t="s">
        <v>878</v>
      </c>
      <c r="E29" s="11"/>
    </row>
    <row r="30" customFormat="false" ht="24" hidden="false" customHeight="true" outlineLevel="0" collapsed="false">
      <c r="B30" s="7" t="s">
        <v>879</v>
      </c>
      <c r="C30" s="7" t="s">
        <v>880</v>
      </c>
      <c r="D30" s="7" t="s">
        <v>881</v>
      </c>
      <c r="E30" s="7" t="s">
        <v>882</v>
      </c>
    </row>
    <row r="31" customFormat="false" ht="24" hidden="false" customHeight="true" outlineLevel="0" collapsed="false">
      <c r="B31" s="11" t="s">
        <v>883</v>
      </c>
      <c r="C31" s="11" t="s">
        <v>884</v>
      </c>
      <c r="D31" s="11" t="s">
        <v>885</v>
      </c>
      <c r="E31" s="11" t="s">
        <v>882</v>
      </c>
    </row>
    <row r="32" customFormat="false" ht="24" hidden="false" customHeight="true" outlineLevel="0" collapsed="false">
      <c r="B32" s="7" t="s">
        <v>886</v>
      </c>
      <c r="C32" s="7" t="s">
        <v>887</v>
      </c>
      <c r="D32" s="7" t="s">
        <v>888</v>
      </c>
      <c r="E32" s="7"/>
    </row>
    <row r="33" customFormat="false" ht="24" hidden="false" customHeight="true" outlineLevel="0" collapsed="false">
      <c r="B33" s="11" t="s">
        <v>889</v>
      </c>
      <c r="C33" s="11" t="s">
        <v>890</v>
      </c>
      <c r="D33" s="11" t="s">
        <v>891</v>
      </c>
      <c r="E33" s="11"/>
    </row>
    <row r="35" customFormat="false" ht="24" hidden="false" customHeight="true" outlineLevel="0" collapsed="false">
      <c r="B35" s="158" t="s">
        <v>892</v>
      </c>
      <c r="C35" s="158"/>
      <c r="D35" s="158"/>
      <c r="E35" s="158"/>
      <c r="F35" s="158"/>
    </row>
    <row r="36" customFormat="false" ht="25.5" hidden="false" customHeight="true" outlineLevel="0" collapsed="false">
      <c r="B36" s="141" t="s">
        <v>825</v>
      </c>
      <c r="C36" s="141" t="s">
        <v>826</v>
      </c>
      <c r="D36" s="141" t="s">
        <v>827</v>
      </c>
      <c r="E36" s="141" t="s">
        <v>828</v>
      </c>
    </row>
    <row r="37" customFormat="false" ht="24" hidden="false" customHeight="true" outlineLevel="0" collapsed="false">
      <c r="B37" s="11" t="s">
        <v>829</v>
      </c>
      <c r="C37" s="11" t="s">
        <v>830</v>
      </c>
      <c r="D37" s="11" t="s">
        <v>831</v>
      </c>
      <c r="E37" s="11"/>
    </row>
    <row r="38" customFormat="false" ht="24" hidden="false" customHeight="true" outlineLevel="0" collapsed="false">
      <c r="B38" s="157" t="s">
        <v>832</v>
      </c>
      <c r="C38" s="157" t="s">
        <v>893</v>
      </c>
      <c r="D38" s="157" t="s">
        <v>894</v>
      </c>
      <c r="E38" s="157" t="s">
        <v>895</v>
      </c>
    </row>
    <row r="39" customFormat="false" ht="24" hidden="false" customHeight="true" outlineLevel="0" collapsed="false">
      <c r="B39" s="11" t="s">
        <v>836</v>
      </c>
      <c r="C39" s="11" t="s">
        <v>841</v>
      </c>
      <c r="D39" s="11" t="s">
        <v>896</v>
      </c>
      <c r="E39" s="11"/>
    </row>
    <row r="40" customFormat="false" ht="24" hidden="false" customHeight="true" outlineLevel="0" collapsed="false">
      <c r="B40" s="7" t="s">
        <v>840</v>
      </c>
      <c r="C40" s="7" t="s">
        <v>897</v>
      </c>
      <c r="D40" s="7" t="s">
        <v>898</v>
      </c>
      <c r="E40" s="7"/>
    </row>
    <row r="41" customFormat="false" ht="24" hidden="false" customHeight="true" outlineLevel="0" collapsed="false">
      <c r="B41" s="11" t="s">
        <v>843</v>
      </c>
      <c r="C41" s="11" t="s">
        <v>899</v>
      </c>
      <c r="D41" s="11" t="s">
        <v>900</v>
      </c>
      <c r="E41" s="11"/>
    </row>
    <row r="42" customFormat="false" ht="24" hidden="false" customHeight="true" outlineLevel="0" collapsed="false">
      <c r="B42" s="7" t="s">
        <v>845</v>
      </c>
      <c r="C42" s="7" t="s">
        <v>901</v>
      </c>
      <c r="D42" s="7" t="s">
        <v>902</v>
      </c>
      <c r="E42" s="7"/>
    </row>
    <row r="43" customFormat="false" ht="24" hidden="false" customHeight="true" outlineLevel="0" collapsed="false">
      <c r="B43" s="11" t="s">
        <v>847</v>
      </c>
      <c r="C43" s="11" t="s">
        <v>903</v>
      </c>
      <c r="D43" s="11" t="s">
        <v>904</v>
      </c>
      <c r="E43" s="11" t="s">
        <v>905</v>
      </c>
    </row>
    <row r="44" customFormat="false" ht="24" hidden="false" customHeight="true" outlineLevel="0" collapsed="false">
      <c r="B44" s="7" t="s">
        <v>850</v>
      </c>
      <c r="C44" s="7" t="s">
        <v>906</v>
      </c>
      <c r="D44" s="7" t="s">
        <v>907</v>
      </c>
      <c r="E44" s="7"/>
    </row>
    <row r="45" customFormat="false" ht="24" hidden="false" customHeight="true" outlineLevel="0" collapsed="false">
      <c r="B45" s="11" t="s">
        <v>854</v>
      </c>
      <c r="C45" s="11" t="s">
        <v>908</v>
      </c>
      <c r="D45" s="11" t="s">
        <v>909</v>
      </c>
      <c r="E45" s="11"/>
    </row>
    <row r="46" customFormat="false" ht="24" hidden="false" customHeight="true" outlineLevel="0" collapsed="false">
      <c r="B46" s="7" t="s">
        <v>857</v>
      </c>
      <c r="C46" s="7" t="s">
        <v>910</v>
      </c>
      <c r="D46" s="7" t="s">
        <v>911</v>
      </c>
      <c r="E46" s="7" t="s">
        <v>912</v>
      </c>
    </row>
    <row r="47" customFormat="false" ht="24" hidden="false" customHeight="true" outlineLevel="0" collapsed="false">
      <c r="B47" s="11" t="s">
        <v>860</v>
      </c>
      <c r="C47" s="11" t="s">
        <v>913</v>
      </c>
      <c r="D47" s="11" t="s">
        <v>914</v>
      </c>
      <c r="E47" s="11" t="s">
        <v>912</v>
      </c>
    </row>
    <row r="48" customFormat="false" ht="24" hidden="false" customHeight="true" outlineLevel="0" collapsed="false">
      <c r="B48" s="7" t="s">
        <v>864</v>
      </c>
      <c r="C48" s="7" t="s">
        <v>915</v>
      </c>
      <c r="D48" s="7" t="s">
        <v>916</v>
      </c>
      <c r="E48" s="7" t="s">
        <v>917</v>
      </c>
    </row>
    <row r="50" customFormat="false" ht="48" hidden="false" customHeight="true" outlineLevel="0" collapsed="false">
      <c r="B50" s="159" t="s">
        <v>918</v>
      </c>
      <c r="C50" s="159"/>
      <c r="D50" s="159"/>
      <c r="E50" s="159"/>
      <c r="F50" s="159"/>
    </row>
  </sheetData>
  <mergeCells count="11">
    <mergeCell ref="B2:F2"/>
    <mergeCell ref="B3:F3"/>
    <mergeCell ref="B5:F5"/>
    <mergeCell ref="B6:F6"/>
    <mergeCell ref="B7:F7"/>
    <mergeCell ref="B8:F8"/>
    <mergeCell ref="B9:F9"/>
    <mergeCell ref="B10:F10"/>
    <mergeCell ref="B12:F12"/>
    <mergeCell ref="B35:F35"/>
    <mergeCell ref="B50:F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6985"/>
    <pageSetUpPr fitToPage="false"/>
  </sheetPr>
  <dimension ref="B2:H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3" min="2" style="1" width="22"/>
    <col collapsed="false" customWidth="true" hidden="false" outlineLevel="0" max="5" min="4" style="1" width="16"/>
    <col collapsed="false" customWidth="true" hidden="false" outlineLevel="0" max="6" min="6" style="1" width="14"/>
    <col collapsed="false" customWidth="true" hidden="false" outlineLevel="0" max="7" min="7" style="1" width="30"/>
    <col collapsed="false" customWidth="true" hidden="false" outlineLevel="0" max="8" min="8" style="1" width="18"/>
  </cols>
  <sheetData>
    <row r="2" customFormat="false" ht="27.75" hidden="false" customHeight="true" outlineLevel="0" collapsed="false">
      <c r="B2" s="134" t="s">
        <v>919</v>
      </c>
      <c r="C2" s="134"/>
      <c r="D2" s="134"/>
      <c r="E2" s="134"/>
      <c r="F2" s="134"/>
      <c r="G2" s="134"/>
      <c r="H2" s="134"/>
    </row>
    <row r="3" customFormat="false" ht="27.75" hidden="false" customHeight="true" outlineLevel="0" collapsed="false">
      <c r="B3" s="89" t="s">
        <v>920</v>
      </c>
      <c r="C3" s="89"/>
      <c r="D3" s="89"/>
      <c r="E3" s="89"/>
      <c r="F3" s="89"/>
      <c r="G3" s="89"/>
      <c r="H3" s="89"/>
    </row>
    <row r="5" customFormat="false" ht="24" hidden="false" customHeight="true" outlineLevel="0" collapsed="false">
      <c r="B5" s="141" t="s">
        <v>921</v>
      </c>
      <c r="C5" s="141"/>
      <c r="D5" s="141"/>
      <c r="E5" s="141"/>
      <c r="F5" s="141"/>
      <c r="G5" s="141"/>
      <c r="H5" s="141"/>
    </row>
    <row r="6" customFormat="false" ht="27.75" hidden="false" customHeight="true" outlineLevel="0" collapsed="false">
      <c r="B6" s="160" t="s">
        <v>922</v>
      </c>
      <c r="C6" s="160"/>
      <c r="D6" s="160"/>
      <c r="E6" s="160"/>
      <c r="F6" s="160"/>
      <c r="G6" s="160"/>
      <c r="H6" s="160"/>
    </row>
    <row r="7" customFormat="false" ht="25.5" hidden="false" customHeight="true" outlineLevel="0" collapsed="false">
      <c r="B7" s="161" t="s">
        <v>923</v>
      </c>
      <c r="C7" s="161" t="s">
        <v>924</v>
      </c>
      <c r="D7" s="161" t="s">
        <v>925</v>
      </c>
      <c r="E7" s="161" t="s">
        <v>926</v>
      </c>
      <c r="F7" s="161" t="s">
        <v>927</v>
      </c>
      <c r="G7" s="161" t="s">
        <v>928</v>
      </c>
    </row>
    <row r="8" customFormat="false" ht="25.5" hidden="false" customHeight="true" outlineLevel="0" collapsed="false">
      <c r="B8" s="11" t="s">
        <v>929</v>
      </c>
      <c r="C8" s="11" t="s">
        <v>930</v>
      </c>
      <c r="D8" s="11" t="s">
        <v>806</v>
      </c>
      <c r="E8" s="11" t="s">
        <v>931</v>
      </c>
      <c r="F8" s="11" t="s">
        <v>932</v>
      </c>
      <c r="G8" s="11" t="s">
        <v>933</v>
      </c>
    </row>
    <row r="9" customFormat="false" ht="25.5" hidden="false" customHeight="true" outlineLevel="0" collapsed="false">
      <c r="B9" s="157" t="s">
        <v>833</v>
      </c>
      <c r="C9" s="157" t="s">
        <v>770</v>
      </c>
      <c r="D9" s="157" t="s">
        <v>934</v>
      </c>
      <c r="E9" s="157" t="s">
        <v>931</v>
      </c>
      <c r="F9" s="157" t="s">
        <v>935</v>
      </c>
      <c r="G9" s="157" t="s">
        <v>936</v>
      </c>
    </row>
    <row r="10" customFormat="false" ht="25.5" hidden="false" customHeight="true" outlineLevel="0" collapsed="false">
      <c r="B10" s="11" t="s">
        <v>844</v>
      </c>
      <c r="C10" s="11" t="s">
        <v>773</v>
      </c>
      <c r="D10" s="11" t="s">
        <v>937</v>
      </c>
      <c r="E10" s="11" t="s">
        <v>931</v>
      </c>
      <c r="F10" s="11" t="s">
        <v>938</v>
      </c>
      <c r="G10" s="11" t="s">
        <v>939</v>
      </c>
    </row>
    <row r="11" customFormat="false" ht="25.5" hidden="false" customHeight="true" outlineLevel="0" collapsed="false">
      <c r="B11" s="7" t="s">
        <v>846</v>
      </c>
      <c r="C11" s="7" t="s">
        <v>774</v>
      </c>
      <c r="D11" s="7" t="s">
        <v>937</v>
      </c>
      <c r="E11" s="7" t="s">
        <v>940</v>
      </c>
      <c r="F11" s="7" t="s">
        <v>941</v>
      </c>
      <c r="G11" s="7" t="s">
        <v>942</v>
      </c>
    </row>
    <row r="12" customFormat="false" ht="25.5" hidden="false" customHeight="true" outlineLevel="0" collapsed="false">
      <c r="B12" s="11" t="s">
        <v>943</v>
      </c>
      <c r="C12" s="11" t="s">
        <v>944</v>
      </c>
      <c r="D12" s="11" t="s">
        <v>937</v>
      </c>
      <c r="E12" s="11" t="s">
        <v>931</v>
      </c>
      <c r="F12" s="11"/>
      <c r="G12" s="11" t="s">
        <v>945</v>
      </c>
    </row>
    <row r="13" customFormat="false" ht="25.5" hidden="false" customHeight="true" outlineLevel="0" collapsed="false">
      <c r="B13" s="7" t="s">
        <v>855</v>
      </c>
      <c r="C13" s="7" t="s">
        <v>946</v>
      </c>
      <c r="D13" s="7" t="s">
        <v>947</v>
      </c>
      <c r="E13" s="7" t="s">
        <v>931</v>
      </c>
      <c r="F13" s="7" t="s">
        <v>948</v>
      </c>
      <c r="G13" s="7" t="s">
        <v>949</v>
      </c>
    </row>
    <row r="14" customFormat="false" ht="25.5" hidden="false" customHeight="true" outlineLevel="0" collapsed="false">
      <c r="B14" s="11" t="s">
        <v>858</v>
      </c>
      <c r="C14" s="11" t="s">
        <v>950</v>
      </c>
      <c r="D14" s="11" t="s">
        <v>947</v>
      </c>
      <c r="E14" s="11" t="s">
        <v>931</v>
      </c>
      <c r="F14" s="11" t="s">
        <v>951</v>
      </c>
      <c r="G14" s="11" t="s">
        <v>952</v>
      </c>
    </row>
    <row r="15" customFormat="false" ht="25.5" hidden="false" customHeight="true" outlineLevel="0" collapsed="false">
      <c r="B15" s="7" t="s">
        <v>848</v>
      </c>
      <c r="C15" s="7" t="s">
        <v>849</v>
      </c>
      <c r="D15" s="7" t="s">
        <v>937</v>
      </c>
      <c r="E15" s="7" t="s">
        <v>931</v>
      </c>
      <c r="F15" s="7"/>
      <c r="G15" s="7" t="s">
        <v>953</v>
      </c>
    </row>
    <row r="16" customFormat="false" ht="25.5" hidden="false" customHeight="true" outlineLevel="0" collapsed="false">
      <c r="B16" s="11" t="s">
        <v>851</v>
      </c>
      <c r="C16" s="11" t="s">
        <v>954</v>
      </c>
      <c r="D16" s="11" t="s">
        <v>31</v>
      </c>
      <c r="E16" s="11" t="s">
        <v>931</v>
      </c>
      <c r="F16" s="11" t="s">
        <v>243</v>
      </c>
      <c r="G16" s="11" t="s">
        <v>955</v>
      </c>
    </row>
    <row r="18" customFormat="false" ht="24" hidden="false" customHeight="true" outlineLevel="0" collapsed="false">
      <c r="B18" s="141" t="s">
        <v>956</v>
      </c>
      <c r="C18" s="141"/>
      <c r="D18" s="141"/>
      <c r="E18" s="141"/>
      <c r="F18" s="141"/>
      <c r="G18" s="141"/>
      <c r="H18" s="141"/>
    </row>
    <row r="19" customFormat="false" ht="27.75" hidden="false" customHeight="true" outlineLevel="0" collapsed="false">
      <c r="B19" s="160" t="s">
        <v>957</v>
      </c>
      <c r="C19" s="160"/>
      <c r="D19" s="160"/>
      <c r="E19" s="160"/>
      <c r="F19" s="160"/>
      <c r="G19" s="160"/>
      <c r="H19" s="160"/>
    </row>
    <row r="20" customFormat="false" ht="25.5" hidden="false" customHeight="true" outlineLevel="0" collapsed="false">
      <c r="B20" s="161" t="s">
        <v>923</v>
      </c>
      <c r="C20" s="161" t="s">
        <v>924</v>
      </c>
      <c r="D20" s="161" t="s">
        <v>925</v>
      </c>
      <c r="E20" s="161" t="s">
        <v>926</v>
      </c>
      <c r="F20" s="161" t="s">
        <v>927</v>
      </c>
      <c r="G20" s="161" t="s">
        <v>928</v>
      </c>
    </row>
    <row r="21" customFormat="false" ht="25.5" hidden="false" customHeight="true" outlineLevel="0" collapsed="false">
      <c r="B21" s="11" t="s">
        <v>929</v>
      </c>
      <c r="C21" s="11" t="s">
        <v>958</v>
      </c>
      <c r="D21" s="11" t="s">
        <v>806</v>
      </c>
      <c r="E21" s="11" t="s">
        <v>931</v>
      </c>
      <c r="F21" s="11" t="s">
        <v>932</v>
      </c>
      <c r="G21" s="11" t="s">
        <v>959</v>
      </c>
    </row>
    <row r="22" customFormat="false" ht="25.5" hidden="false" customHeight="true" outlineLevel="0" collapsed="false">
      <c r="B22" s="157" t="s">
        <v>833</v>
      </c>
      <c r="C22" s="157" t="s">
        <v>770</v>
      </c>
      <c r="D22" s="157" t="s">
        <v>934</v>
      </c>
      <c r="E22" s="157" t="s">
        <v>931</v>
      </c>
      <c r="F22" s="157" t="s">
        <v>960</v>
      </c>
      <c r="G22" s="157" t="s">
        <v>961</v>
      </c>
    </row>
    <row r="23" customFormat="false" ht="25.5" hidden="false" customHeight="true" outlineLevel="0" collapsed="false">
      <c r="B23" s="11" t="s">
        <v>844</v>
      </c>
      <c r="C23" s="11" t="s">
        <v>773</v>
      </c>
      <c r="D23" s="11" t="s">
        <v>937</v>
      </c>
      <c r="E23" s="11" t="s">
        <v>931</v>
      </c>
      <c r="F23" s="11"/>
      <c r="G23" s="11" t="s">
        <v>939</v>
      </c>
    </row>
    <row r="24" customFormat="false" ht="25.5" hidden="false" customHeight="true" outlineLevel="0" collapsed="false">
      <c r="B24" s="7" t="s">
        <v>846</v>
      </c>
      <c r="C24" s="7" t="s">
        <v>774</v>
      </c>
      <c r="D24" s="7" t="s">
        <v>937</v>
      </c>
      <c r="E24" s="7" t="s">
        <v>940</v>
      </c>
      <c r="F24" s="7"/>
      <c r="G24" s="7" t="s">
        <v>942</v>
      </c>
    </row>
    <row r="25" customFormat="false" ht="25.5" hidden="false" customHeight="true" outlineLevel="0" collapsed="false">
      <c r="B25" s="11" t="s">
        <v>855</v>
      </c>
      <c r="C25" s="11" t="s">
        <v>962</v>
      </c>
      <c r="D25" s="11" t="s">
        <v>947</v>
      </c>
      <c r="E25" s="11" t="s">
        <v>931</v>
      </c>
      <c r="F25" s="11" t="s">
        <v>948</v>
      </c>
      <c r="G25" s="11" t="s">
        <v>963</v>
      </c>
    </row>
    <row r="26" customFormat="false" ht="25.5" hidden="false" customHeight="true" outlineLevel="0" collapsed="false">
      <c r="B26" s="7" t="s">
        <v>964</v>
      </c>
      <c r="C26" s="7" t="s">
        <v>965</v>
      </c>
      <c r="D26" s="7" t="s">
        <v>947</v>
      </c>
      <c r="E26" s="7" t="s">
        <v>931</v>
      </c>
      <c r="F26" s="7" t="s">
        <v>966</v>
      </c>
      <c r="G26" s="7" t="s">
        <v>952</v>
      </c>
    </row>
    <row r="27" customFormat="false" ht="25.5" hidden="false" customHeight="true" outlineLevel="0" collapsed="false">
      <c r="B27" s="11" t="s">
        <v>967</v>
      </c>
      <c r="C27" s="11" t="s">
        <v>968</v>
      </c>
      <c r="D27" s="11" t="s">
        <v>947</v>
      </c>
      <c r="E27" s="11" t="s">
        <v>931</v>
      </c>
      <c r="F27" s="11" t="s">
        <v>969</v>
      </c>
      <c r="G27" s="11" t="s">
        <v>970</v>
      </c>
    </row>
    <row r="28" customFormat="false" ht="25.5" hidden="false" customHeight="true" outlineLevel="0" collapsed="false">
      <c r="B28" s="7" t="s">
        <v>851</v>
      </c>
      <c r="C28" s="7" t="s">
        <v>971</v>
      </c>
      <c r="D28" s="7" t="s">
        <v>972</v>
      </c>
      <c r="E28" s="7" t="s">
        <v>931</v>
      </c>
      <c r="F28" s="7" t="s">
        <v>973</v>
      </c>
      <c r="G28" s="7" t="s">
        <v>974</v>
      </c>
    </row>
    <row r="29" customFormat="false" ht="25.5" hidden="false" customHeight="true" outlineLevel="0" collapsed="false">
      <c r="B29" s="11" t="s">
        <v>848</v>
      </c>
      <c r="C29" s="11" t="s">
        <v>849</v>
      </c>
      <c r="D29" s="11" t="s">
        <v>937</v>
      </c>
      <c r="E29" s="11" t="s">
        <v>931</v>
      </c>
      <c r="F29" s="11"/>
      <c r="G29" s="11" t="s">
        <v>953</v>
      </c>
    </row>
    <row r="31" customFormat="false" ht="24" hidden="false" customHeight="true" outlineLevel="0" collapsed="false">
      <c r="B31" s="141" t="s">
        <v>975</v>
      </c>
      <c r="C31" s="141"/>
      <c r="D31" s="141"/>
      <c r="E31" s="141"/>
      <c r="F31" s="141"/>
      <c r="G31" s="141"/>
      <c r="H31" s="141"/>
    </row>
    <row r="32" customFormat="false" ht="27.75" hidden="false" customHeight="true" outlineLevel="0" collapsed="false">
      <c r="B32" s="160" t="s">
        <v>976</v>
      </c>
      <c r="C32" s="160"/>
      <c r="D32" s="160"/>
      <c r="E32" s="160"/>
      <c r="F32" s="160"/>
      <c r="G32" s="160"/>
      <c r="H32" s="160"/>
    </row>
    <row r="33" customFormat="false" ht="25.5" hidden="false" customHeight="true" outlineLevel="0" collapsed="false">
      <c r="B33" s="161" t="s">
        <v>923</v>
      </c>
      <c r="C33" s="161" t="s">
        <v>924</v>
      </c>
      <c r="D33" s="161" t="s">
        <v>925</v>
      </c>
      <c r="E33" s="161" t="s">
        <v>926</v>
      </c>
      <c r="F33" s="161" t="s">
        <v>927</v>
      </c>
      <c r="G33" s="161" t="s">
        <v>928</v>
      </c>
    </row>
    <row r="34" customFormat="false" ht="25.5" hidden="false" customHeight="true" outlineLevel="0" collapsed="false">
      <c r="B34" s="11" t="s">
        <v>929</v>
      </c>
      <c r="C34" s="11" t="s">
        <v>977</v>
      </c>
      <c r="D34" s="11" t="s">
        <v>806</v>
      </c>
      <c r="E34" s="11" t="s">
        <v>931</v>
      </c>
      <c r="F34" s="11" t="s">
        <v>932</v>
      </c>
      <c r="G34" s="11" t="s">
        <v>959</v>
      </c>
    </row>
    <row r="35" customFormat="false" ht="25.5" hidden="false" customHeight="true" outlineLevel="0" collapsed="false">
      <c r="B35" s="157" t="s">
        <v>833</v>
      </c>
      <c r="C35" s="157" t="s">
        <v>770</v>
      </c>
      <c r="D35" s="157" t="s">
        <v>934</v>
      </c>
      <c r="E35" s="157" t="s">
        <v>931</v>
      </c>
      <c r="F35" s="157" t="s">
        <v>213</v>
      </c>
      <c r="G35" s="157" t="s">
        <v>961</v>
      </c>
    </row>
    <row r="36" customFormat="false" ht="25.5" hidden="false" customHeight="true" outlineLevel="0" collapsed="false">
      <c r="B36" s="11" t="s">
        <v>844</v>
      </c>
      <c r="C36" s="11" t="s">
        <v>978</v>
      </c>
      <c r="D36" s="11" t="s">
        <v>937</v>
      </c>
      <c r="E36" s="11" t="s">
        <v>931</v>
      </c>
      <c r="F36" s="11" t="s">
        <v>979</v>
      </c>
      <c r="G36" s="11" t="s">
        <v>939</v>
      </c>
    </row>
    <row r="37" customFormat="false" ht="25.5" hidden="false" customHeight="true" outlineLevel="0" collapsed="false">
      <c r="B37" s="7" t="s">
        <v>846</v>
      </c>
      <c r="C37" s="7" t="s">
        <v>980</v>
      </c>
      <c r="D37" s="7" t="s">
        <v>937</v>
      </c>
      <c r="E37" s="7" t="s">
        <v>931</v>
      </c>
      <c r="F37" s="7"/>
      <c r="G37" s="7" t="s">
        <v>942</v>
      </c>
    </row>
    <row r="38" customFormat="false" ht="25.5" hidden="false" customHeight="true" outlineLevel="0" collapsed="false">
      <c r="B38" s="11" t="s">
        <v>981</v>
      </c>
      <c r="C38" s="11" t="s">
        <v>982</v>
      </c>
      <c r="D38" s="11" t="s">
        <v>31</v>
      </c>
      <c r="E38" s="11" t="s">
        <v>931</v>
      </c>
      <c r="F38" s="11"/>
      <c r="G38" s="11" t="s">
        <v>983</v>
      </c>
    </row>
    <row r="39" customFormat="false" ht="25.5" hidden="false" customHeight="true" outlineLevel="0" collapsed="false">
      <c r="B39" s="7" t="s">
        <v>984</v>
      </c>
      <c r="C39" s="7" t="s">
        <v>985</v>
      </c>
      <c r="D39" s="7" t="s">
        <v>31</v>
      </c>
      <c r="E39" s="7" t="s">
        <v>931</v>
      </c>
      <c r="F39" s="7"/>
      <c r="G39" s="7" t="s">
        <v>983</v>
      </c>
    </row>
    <row r="40" customFormat="false" ht="25.5" hidden="false" customHeight="true" outlineLevel="0" collapsed="false">
      <c r="B40" s="11" t="s">
        <v>851</v>
      </c>
      <c r="C40" s="11" t="s">
        <v>986</v>
      </c>
      <c r="D40" s="11" t="s">
        <v>972</v>
      </c>
      <c r="E40" s="11" t="s">
        <v>931</v>
      </c>
      <c r="F40" s="11" t="s">
        <v>987</v>
      </c>
      <c r="G40" s="11" t="s">
        <v>974</v>
      </c>
    </row>
    <row r="41" customFormat="false" ht="25.5" hidden="false" customHeight="true" outlineLevel="0" collapsed="false">
      <c r="B41" s="7" t="s">
        <v>848</v>
      </c>
      <c r="C41" s="7" t="s">
        <v>849</v>
      </c>
      <c r="D41" s="7" t="s">
        <v>937</v>
      </c>
      <c r="E41" s="7" t="s">
        <v>931</v>
      </c>
      <c r="F41" s="7"/>
      <c r="G41" s="7" t="s">
        <v>953</v>
      </c>
    </row>
    <row r="43" customFormat="false" ht="24" hidden="false" customHeight="true" outlineLevel="0" collapsed="false">
      <c r="B43" s="141" t="s">
        <v>988</v>
      </c>
      <c r="C43" s="141"/>
      <c r="D43" s="141"/>
      <c r="E43" s="141"/>
      <c r="F43" s="141"/>
      <c r="G43" s="141"/>
      <c r="H43" s="141"/>
    </row>
    <row r="44" customFormat="false" ht="27.75" hidden="false" customHeight="true" outlineLevel="0" collapsed="false">
      <c r="B44" s="160" t="s">
        <v>989</v>
      </c>
      <c r="C44" s="160"/>
      <c r="D44" s="160"/>
      <c r="E44" s="160"/>
      <c r="F44" s="160"/>
      <c r="G44" s="160"/>
      <c r="H44" s="160"/>
    </row>
    <row r="45" customFormat="false" ht="25.5" hidden="false" customHeight="true" outlineLevel="0" collapsed="false">
      <c r="B45" s="161" t="s">
        <v>923</v>
      </c>
      <c r="C45" s="161" t="s">
        <v>924</v>
      </c>
      <c r="D45" s="161" t="s">
        <v>925</v>
      </c>
      <c r="E45" s="161" t="s">
        <v>926</v>
      </c>
      <c r="F45" s="161" t="s">
        <v>927</v>
      </c>
      <c r="G45" s="161" t="s">
        <v>928</v>
      </c>
    </row>
    <row r="46" customFormat="false" ht="25.5" hidden="false" customHeight="true" outlineLevel="0" collapsed="false">
      <c r="B46" s="11" t="s">
        <v>929</v>
      </c>
      <c r="C46" s="11" t="s">
        <v>990</v>
      </c>
      <c r="D46" s="11" t="s">
        <v>806</v>
      </c>
      <c r="E46" s="11" t="s">
        <v>931</v>
      </c>
      <c r="F46" s="11" t="s">
        <v>932</v>
      </c>
      <c r="G46" s="11" t="s">
        <v>959</v>
      </c>
    </row>
    <row r="47" customFormat="false" ht="25.5" hidden="false" customHeight="true" outlineLevel="0" collapsed="false">
      <c r="B47" s="157" t="s">
        <v>833</v>
      </c>
      <c r="C47" s="157" t="s">
        <v>770</v>
      </c>
      <c r="D47" s="157" t="s">
        <v>934</v>
      </c>
      <c r="E47" s="157" t="s">
        <v>931</v>
      </c>
      <c r="F47" s="157" t="s">
        <v>269</v>
      </c>
      <c r="G47" s="157" t="s">
        <v>961</v>
      </c>
    </row>
    <row r="48" customFormat="false" ht="25.5" hidden="false" customHeight="true" outlineLevel="0" collapsed="false">
      <c r="B48" s="11" t="s">
        <v>846</v>
      </c>
      <c r="C48" s="11" t="s">
        <v>991</v>
      </c>
      <c r="D48" s="11" t="s">
        <v>937</v>
      </c>
      <c r="E48" s="11" t="s">
        <v>931</v>
      </c>
      <c r="F48" s="11"/>
      <c r="G48" s="11" t="s">
        <v>942</v>
      </c>
    </row>
    <row r="49" customFormat="false" ht="25.5" hidden="false" customHeight="true" outlineLevel="0" collapsed="false">
      <c r="B49" s="7" t="s">
        <v>992</v>
      </c>
      <c r="C49" s="7" t="s">
        <v>993</v>
      </c>
      <c r="D49" s="7" t="s">
        <v>31</v>
      </c>
      <c r="E49" s="7" t="s">
        <v>931</v>
      </c>
      <c r="F49" s="7"/>
      <c r="G49" s="7" t="s">
        <v>983</v>
      </c>
    </row>
    <row r="50" customFormat="false" ht="25.5" hidden="false" customHeight="true" outlineLevel="0" collapsed="false">
      <c r="B50" s="11" t="s">
        <v>994</v>
      </c>
      <c r="C50" s="11" t="s">
        <v>995</v>
      </c>
      <c r="D50" s="11" t="s">
        <v>31</v>
      </c>
      <c r="E50" s="11" t="s">
        <v>931</v>
      </c>
      <c r="F50" s="11"/>
      <c r="G50" s="11" t="s">
        <v>983</v>
      </c>
    </row>
    <row r="51" customFormat="false" ht="25.5" hidden="false" customHeight="true" outlineLevel="0" collapsed="false">
      <c r="B51" s="7" t="s">
        <v>851</v>
      </c>
      <c r="C51" s="7" t="s">
        <v>996</v>
      </c>
      <c r="D51" s="7" t="s">
        <v>972</v>
      </c>
      <c r="E51" s="7" t="s">
        <v>931</v>
      </c>
      <c r="F51" s="7" t="s">
        <v>997</v>
      </c>
      <c r="G51" s="7" t="s">
        <v>974</v>
      </c>
    </row>
    <row r="52" customFormat="false" ht="25.5" hidden="false" customHeight="true" outlineLevel="0" collapsed="false">
      <c r="B52" s="11" t="s">
        <v>848</v>
      </c>
      <c r="C52" s="11" t="s">
        <v>849</v>
      </c>
      <c r="D52" s="11" t="s">
        <v>937</v>
      </c>
      <c r="E52" s="11" t="s">
        <v>931</v>
      </c>
      <c r="F52" s="11"/>
      <c r="G52" s="11" t="s">
        <v>953</v>
      </c>
    </row>
    <row r="54" customFormat="false" ht="24" hidden="false" customHeight="true" outlineLevel="0" collapsed="false">
      <c r="B54" s="141" t="s">
        <v>998</v>
      </c>
      <c r="C54" s="141"/>
      <c r="D54" s="141"/>
      <c r="E54" s="141"/>
      <c r="F54" s="141"/>
      <c r="G54" s="141"/>
      <c r="H54" s="141"/>
    </row>
    <row r="55" customFormat="false" ht="27.75" hidden="false" customHeight="true" outlineLevel="0" collapsed="false">
      <c r="B55" s="160" t="s">
        <v>999</v>
      </c>
      <c r="C55" s="160"/>
      <c r="D55" s="160"/>
      <c r="E55" s="160"/>
      <c r="F55" s="160"/>
      <c r="G55" s="160"/>
      <c r="H55" s="160"/>
    </row>
    <row r="56" customFormat="false" ht="25.5" hidden="false" customHeight="true" outlineLevel="0" collapsed="false">
      <c r="B56" s="161" t="s">
        <v>923</v>
      </c>
      <c r="C56" s="161" t="s">
        <v>924</v>
      </c>
      <c r="D56" s="161" t="s">
        <v>925</v>
      </c>
      <c r="E56" s="161" t="s">
        <v>926</v>
      </c>
      <c r="F56" s="161" t="s">
        <v>927</v>
      </c>
      <c r="G56" s="161" t="s">
        <v>928</v>
      </c>
    </row>
    <row r="57" customFormat="false" ht="25.5" hidden="false" customHeight="true" outlineLevel="0" collapsed="false">
      <c r="B57" s="11" t="s">
        <v>929</v>
      </c>
      <c r="C57" s="11" t="s">
        <v>990</v>
      </c>
      <c r="D57" s="11" t="s">
        <v>806</v>
      </c>
      <c r="E57" s="11" t="s">
        <v>931</v>
      </c>
      <c r="F57" s="11" t="s">
        <v>932</v>
      </c>
      <c r="G57" s="11" t="s">
        <v>959</v>
      </c>
    </row>
    <row r="58" customFormat="false" ht="25.5" hidden="false" customHeight="true" outlineLevel="0" collapsed="false">
      <c r="B58" s="157" t="s">
        <v>833</v>
      </c>
      <c r="C58" s="157" t="s">
        <v>770</v>
      </c>
      <c r="D58" s="157" t="s">
        <v>934</v>
      </c>
      <c r="E58" s="157" t="s">
        <v>931</v>
      </c>
      <c r="F58" s="157" t="s">
        <v>1000</v>
      </c>
      <c r="G58" s="157" t="s">
        <v>961</v>
      </c>
    </row>
    <row r="59" customFormat="false" ht="25.5" hidden="false" customHeight="true" outlineLevel="0" collapsed="false">
      <c r="B59" s="11" t="s">
        <v>844</v>
      </c>
      <c r="C59" s="11" t="s">
        <v>978</v>
      </c>
      <c r="D59" s="11" t="s">
        <v>937</v>
      </c>
      <c r="E59" s="11" t="s">
        <v>931</v>
      </c>
      <c r="F59" s="11"/>
      <c r="G59" s="11" t="s">
        <v>939</v>
      </c>
    </row>
    <row r="60" customFormat="false" ht="25.5" hidden="false" customHeight="true" outlineLevel="0" collapsed="false">
      <c r="B60" s="7" t="s">
        <v>1001</v>
      </c>
      <c r="C60" s="7" t="s">
        <v>1002</v>
      </c>
      <c r="D60" s="7" t="s">
        <v>937</v>
      </c>
      <c r="E60" s="7" t="s">
        <v>931</v>
      </c>
      <c r="F60" s="7"/>
      <c r="G60" s="7" t="s">
        <v>952</v>
      </c>
    </row>
    <row r="61" customFormat="false" ht="25.5" hidden="false" customHeight="true" outlineLevel="0" collapsed="false">
      <c r="B61" s="11" t="s">
        <v>1003</v>
      </c>
      <c r="C61" s="11" t="s">
        <v>1004</v>
      </c>
      <c r="D61" s="11" t="s">
        <v>947</v>
      </c>
      <c r="E61" s="11" t="s">
        <v>931</v>
      </c>
      <c r="F61" s="11" t="s">
        <v>1005</v>
      </c>
      <c r="G61" s="11" t="s">
        <v>1006</v>
      </c>
    </row>
    <row r="62" customFormat="false" ht="25.5" hidden="false" customHeight="true" outlineLevel="0" collapsed="false">
      <c r="B62" s="7" t="s">
        <v>851</v>
      </c>
      <c r="C62" s="7" t="s">
        <v>1007</v>
      </c>
      <c r="D62" s="7" t="s">
        <v>972</v>
      </c>
      <c r="E62" s="7" t="s">
        <v>931</v>
      </c>
      <c r="F62" s="7" t="s">
        <v>1008</v>
      </c>
      <c r="G62" s="7" t="s">
        <v>1009</v>
      </c>
    </row>
    <row r="63" customFormat="false" ht="25.5" hidden="false" customHeight="true" outlineLevel="0" collapsed="false">
      <c r="B63" s="11" t="s">
        <v>848</v>
      </c>
      <c r="C63" s="11" t="s">
        <v>849</v>
      </c>
      <c r="D63" s="11" t="s">
        <v>937</v>
      </c>
      <c r="E63" s="11" t="s">
        <v>931</v>
      </c>
      <c r="F63" s="11"/>
      <c r="G63" s="11" t="s">
        <v>953</v>
      </c>
    </row>
    <row r="65" customFormat="false" ht="24" hidden="false" customHeight="true" outlineLevel="0" collapsed="false">
      <c r="B65" s="141" t="s">
        <v>1010</v>
      </c>
      <c r="C65" s="141"/>
      <c r="D65" s="141"/>
      <c r="E65" s="141"/>
      <c r="F65" s="141"/>
      <c r="G65" s="141"/>
      <c r="H65" s="141"/>
    </row>
    <row r="66" customFormat="false" ht="27.75" hidden="false" customHeight="true" outlineLevel="0" collapsed="false">
      <c r="B66" s="160" t="s">
        <v>1011</v>
      </c>
      <c r="C66" s="160"/>
      <c r="D66" s="160"/>
      <c r="E66" s="160"/>
      <c r="F66" s="160"/>
      <c r="G66" s="160"/>
      <c r="H66" s="160"/>
    </row>
    <row r="67" customFormat="false" ht="25.5" hidden="false" customHeight="true" outlineLevel="0" collapsed="false">
      <c r="B67" s="161" t="s">
        <v>923</v>
      </c>
      <c r="C67" s="161" t="s">
        <v>924</v>
      </c>
      <c r="D67" s="161" t="s">
        <v>925</v>
      </c>
      <c r="E67" s="161" t="s">
        <v>926</v>
      </c>
      <c r="F67" s="161" t="s">
        <v>927</v>
      </c>
      <c r="G67" s="161" t="s">
        <v>928</v>
      </c>
    </row>
    <row r="68" customFormat="false" ht="25.5" hidden="false" customHeight="true" outlineLevel="0" collapsed="false">
      <c r="B68" s="11" t="s">
        <v>929</v>
      </c>
      <c r="C68" s="11" t="s">
        <v>1012</v>
      </c>
      <c r="D68" s="11" t="s">
        <v>806</v>
      </c>
      <c r="E68" s="11" t="s">
        <v>931</v>
      </c>
      <c r="F68" s="11" t="s">
        <v>932</v>
      </c>
      <c r="G68" s="11" t="s">
        <v>959</v>
      </c>
    </row>
    <row r="69" customFormat="false" ht="25.5" hidden="false" customHeight="true" outlineLevel="0" collapsed="false">
      <c r="B69" s="157" t="s">
        <v>833</v>
      </c>
      <c r="C69" s="157" t="s">
        <v>770</v>
      </c>
      <c r="D69" s="157" t="s">
        <v>934</v>
      </c>
      <c r="E69" s="157" t="s">
        <v>931</v>
      </c>
      <c r="F69" s="157" t="s">
        <v>535</v>
      </c>
      <c r="G69" s="157" t="s">
        <v>961</v>
      </c>
    </row>
    <row r="70" customFormat="false" ht="25.5" hidden="false" customHeight="true" outlineLevel="0" collapsed="false">
      <c r="B70" s="11" t="s">
        <v>844</v>
      </c>
      <c r="C70" s="11" t="s">
        <v>773</v>
      </c>
      <c r="D70" s="11" t="s">
        <v>937</v>
      </c>
      <c r="E70" s="11" t="s">
        <v>931</v>
      </c>
      <c r="F70" s="11" t="s">
        <v>1013</v>
      </c>
      <c r="G70" s="11" t="s">
        <v>939</v>
      </c>
    </row>
    <row r="71" customFormat="false" ht="25.5" hidden="false" customHeight="true" outlineLevel="0" collapsed="false">
      <c r="B71" s="7" t="s">
        <v>1014</v>
      </c>
      <c r="C71" s="7" t="s">
        <v>1015</v>
      </c>
      <c r="D71" s="7" t="s">
        <v>937</v>
      </c>
      <c r="E71" s="7" t="s">
        <v>931</v>
      </c>
      <c r="F71" s="7"/>
      <c r="G71" s="7" t="s">
        <v>945</v>
      </c>
    </row>
    <row r="72" customFormat="false" ht="25.5" hidden="false" customHeight="true" outlineLevel="0" collapsed="false">
      <c r="B72" s="11" t="s">
        <v>855</v>
      </c>
      <c r="C72" s="11" t="s">
        <v>946</v>
      </c>
      <c r="D72" s="11" t="s">
        <v>947</v>
      </c>
      <c r="E72" s="11" t="s">
        <v>931</v>
      </c>
      <c r="F72" s="11" t="s">
        <v>948</v>
      </c>
      <c r="G72" s="11" t="s">
        <v>963</v>
      </c>
    </row>
    <row r="73" customFormat="false" ht="25.5" hidden="false" customHeight="true" outlineLevel="0" collapsed="false">
      <c r="B73" s="7" t="s">
        <v>1016</v>
      </c>
      <c r="C73" s="7" t="s">
        <v>781</v>
      </c>
      <c r="D73" s="7" t="s">
        <v>947</v>
      </c>
      <c r="E73" s="7" t="s">
        <v>940</v>
      </c>
      <c r="F73" s="7" t="s">
        <v>1017</v>
      </c>
      <c r="G73" s="7" t="s">
        <v>952</v>
      </c>
    </row>
    <row r="74" customFormat="false" ht="25.5" hidden="false" customHeight="true" outlineLevel="0" collapsed="false">
      <c r="B74" s="11" t="s">
        <v>851</v>
      </c>
      <c r="C74" s="11" t="s">
        <v>954</v>
      </c>
      <c r="D74" s="11" t="s">
        <v>31</v>
      </c>
      <c r="E74" s="11" t="s">
        <v>931</v>
      </c>
      <c r="F74" s="11" t="s">
        <v>243</v>
      </c>
      <c r="G74" s="11" t="s">
        <v>1018</v>
      </c>
    </row>
    <row r="75" customFormat="false" ht="25.5" hidden="false" customHeight="true" outlineLevel="0" collapsed="false">
      <c r="B75" s="7" t="s">
        <v>848</v>
      </c>
      <c r="C75" s="7" t="s">
        <v>1019</v>
      </c>
      <c r="D75" s="7" t="s">
        <v>937</v>
      </c>
      <c r="E75" s="7" t="s">
        <v>931</v>
      </c>
      <c r="F75" s="7"/>
      <c r="G75" s="7" t="s">
        <v>953</v>
      </c>
    </row>
    <row r="77" customFormat="false" ht="24" hidden="false" customHeight="true" outlineLevel="0" collapsed="false">
      <c r="B77" s="141" t="s">
        <v>1020</v>
      </c>
      <c r="C77" s="141"/>
      <c r="D77" s="141"/>
      <c r="E77" s="141"/>
      <c r="F77" s="141"/>
      <c r="G77" s="141"/>
      <c r="H77" s="141"/>
    </row>
    <row r="78" customFormat="false" ht="27.75" hidden="false" customHeight="true" outlineLevel="0" collapsed="false">
      <c r="B78" s="160" t="s">
        <v>1021</v>
      </c>
      <c r="C78" s="160"/>
      <c r="D78" s="160"/>
      <c r="E78" s="160"/>
      <c r="F78" s="160"/>
      <c r="G78" s="160"/>
      <c r="H78" s="160"/>
    </row>
    <row r="79" customFormat="false" ht="25.5" hidden="false" customHeight="true" outlineLevel="0" collapsed="false">
      <c r="B79" s="161" t="s">
        <v>923</v>
      </c>
      <c r="C79" s="161" t="s">
        <v>924</v>
      </c>
      <c r="D79" s="161" t="s">
        <v>925</v>
      </c>
      <c r="E79" s="161" t="s">
        <v>926</v>
      </c>
      <c r="F79" s="161" t="s">
        <v>927</v>
      </c>
      <c r="G79" s="161" t="s">
        <v>928</v>
      </c>
    </row>
    <row r="80" customFormat="false" ht="25.5" hidden="false" customHeight="true" outlineLevel="0" collapsed="false">
      <c r="B80" s="11" t="s">
        <v>929</v>
      </c>
      <c r="C80" s="11" t="s">
        <v>1022</v>
      </c>
      <c r="D80" s="11" t="s">
        <v>806</v>
      </c>
      <c r="E80" s="11" t="s">
        <v>931</v>
      </c>
      <c r="F80" s="11" t="s">
        <v>932</v>
      </c>
      <c r="G80" s="11" t="s">
        <v>959</v>
      </c>
    </row>
    <row r="81" customFormat="false" ht="25.5" hidden="false" customHeight="true" outlineLevel="0" collapsed="false">
      <c r="B81" s="157" t="s">
        <v>833</v>
      </c>
      <c r="C81" s="157" t="s">
        <v>770</v>
      </c>
      <c r="D81" s="157" t="s">
        <v>934</v>
      </c>
      <c r="E81" s="157" t="s">
        <v>931</v>
      </c>
      <c r="F81" s="157" t="s">
        <v>645</v>
      </c>
      <c r="G81" s="157" t="s">
        <v>961</v>
      </c>
    </row>
    <row r="82" customFormat="false" ht="25.5" hidden="false" customHeight="true" outlineLevel="0" collapsed="false">
      <c r="B82" s="11" t="s">
        <v>1023</v>
      </c>
      <c r="C82" s="11" t="s">
        <v>1024</v>
      </c>
      <c r="D82" s="11" t="s">
        <v>937</v>
      </c>
      <c r="E82" s="11" t="s">
        <v>931</v>
      </c>
      <c r="F82" s="11"/>
      <c r="G82" s="11" t="s">
        <v>952</v>
      </c>
    </row>
    <row r="83" customFormat="false" ht="25.5" hidden="false" customHeight="true" outlineLevel="0" collapsed="false">
      <c r="B83" s="7" t="s">
        <v>1025</v>
      </c>
      <c r="C83" s="7" t="s">
        <v>1026</v>
      </c>
      <c r="D83" s="7" t="s">
        <v>947</v>
      </c>
      <c r="E83" s="7" t="s">
        <v>931</v>
      </c>
      <c r="F83" s="7" t="s">
        <v>1027</v>
      </c>
      <c r="G83" s="7" t="s">
        <v>970</v>
      </c>
    </row>
    <row r="84" customFormat="false" ht="25.5" hidden="false" customHeight="true" outlineLevel="0" collapsed="false">
      <c r="B84" s="11" t="s">
        <v>851</v>
      </c>
      <c r="C84" s="11" t="s">
        <v>971</v>
      </c>
      <c r="D84" s="11" t="s">
        <v>972</v>
      </c>
      <c r="E84" s="11" t="s">
        <v>931</v>
      </c>
      <c r="F84" s="11" t="s">
        <v>1028</v>
      </c>
      <c r="G84" s="11" t="s">
        <v>974</v>
      </c>
    </row>
    <row r="85" customFormat="false" ht="25.5" hidden="false" customHeight="true" outlineLevel="0" collapsed="false">
      <c r="B85" s="7" t="s">
        <v>848</v>
      </c>
      <c r="C85" s="7" t="s">
        <v>1029</v>
      </c>
      <c r="D85" s="7" t="s">
        <v>937</v>
      </c>
      <c r="E85" s="7" t="s">
        <v>931</v>
      </c>
      <c r="F85" s="7"/>
      <c r="G85" s="7" t="s">
        <v>953</v>
      </c>
    </row>
    <row r="87" customFormat="false" ht="43.5" hidden="false" customHeight="true" outlineLevel="0" collapsed="false">
      <c r="B87" s="162" t="s">
        <v>1030</v>
      </c>
      <c r="C87" s="162"/>
      <c r="D87" s="162"/>
      <c r="E87" s="162"/>
      <c r="F87" s="162"/>
      <c r="G87" s="162"/>
      <c r="H87" s="162"/>
    </row>
  </sheetData>
  <mergeCells count="17">
    <mergeCell ref="B2:H2"/>
    <mergeCell ref="B3:H3"/>
    <mergeCell ref="B5:H5"/>
    <mergeCell ref="B6:H6"/>
    <mergeCell ref="B18:H18"/>
    <mergeCell ref="B19:H19"/>
    <mergeCell ref="B31:H31"/>
    <mergeCell ref="B32:H32"/>
    <mergeCell ref="B43:H43"/>
    <mergeCell ref="B44:H44"/>
    <mergeCell ref="B54:H54"/>
    <mergeCell ref="B55:H55"/>
    <mergeCell ref="B65:H65"/>
    <mergeCell ref="B66:H66"/>
    <mergeCell ref="B77:H77"/>
    <mergeCell ref="B78:H78"/>
    <mergeCell ref="B87:H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6985"/>
    <pageSetUpPr fitToPage="false"/>
  </sheetPr>
  <dimension ref="B2: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32"/>
    <col collapsed="false" customWidth="true" hidden="false" outlineLevel="0" max="4" min="4" style="1" width="56"/>
  </cols>
  <sheetData>
    <row r="2" customFormat="false" ht="27.75" hidden="false" customHeight="true" outlineLevel="0" collapsed="false">
      <c r="B2" s="134" t="s">
        <v>1031</v>
      </c>
      <c r="C2" s="134"/>
      <c r="D2" s="134"/>
      <c r="E2" s="134"/>
      <c r="F2" s="134"/>
      <c r="G2" s="134"/>
      <c r="H2" s="134"/>
    </row>
    <row r="3" customFormat="false" ht="15" hidden="false" customHeight="true" outlineLevel="0" collapsed="false">
      <c r="B3" s="40" t="s">
        <v>1032</v>
      </c>
      <c r="C3" s="40"/>
      <c r="D3" s="40"/>
      <c r="E3" s="40"/>
      <c r="F3" s="40"/>
      <c r="G3" s="40"/>
      <c r="H3" s="40"/>
    </row>
    <row r="5" customFormat="false" ht="24" hidden="false" customHeight="true" outlineLevel="0" collapsed="false">
      <c r="B5" s="163" t="s">
        <v>1033</v>
      </c>
      <c r="C5" s="163"/>
      <c r="D5" s="163"/>
      <c r="E5" s="163"/>
    </row>
    <row r="6" customFormat="false" ht="37.5" hidden="false" customHeight="true" outlineLevel="0" collapsed="false">
      <c r="B6" s="164" t="s">
        <v>1034</v>
      </c>
      <c r="C6" s="10" t="s">
        <v>1035</v>
      </c>
      <c r="D6" s="11" t="s">
        <v>1036</v>
      </c>
    </row>
    <row r="7" customFormat="false" ht="37.5" hidden="false" customHeight="true" outlineLevel="0" collapsed="false">
      <c r="B7" s="164" t="s">
        <v>1037</v>
      </c>
      <c r="C7" s="10" t="s">
        <v>1038</v>
      </c>
      <c r="D7" s="11" t="s">
        <v>1039</v>
      </c>
    </row>
    <row r="8" customFormat="false" ht="37.5" hidden="false" customHeight="true" outlineLevel="0" collapsed="false">
      <c r="B8" s="164" t="s">
        <v>1040</v>
      </c>
      <c r="C8" s="10" t="s">
        <v>1041</v>
      </c>
      <c r="D8" s="11" t="s">
        <v>1042</v>
      </c>
    </row>
    <row r="9" customFormat="false" ht="37.5" hidden="false" customHeight="true" outlineLevel="0" collapsed="false">
      <c r="B9" s="164" t="s">
        <v>1043</v>
      </c>
      <c r="C9" s="10" t="s">
        <v>1044</v>
      </c>
      <c r="D9" s="11" t="s">
        <v>1045</v>
      </c>
    </row>
    <row r="10" customFormat="false" ht="37.5" hidden="false" customHeight="true" outlineLevel="0" collapsed="false">
      <c r="B10" s="164" t="s">
        <v>1046</v>
      </c>
      <c r="C10" s="10" t="s">
        <v>1047</v>
      </c>
      <c r="D10" s="11" t="s">
        <v>1048</v>
      </c>
    </row>
    <row r="12" customFormat="false" ht="24" hidden="false" customHeight="true" outlineLevel="0" collapsed="false">
      <c r="B12" s="163" t="s">
        <v>1049</v>
      </c>
      <c r="C12" s="163"/>
      <c r="D12" s="163"/>
      <c r="E12" s="163"/>
    </row>
    <row r="13" customFormat="false" ht="37.5" hidden="false" customHeight="true" outlineLevel="0" collapsed="false">
      <c r="B13" s="164" t="s">
        <v>1050</v>
      </c>
      <c r="C13" s="10" t="s">
        <v>1051</v>
      </c>
      <c r="D13" s="11" t="s">
        <v>1052</v>
      </c>
    </row>
    <row r="14" customFormat="false" ht="37.5" hidden="false" customHeight="true" outlineLevel="0" collapsed="false">
      <c r="B14" s="164" t="s">
        <v>1053</v>
      </c>
      <c r="C14" s="10" t="s">
        <v>1054</v>
      </c>
      <c r="D14" s="11" t="s">
        <v>1055</v>
      </c>
    </row>
    <row r="16" customFormat="false" ht="24" hidden="false" customHeight="true" outlineLevel="0" collapsed="false">
      <c r="B16" s="163" t="s">
        <v>1056</v>
      </c>
      <c r="C16" s="163"/>
      <c r="D16" s="163"/>
      <c r="E16" s="163"/>
    </row>
    <row r="17" customFormat="false" ht="37.5" hidden="false" customHeight="true" outlineLevel="0" collapsed="false">
      <c r="B17" s="164" t="s">
        <v>1057</v>
      </c>
      <c r="C17" s="10" t="s">
        <v>1058</v>
      </c>
      <c r="D17" s="11" t="s">
        <v>1059</v>
      </c>
    </row>
    <row r="18" customFormat="false" ht="37.5" hidden="false" customHeight="true" outlineLevel="0" collapsed="false">
      <c r="B18" s="164" t="s">
        <v>1060</v>
      </c>
      <c r="C18" s="10" t="s">
        <v>1061</v>
      </c>
      <c r="D18" s="11" t="s">
        <v>1062</v>
      </c>
    </row>
    <row r="19" customFormat="false" ht="37.5" hidden="false" customHeight="true" outlineLevel="0" collapsed="false">
      <c r="B19" s="164" t="s">
        <v>1063</v>
      </c>
      <c r="C19" s="10" t="s">
        <v>1064</v>
      </c>
      <c r="D19" s="11" t="s">
        <v>1065</v>
      </c>
    </row>
    <row r="20" customFormat="false" ht="37.5" hidden="false" customHeight="true" outlineLevel="0" collapsed="false">
      <c r="B20" s="164" t="s">
        <v>1066</v>
      </c>
      <c r="C20" s="10" t="s">
        <v>1067</v>
      </c>
      <c r="D20" s="11" t="s">
        <v>1068</v>
      </c>
    </row>
    <row r="21" customFormat="false" ht="37.5" hidden="false" customHeight="true" outlineLevel="0" collapsed="false">
      <c r="B21" s="164" t="s">
        <v>1069</v>
      </c>
      <c r="C21" s="10" t="s">
        <v>1070</v>
      </c>
      <c r="D21" s="11" t="s">
        <v>1071</v>
      </c>
    </row>
    <row r="22" customFormat="false" ht="37.5" hidden="false" customHeight="true" outlineLevel="0" collapsed="false">
      <c r="B22" s="164" t="s">
        <v>1072</v>
      </c>
      <c r="C22" s="10" t="s">
        <v>1073</v>
      </c>
      <c r="D22" s="11" t="s">
        <v>1074</v>
      </c>
    </row>
    <row r="24" customFormat="false" ht="24" hidden="false" customHeight="true" outlineLevel="0" collapsed="false">
      <c r="B24" s="163" t="s">
        <v>1075</v>
      </c>
      <c r="C24" s="163"/>
      <c r="D24" s="163"/>
      <c r="E24" s="163"/>
    </row>
    <row r="25" customFormat="false" ht="37.5" hidden="false" customHeight="true" outlineLevel="0" collapsed="false">
      <c r="B25" s="164" t="s">
        <v>1076</v>
      </c>
      <c r="C25" s="10" t="s">
        <v>1077</v>
      </c>
      <c r="D25" s="11" t="s">
        <v>1078</v>
      </c>
    </row>
    <row r="26" customFormat="false" ht="37.5" hidden="false" customHeight="true" outlineLevel="0" collapsed="false">
      <c r="B26" s="164" t="s">
        <v>1079</v>
      </c>
      <c r="C26" s="10" t="s">
        <v>1080</v>
      </c>
      <c r="D26" s="11" t="s">
        <v>1081</v>
      </c>
    </row>
    <row r="27" customFormat="false" ht="37.5" hidden="false" customHeight="true" outlineLevel="0" collapsed="false">
      <c r="B27" s="164" t="s">
        <v>1082</v>
      </c>
      <c r="C27" s="10" t="s">
        <v>1083</v>
      </c>
      <c r="D27" s="11" t="s">
        <v>1084</v>
      </c>
    </row>
    <row r="29" customFormat="false" ht="43.5" hidden="false" customHeight="true" outlineLevel="0" collapsed="false">
      <c r="B29" s="165" t="s">
        <v>1085</v>
      </c>
      <c r="C29" s="165"/>
      <c r="D29" s="165"/>
      <c r="E29" s="165"/>
    </row>
  </sheetData>
  <mergeCells count="7">
    <mergeCell ref="B2:H2"/>
    <mergeCell ref="B3:H3"/>
    <mergeCell ref="B5:E5"/>
    <mergeCell ref="B12:E12"/>
    <mergeCell ref="B16:E16"/>
    <mergeCell ref="B24:E24"/>
    <mergeCell ref="B29:E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285F4"/>
    <pageSetUpPr fitToPage="false"/>
  </sheetPr>
  <dimension ref="A1:R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3"/>
    <col collapsed="false" customWidth="true" hidden="false" outlineLevel="0" max="3" min="3" style="1" width="36"/>
    <col collapsed="false" customWidth="true" hidden="false" outlineLevel="0" max="4" min="4" style="1" width="12"/>
    <col collapsed="false" customWidth="true" hidden="false" outlineLevel="0" max="5" min="5" style="1" width="22"/>
    <col collapsed="false" customWidth="true" hidden="false" outlineLevel="0" max="6" min="6" style="1" width="9"/>
    <col collapsed="false" customWidth="true" hidden="false" outlineLevel="0" max="9" min="7" style="1" width="15"/>
    <col collapsed="false" customWidth="true" hidden="false" outlineLevel="0" max="11" min="10" style="1" width="11"/>
    <col collapsed="false" customWidth="true" hidden="false" outlineLevel="0" max="13" min="12" style="1" width="14"/>
    <col collapsed="false" customWidth="true" hidden="false" outlineLevel="0" max="14" min="14" style="1" width="16"/>
    <col collapsed="false" customWidth="true" hidden="false" outlineLevel="0" max="15" min="15" style="1" width="8"/>
    <col collapsed="false" customWidth="true" hidden="false" outlineLevel="0" max="16" min="16" style="1" width="14"/>
    <col collapsed="false" customWidth="true" hidden="false" outlineLevel="0" max="17" min="17" style="1" width="11"/>
    <col collapsed="false" customWidth="true" hidden="false" outlineLevel="0" max="18" min="18" style="1" width="12"/>
  </cols>
  <sheetData>
    <row r="1" customFormat="false" ht="30" hidden="false" customHeight="true" outlineLevel="0" collapsed="false">
      <c r="A1" s="166" t="s">
        <v>663</v>
      </c>
      <c r="B1" s="166" t="s">
        <v>1086</v>
      </c>
      <c r="C1" s="166" t="s">
        <v>1087</v>
      </c>
      <c r="D1" s="166" t="s">
        <v>1088</v>
      </c>
      <c r="E1" s="166" t="s">
        <v>212</v>
      </c>
      <c r="F1" s="166" t="s">
        <v>1089</v>
      </c>
      <c r="G1" s="166" t="s">
        <v>1090</v>
      </c>
      <c r="H1" s="166" t="s">
        <v>1091</v>
      </c>
      <c r="I1" s="166" t="s">
        <v>1092</v>
      </c>
      <c r="J1" s="166" t="s">
        <v>1093</v>
      </c>
      <c r="K1" s="166" t="s">
        <v>1094</v>
      </c>
      <c r="L1" s="166" t="s">
        <v>1095</v>
      </c>
      <c r="M1" s="166" t="s">
        <v>1096</v>
      </c>
      <c r="N1" s="166" t="s">
        <v>30</v>
      </c>
      <c r="O1" s="166" t="s">
        <v>1097</v>
      </c>
      <c r="P1" s="166" t="s">
        <v>18</v>
      </c>
      <c r="Q1" s="166" t="s">
        <v>1098</v>
      </c>
      <c r="R1" s="166" t="s">
        <v>1099</v>
      </c>
    </row>
    <row r="2" customFormat="false" ht="15" hidden="false" customHeight="true" outlineLevel="0" collapsed="false">
      <c r="A2" s="1" t="str">
        <f aca="false">IF('5. Gantt EQUIFILLES'!B6="","","EQUIFILLES")</f>
        <v>EQUIFILLES</v>
      </c>
      <c r="B2" s="1" t="str">
        <f aca="false">IF('5. Gantt EQUIFILLES'!B6="","",'5. Gantt EQUIFILLES'!B6)</f>
        <v>A0.1</v>
      </c>
      <c r="C2" s="1" t="str">
        <f aca="false">IF('5. Gantt EQUIFILLES'!B6="","",'5. Gantt EQUIFILLES'!C6)</f>
        <v>Lancement officiel du projet</v>
      </c>
      <c r="D2" s="1" t="str">
        <f aca="false">IF('5. Gantt EQUIFILLES'!B6="","",'5. Gantt EQUIFILLES'!D6)</f>
        <v>Transverse</v>
      </c>
      <c r="E2" s="1" t="str">
        <f aca="false">IF('5. Gantt EQUIFILLES'!B6="","",'5. Gantt EQUIFILLES'!E6)</f>
        <v>KASSIMOU Mountarou</v>
      </c>
      <c r="F2" s="1" t="n">
        <f aca="false">IF('5. Gantt EQUIFILLES'!B6="","",'5. Gantt EQUIFILLES'!G6)</f>
        <v>2</v>
      </c>
      <c r="G2" s="167" t="n">
        <f aca="false">IF('5. Gantt EQUIFILLES'!B6="","",'5. Gantt EQUIFILLES'!H6)</f>
        <v>46096</v>
      </c>
      <c r="H2" s="167" t="n">
        <f aca="false">IF('5. Gantt EQUIFILLES'!B6="","",'5. Gantt EQUIFILLES'!I6)</f>
        <v>46111</v>
      </c>
      <c r="I2" s="167" t="n">
        <f aca="false">IF('5. Gantt EQUIFILLES'!B6="","",'5. Gantt EQUIFILLES'!K6)</f>
        <v>0</v>
      </c>
      <c r="J2" s="168" t="n">
        <f aca="false">IF('5. Gantt EQUIFILLES'!B6="","",'5. Gantt EQUIFILLES'!M6)</f>
        <v>100</v>
      </c>
      <c r="K2" s="168" t="n">
        <f aca="false">IF('5. Gantt EQUIFILLES'!B6="","",'5. Gantt EQUIFILLES'!N6)</f>
        <v>0</v>
      </c>
      <c r="L2" s="169" t="n">
        <f aca="false">IF('5. Gantt EQUIFILLES'!B6="","",'5. Gantt EQUIFILLES'!O6)</f>
        <v>277500</v>
      </c>
      <c r="M2" s="169" t="n">
        <f aca="false">IF('5. Gantt EQUIFILLES'!B6="","",'5. Gantt EQUIFILLES'!P6)</f>
        <v>0</v>
      </c>
      <c r="N2" s="1" t="str">
        <f aca="false">IF('5. Gantt EQUIFILLES'!B6="","",'5. Gantt EQUIFILLES'!Q6)</f>
        <v>Critique</v>
      </c>
      <c r="O2" s="1" t="n">
        <f aca="false">IF('5. Gantt EQUIFILLES'!B6="","",'5. Gantt EQUIFILLES'!R6)</f>
        <v>10</v>
      </c>
      <c r="P2" s="1" t="n">
        <f aca="false">IF('5. Gantt EQUIFILLES'!B6="","",'5. Gantt EQUIFILLES'!S6)</f>
        <v>0</v>
      </c>
      <c r="Q2" s="170" t="n">
        <f aca="false">IF('5. Gantt EQUIFILLES'!B6="","",'5. Gantt EQUIFILLES'!T6)</f>
        <v>0</v>
      </c>
      <c r="R2" s="170" t="n">
        <f aca="false">IF('5. Gantt EQUIFILLES'!B6="","",'5. Gantt EQUIFILLES'!U6)</f>
        <v>0</v>
      </c>
    </row>
    <row r="3" customFormat="false" ht="15" hidden="false" customHeight="true" outlineLevel="0" collapsed="false">
      <c r="A3" s="1" t="str">
        <f aca="false">IF('5. Gantt EQUIFILLES'!B7="","","EQUIFILLES")</f>
        <v>EQUIFILLES</v>
      </c>
      <c r="B3" s="1" t="str">
        <f aca="false">IF('5. Gantt EQUIFILLES'!B7="","",'5. Gantt EQUIFILLES'!B7)</f>
        <v>A1.1.1</v>
      </c>
      <c r="C3" s="1" t="str">
        <f aca="false">IF('5. Gantt EQUIFILLES'!B7="","",'5. Gantt EQUIFILLES'!C7)</f>
        <v>Identification et cartographie des 5 écoles cibles avec CS/DDEMP</v>
      </c>
      <c r="D3" s="1" t="str">
        <f aca="false">IF('5. Gantt EQUIFILLES'!B7="","",'5. Gantt EQUIFILLES'!D7)</f>
        <v>Output 1.1</v>
      </c>
      <c r="E3" s="1" t="str">
        <f aca="false">IF('5. Gantt EQUIFILLES'!B7="","",'5. Gantt EQUIFILLES'!E7)</f>
        <v>BOUKARI AROUNA Rafiou</v>
      </c>
      <c r="F3" s="1" t="n">
        <f aca="false">IF('5. Gantt EQUIFILLES'!B7="","",'5. Gantt EQUIFILLES'!G7)</f>
        <v>2</v>
      </c>
      <c r="G3" s="167" t="n">
        <f aca="false">IF('5. Gantt EQUIFILLES'!B7="","",'5. Gantt EQUIFILLES'!H7)</f>
        <v>46113</v>
      </c>
      <c r="H3" s="167" t="n">
        <f aca="false">IF('5. Gantt EQUIFILLES'!B7="","",'5. Gantt EQUIFILLES'!I7)</f>
        <v>46127</v>
      </c>
      <c r="I3" s="167" t="n">
        <f aca="false">IF('5. Gantt EQUIFILLES'!B7="","",'5. Gantt EQUIFILLES'!K7)</f>
        <v>0</v>
      </c>
      <c r="J3" s="168" t="n">
        <f aca="false">IF('5. Gantt EQUIFILLES'!B7="","",'5. Gantt EQUIFILLES'!M7)</f>
        <v>100</v>
      </c>
      <c r="K3" s="168" t="n">
        <f aca="false">IF('5. Gantt EQUIFILLES'!B7="","",'5. Gantt EQUIFILLES'!N7)</f>
        <v>0</v>
      </c>
      <c r="L3" s="169" t="n">
        <f aca="false">IF('5. Gantt EQUIFILLES'!B7="","",'5. Gantt EQUIFILLES'!O7)</f>
        <v>191000</v>
      </c>
      <c r="M3" s="169" t="n">
        <f aca="false">IF('5. Gantt EQUIFILLES'!B7="","",'5. Gantt EQUIFILLES'!P7)</f>
        <v>0</v>
      </c>
      <c r="N3" s="1" t="str">
        <f aca="false">IF('5. Gantt EQUIFILLES'!B7="","",'5. Gantt EQUIFILLES'!Q7)</f>
        <v>Critique</v>
      </c>
      <c r="O3" s="1" t="n">
        <f aca="false">IF('5. Gantt EQUIFILLES'!B7="","",'5. Gantt EQUIFILLES'!R7)</f>
        <v>10</v>
      </c>
      <c r="P3" s="1" t="str">
        <f aca="false">IF('5. Gantt EQUIFILLES'!B7="","",'5. Gantt EQUIFILLES'!S7)</f>
        <v>Ind 1.1.3</v>
      </c>
      <c r="Q3" s="170" t="n">
        <f aca="false">IF('5. Gantt EQUIFILLES'!B7="","",'5. Gantt EQUIFILLES'!T7)</f>
        <v>1</v>
      </c>
      <c r="R3" s="170" t="n">
        <f aca="false">IF('5. Gantt EQUIFILLES'!B7="","",'5. Gantt EQUIFILLES'!U7)</f>
        <v>0</v>
      </c>
    </row>
    <row r="4" customFormat="false" ht="15" hidden="false" customHeight="true" outlineLevel="0" collapsed="false">
      <c r="A4" s="1" t="str">
        <f aca="false">IF('5. Gantt EQUIFILLES'!B8="","","EQUIFILLES")</f>
        <v>EQUIFILLES</v>
      </c>
      <c r="B4" s="1" t="str">
        <f aca="false">IF('5. Gantt EQUIFILLES'!B8="","",'5. Gantt EQUIFILLES'!B8)</f>
        <v>A1.1.2.1</v>
      </c>
      <c r="C4" s="1" t="str">
        <f aca="false">IF('5. Gantt EQUIFILLES'!B8="","",'5. Gantt EQUIFILLES'!C8)</f>
        <v>Formation acteurs demande - Volet APE/AME formés (15 personnes × 2 ateliers)</v>
      </c>
      <c r="D4" s="1" t="str">
        <f aca="false">IF('5. Gantt EQUIFILLES'!B8="","",'5. Gantt EQUIFILLES'!D8)</f>
        <v>Output 1.1</v>
      </c>
      <c r="E4" s="1" t="str">
        <f aca="false">IF('5. Gantt EQUIFILLES'!B8="","",'5. Gantt EQUIFILLES'!E8)</f>
        <v>BOUKARI AROUNA Rafiou</v>
      </c>
      <c r="F4" s="1" t="n">
        <f aca="false">IF('5. Gantt EQUIFILLES'!B8="","",'5. Gantt EQUIFILLES'!G8)</f>
        <v>3</v>
      </c>
      <c r="G4" s="167" t="n">
        <f aca="false">IF('5. Gantt EQUIFILLES'!B8="","",'5. Gantt EQUIFILLES'!H8)</f>
        <v>46132</v>
      </c>
      <c r="H4" s="167" t="n">
        <f aca="false">IF('5. Gantt EQUIFILLES'!B8="","",'5. Gantt EQUIFILLES'!I8)</f>
        <v>46157</v>
      </c>
      <c r="I4" s="167" t="n">
        <f aca="false">IF('5. Gantt EQUIFILLES'!B8="","",'5. Gantt EQUIFILLES'!K8)</f>
        <v>0</v>
      </c>
      <c r="J4" s="168" t="n">
        <f aca="false">IF('5. Gantt EQUIFILLES'!B8="","",'5. Gantt EQUIFILLES'!M8)</f>
        <v>100</v>
      </c>
      <c r="K4" s="168" t="n">
        <f aca="false">IF('5. Gantt EQUIFILLES'!B8="","",'5. Gantt EQUIFILLES'!N8)</f>
        <v>0</v>
      </c>
      <c r="L4" s="169" t="n">
        <f aca="false">IF('5. Gantt EQUIFILLES'!B8="","",'5. Gantt EQUIFILLES'!O8)</f>
        <v>600000</v>
      </c>
      <c r="M4" s="169" t="n">
        <f aca="false">IF('5. Gantt EQUIFILLES'!B8="","",'5. Gantt EQUIFILLES'!P8)</f>
        <v>0</v>
      </c>
      <c r="N4" s="1" t="str">
        <f aca="false">IF('5. Gantt EQUIFILLES'!B8="","",'5. Gantt EQUIFILLES'!Q8)</f>
        <v>En retard</v>
      </c>
      <c r="O4" s="1" t="n">
        <f aca="false">IF('5. Gantt EQUIFILLES'!B8="","",'5. Gantt EQUIFILLES'!R8)</f>
        <v>25</v>
      </c>
      <c r="P4" s="1" t="str">
        <f aca="false">IF('5. Gantt EQUIFILLES'!B8="","",'5. Gantt EQUIFILLES'!S8)</f>
        <v>Ind 1.1.1</v>
      </c>
      <c r="Q4" s="170" t="n">
        <f aca="false">IF('5. Gantt EQUIFILLES'!B8="","",'5. Gantt EQUIFILLES'!T8)</f>
        <v>30</v>
      </c>
      <c r="R4" s="170" t="n">
        <f aca="false">IF('5. Gantt EQUIFILLES'!B8="","",'5. Gantt EQUIFILLES'!U8)</f>
        <v>0</v>
      </c>
    </row>
    <row r="5" customFormat="false" ht="15" hidden="false" customHeight="true" outlineLevel="0" collapsed="false">
      <c r="A5" s="1" t="str">
        <f aca="false">IF('5. Gantt EQUIFILLES'!B9="","","EQUIFILLES")</f>
        <v>EQUIFILLES</v>
      </c>
      <c r="B5" s="1" t="str">
        <f aca="false">IF('5. Gantt EQUIFILLES'!B9="","",'5. Gantt EQUIFILLES'!B9)</f>
        <v>A1.1.2.2</v>
      </c>
      <c r="C5" s="1" t="str">
        <f aca="false">IF('5. Gantt EQUIFILLES'!B9="","",'5. Gantt EQUIFILLES'!C9)</f>
        <v>Formation acteurs demande - Volet équilibre H/F (60% femmes)</v>
      </c>
      <c r="D5" s="1" t="str">
        <f aca="false">IF('5. Gantt EQUIFILLES'!B9="","",'5. Gantt EQUIFILLES'!D9)</f>
        <v>Output 1.1</v>
      </c>
      <c r="E5" s="1" t="str">
        <f aca="false">IF('5. Gantt EQUIFILLES'!B9="","",'5. Gantt EQUIFILLES'!E9)</f>
        <v>BOUKARI AROUNA Rafiou</v>
      </c>
      <c r="F5" s="1" t="n">
        <f aca="false">IF('5. Gantt EQUIFILLES'!B9="","",'5. Gantt EQUIFILLES'!G9)</f>
        <v>2</v>
      </c>
      <c r="G5" s="167" t="n">
        <f aca="false">IF('5. Gantt EQUIFILLES'!B9="","",'5. Gantt EQUIFILLES'!H9)</f>
        <v>46132</v>
      </c>
      <c r="H5" s="167" t="n">
        <f aca="false">IF('5. Gantt EQUIFILLES'!B9="","",'5. Gantt EQUIFILLES'!I9)</f>
        <v>46157</v>
      </c>
      <c r="I5" s="167" t="n">
        <f aca="false">IF('5. Gantt EQUIFILLES'!B9="","",'5. Gantt EQUIFILLES'!K9)</f>
        <v>0</v>
      </c>
      <c r="J5" s="168" t="n">
        <f aca="false">IF('5. Gantt EQUIFILLES'!B9="","",'5. Gantt EQUIFILLES'!M9)</f>
        <v>100</v>
      </c>
      <c r="K5" s="168" t="n">
        <f aca="false">IF('5. Gantt EQUIFILLES'!B9="","",'5. Gantt EQUIFILLES'!N9)</f>
        <v>0</v>
      </c>
      <c r="L5" s="169" t="n">
        <f aca="false">IF('5. Gantt EQUIFILLES'!B9="","",'5. Gantt EQUIFILLES'!O9)</f>
        <v>0</v>
      </c>
      <c r="M5" s="169" t="n">
        <f aca="false">IF('5. Gantt EQUIFILLES'!B9="","",'5. Gantt EQUIFILLES'!P9)</f>
        <v>0</v>
      </c>
      <c r="N5" s="1" t="str">
        <f aca="false">IF('5. Gantt EQUIFILLES'!B9="","",'5. Gantt EQUIFILLES'!Q9)</f>
        <v>En retard</v>
      </c>
      <c r="O5" s="1" t="n">
        <f aca="false">IF('5. Gantt EQUIFILLES'!B9="","",'5. Gantt EQUIFILLES'!R9)</f>
        <v>25</v>
      </c>
      <c r="P5" s="1" t="str">
        <f aca="false">IF('5. Gantt EQUIFILLES'!B9="","",'5. Gantt EQUIFILLES'!S9)</f>
        <v>Ind 1.1.5</v>
      </c>
      <c r="Q5" s="170" t="n">
        <f aca="false">IF('5. Gantt EQUIFILLES'!B9="","",'5. Gantt EQUIFILLES'!T9)</f>
        <v>18</v>
      </c>
      <c r="R5" s="170" t="n">
        <f aca="false">IF('5. Gantt EQUIFILLES'!B9="","",'5. Gantt EQUIFILLES'!U9)</f>
        <v>0</v>
      </c>
    </row>
    <row r="6" customFormat="false" ht="15" hidden="false" customHeight="true" outlineLevel="0" collapsed="false">
      <c r="A6" s="1" t="str">
        <f aca="false">IF('5. Gantt EQUIFILLES'!B10="","","EQUIFILLES")</f>
        <v>EQUIFILLES</v>
      </c>
      <c r="B6" s="1" t="str">
        <f aca="false">IF('5. Gantt EQUIFILLES'!B10="","",'5. Gantt EQUIFILLES'!B10)</f>
        <v>A1.1.2.3</v>
      </c>
      <c r="C6" s="1" t="str">
        <f aca="false">IF('5. Gantt EQUIFILLES'!B10="","",'5. Gantt EQUIFILLES'!C10)</f>
        <v>Formation acteurs demande - Suivi participation aux cycles</v>
      </c>
      <c r="D6" s="1" t="str">
        <f aca="false">IF('5. Gantt EQUIFILLES'!B10="","",'5. Gantt EQUIFILLES'!D10)</f>
        <v>Output 1.1</v>
      </c>
      <c r="E6" s="1" t="str">
        <f aca="false">IF('5. Gantt EQUIFILLES'!B10="","",'5. Gantt EQUIFILLES'!E10)</f>
        <v>BOUKARI AROUNA Rafiou</v>
      </c>
      <c r="F6" s="1" t="n">
        <f aca="false">IF('5. Gantt EQUIFILLES'!B10="","",'5. Gantt EQUIFILLES'!G10)</f>
        <v>2</v>
      </c>
      <c r="G6" s="167" t="n">
        <f aca="false">IF('5. Gantt EQUIFILLES'!B10="","",'5. Gantt EQUIFILLES'!H10)</f>
        <v>46143</v>
      </c>
      <c r="H6" s="167" t="n">
        <f aca="false">IF('5. Gantt EQUIFILLES'!B10="","",'5. Gantt EQUIFILLES'!I10)</f>
        <v>46477</v>
      </c>
      <c r="I6" s="167" t="n">
        <f aca="false">IF('5. Gantt EQUIFILLES'!B10="","",'5. Gantt EQUIFILLES'!K10)</f>
        <v>0</v>
      </c>
      <c r="J6" s="168" t="n">
        <f aca="false">IF('5. Gantt EQUIFILLES'!B10="","",'5. Gantt EQUIFILLES'!M10)</f>
        <v>7.18562874251497</v>
      </c>
      <c r="K6" s="168" t="n">
        <f aca="false">IF('5. Gantt EQUIFILLES'!B10="","",'5. Gantt EQUIFILLES'!N10)</f>
        <v>0</v>
      </c>
      <c r="L6" s="169" t="n">
        <f aca="false">IF('5. Gantt EQUIFILLES'!B10="","",'5. Gantt EQUIFILLES'!O10)</f>
        <v>307000</v>
      </c>
      <c r="M6" s="169" t="n">
        <f aca="false">IF('5. Gantt EQUIFILLES'!B10="","",'5. Gantt EQUIFILLES'!P10)</f>
        <v>0</v>
      </c>
      <c r="N6" s="1" t="str">
        <f aca="false">IF('5. Gantt EQUIFILLES'!B10="","",'5. Gantt EQUIFILLES'!Q10)</f>
        <v>En retard</v>
      </c>
      <c r="O6" s="1" t="n">
        <f aca="false">IF('5. Gantt EQUIFILLES'!B10="","",'5. Gantt EQUIFILLES'!R10)</f>
        <v>25</v>
      </c>
      <c r="P6" s="1" t="str">
        <f aca="false">IF('5. Gantt EQUIFILLES'!B10="","",'5. Gantt EQUIFILLES'!S10)</f>
        <v>Ind 1.1.2</v>
      </c>
      <c r="Q6" s="170" t="n">
        <f aca="false">IF('5. Gantt EQUIFILLES'!B10="","",'5. Gantt EQUIFILLES'!T10)</f>
        <v>24</v>
      </c>
      <c r="R6" s="170" t="n">
        <f aca="false">IF('5. Gantt EQUIFILLES'!B10="","",'5. Gantt EQUIFILLES'!U10)</f>
        <v>0</v>
      </c>
    </row>
    <row r="7" customFormat="false" ht="15" hidden="false" customHeight="true" outlineLevel="0" collapsed="false">
      <c r="A7" s="1" t="str">
        <f aca="false">IF('5. Gantt EQUIFILLES'!B11="","","EQUIFILLES")</f>
        <v>EQUIFILLES</v>
      </c>
      <c r="B7" s="1" t="str">
        <f aca="false">IF('5. Gantt EQUIFILLES'!B11="","",'5. Gantt EQUIFILLES'!B11)</f>
        <v>A1.1.3.1</v>
      </c>
      <c r="C7" s="1" t="str">
        <f aca="false">IF('5. Gantt EQUIFILLES'!B11="","",'5. Gantt EQUIFILLES'!C11)</f>
        <v>Séance échange acteurs offre - Volet acteurs formés outils redevabilité</v>
      </c>
      <c r="D7" s="1" t="str">
        <f aca="false">IF('5. Gantt EQUIFILLES'!B11="","",'5. Gantt EQUIFILLES'!D11)</f>
        <v>Output 1.1</v>
      </c>
      <c r="E7" s="1" t="str">
        <f aca="false">IF('5. Gantt EQUIFILLES'!B11="","",'5. Gantt EQUIFILLES'!E11)</f>
        <v>BOUKARI AROUNA Rafiou</v>
      </c>
      <c r="F7" s="1" t="n">
        <f aca="false">IF('5. Gantt EQUIFILLES'!B11="","",'5. Gantt EQUIFILLES'!G11)</f>
        <v>2</v>
      </c>
      <c r="G7" s="167" t="n">
        <f aca="false">IF('5. Gantt EQUIFILLES'!B11="","",'5. Gantt EQUIFILLES'!H11)</f>
        <v>46162</v>
      </c>
      <c r="H7" s="167" t="n">
        <f aca="false">IF('5. Gantt EQUIFILLES'!B11="","",'5. Gantt EQUIFILLES'!I11)</f>
        <v>46188</v>
      </c>
      <c r="I7" s="167" t="n">
        <f aca="false">IF('5. Gantt EQUIFILLES'!B11="","",'5. Gantt EQUIFILLES'!K11)</f>
        <v>0</v>
      </c>
      <c r="J7" s="168" t="n">
        <f aca="false">IF('5. Gantt EQUIFILLES'!B11="","",'5. Gantt EQUIFILLES'!M11)</f>
        <v>19.2307692307692</v>
      </c>
      <c r="K7" s="168" t="n">
        <f aca="false">IF('5. Gantt EQUIFILLES'!B11="","",'5. Gantt EQUIFILLES'!N11)</f>
        <v>0</v>
      </c>
      <c r="L7" s="169" t="n">
        <f aca="false">IF('5. Gantt EQUIFILLES'!B11="","",'5. Gantt EQUIFILLES'!O11)</f>
        <v>400000</v>
      </c>
      <c r="M7" s="169" t="n">
        <f aca="false">IF('5. Gantt EQUIFILLES'!B11="","",'5. Gantt EQUIFILLES'!P11)</f>
        <v>0</v>
      </c>
      <c r="N7" s="1" t="str">
        <f aca="false">IF('5. Gantt EQUIFILLES'!B11="","",'5. Gantt EQUIFILLES'!Q11)</f>
        <v>En retard</v>
      </c>
      <c r="O7" s="1" t="n">
        <f aca="false">IF('5. Gantt EQUIFILLES'!B11="","",'5. Gantt EQUIFILLES'!R11)</f>
        <v>25</v>
      </c>
      <c r="P7" s="1" t="str">
        <f aca="false">IF('5. Gantt EQUIFILLES'!B11="","",'5. Gantt EQUIFILLES'!S11)</f>
        <v>Ind 1.1.4</v>
      </c>
      <c r="Q7" s="170" t="n">
        <f aca="false">IF('5. Gantt EQUIFILLES'!B11="","",'5. Gantt EQUIFILLES'!T11)</f>
        <v>15</v>
      </c>
      <c r="R7" s="170" t="n">
        <f aca="false">IF('5. Gantt EQUIFILLES'!B11="","",'5. Gantt EQUIFILLES'!U11)</f>
        <v>0</v>
      </c>
    </row>
    <row r="8" customFormat="false" ht="15" hidden="false" customHeight="true" outlineLevel="0" collapsed="false">
      <c r="A8" s="1" t="str">
        <f aca="false">IF('5. Gantt EQUIFILLES'!B12="","","EQUIFILLES")</f>
        <v>EQUIFILLES</v>
      </c>
      <c r="B8" s="1" t="str">
        <f aca="false">IF('5. Gantt EQUIFILLES'!B12="","",'5. Gantt EQUIFILLES'!B12)</f>
        <v>A1.1.3.2</v>
      </c>
      <c r="C8" s="1" t="str">
        <f aca="false">IF('5. Gantt EQUIFILLES'!B12="","",'5. Gantt EQUIFILLES'!C12)</f>
        <v>Séance échange acteurs offre - Renforcement outils</v>
      </c>
      <c r="D8" s="1" t="str">
        <f aca="false">IF('5. Gantt EQUIFILLES'!B12="","",'5. Gantt EQUIFILLES'!D12)</f>
        <v>Output 1.1</v>
      </c>
      <c r="E8" s="1" t="str">
        <f aca="false">IF('5. Gantt EQUIFILLES'!B12="","",'5. Gantt EQUIFILLES'!E12)</f>
        <v>BOUKARI AROUNA Rafiou</v>
      </c>
      <c r="F8" s="1" t="n">
        <f aca="false">IF('5. Gantt EQUIFILLES'!B12="","",'5. Gantt EQUIFILLES'!G12)</f>
        <v>2</v>
      </c>
      <c r="G8" s="167" t="n">
        <f aca="false">IF('5. Gantt EQUIFILLES'!B12="","",'5. Gantt EQUIFILLES'!H12)</f>
        <v>46193</v>
      </c>
      <c r="H8" s="167" t="n">
        <f aca="false">IF('5. Gantt EQUIFILLES'!B12="","",'5. Gantt EQUIFILLES'!I12)</f>
        <v>46218</v>
      </c>
      <c r="I8" s="167" t="n">
        <f aca="false">IF('5. Gantt EQUIFILLES'!B12="","",'5. Gantt EQUIFILLES'!K12)</f>
        <v>0</v>
      </c>
      <c r="J8" s="168" t="n">
        <f aca="false">IF('5. Gantt EQUIFILLES'!B12="","",'5. Gantt EQUIFILLES'!M12)</f>
        <v>0</v>
      </c>
      <c r="K8" s="168" t="n">
        <f aca="false">IF('5. Gantt EQUIFILLES'!B12="","",'5. Gantt EQUIFILLES'!N12)</f>
        <v>0</v>
      </c>
      <c r="L8" s="169" t="n">
        <f aca="false">IF('5. Gantt EQUIFILLES'!B12="","",'5. Gantt EQUIFILLES'!O12)</f>
        <v>198000</v>
      </c>
      <c r="M8" s="169" t="n">
        <f aca="false">IF('5. Gantt EQUIFILLES'!B12="","",'5. Gantt EQUIFILLES'!P12)</f>
        <v>0</v>
      </c>
      <c r="N8" s="1" t="str">
        <f aca="false">IF('5. Gantt EQUIFILLES'!B12="","",'5. Gantt EQUIFILLES'!Q12)</f>
        <v>En attente</v>
      </c>
      <c r="O8" s="1" t="n">
        <f aca="false">IF('5. Gantt EQUIFILLES'!B12="","",'5. Gantt EQUIFILLES'!R12)</f>
        <v>50</v>
      </c>
      <c r="P8" s="1" t="str">
        <f aca="false">IF('5. Gantt EQUIFILLES'!B12="","",'5. Gantt EQUIFILLES'!S12)</f>
        <v>Ind 1.1.6</v>
      </c>
      <c r="Q8" s="170" t="n">
        <f aca="false">IF('5. Gantt EQUIFILLES'!B12="","",'5. Gantt EQUIFILLES'!T12)</f>
        <v>15</v>
      </c>
      <c r="R8" s="170" t="n">
        <f aca="false">IF('5. Gantt EQUIFILLES'!B12="","",'5. Gantt EQUIFILLES'!U12)</f>
        <v>0</v>
      </c>
    </row>
    <row r="9" customFormat="false" ht="15" hidden="false" customHeight="true" outlineLevel="0" collapsed="false">
      <c r="A9" s="1" t="str">
        <f aca="false">IF('5. Gantt EQUIFILLES'!B13="","","EQUIFILLES")</f>
        <v>EQUIFILLES</v>
      </c>
      <c r="B9" s="1" t="str">
        <f aca="false">IF('5. Gantt EQUIFILLES'!B13="","",'5. Gantt EQUIFILLES'!B13)</f>
        <v>A1.2.1</v>
      </c>
      <c r="C9" s="1" t="str">
        <f aca="false">IF('5. Gantt EQUIFILLES'!B13="","",'5. Gantt EQUIFILLES'!C13)</f>
        <v>Réalisation monographie sommaire</v>
      </c>
      <c r="D9" s="1" t="str">
        <f aca="false">IF('5. Gantt EQUIFILLES'!B13="","",'5. Gantt EQUIFILLES'!D13)</f>
        <v>Output 1.1</v>
      </c>
      <c r="E9" s="1" t="str">
        <f aca="false">IF('5. Gantt EQUIFILLES'!B13="","",'5. Gantt EQUIFILLES'!E13)</f>
        <v>BOUKARI AROUNA Rafiou</v>
      </c>
      <c r="F9" s="1" t="n">
        <f aca="false">IF('5. Gantt EQUIFILLES'!B13="","",'5. Gantt EQUIFILLES'!G13)</f>
        <v>2</v>
      </c>
      <c r="G9" s="167" t="n">
        <f aca="false">IF('5. Gantt EQUIFILLES'!B13="","",'5. Gantt EQUIFILLES'!H13)</f>
        <v>46204</v>
      </c>
      <c r="H9" s="167" t="n">
        <f aca="false">IF('5. Gantt EQUIFILLES'!B13="","",'5. Gantt EQUIFILLES'!I13)</f>
        <v>46233</v>
      </c>
      <c r="I9" s="167" t="n">
        <f aca="false">IF('5. Gantt EQUIFILLES'!B13="","",'5. Gantt EQUIFILLES'!K13)</f>
        <v>0</v>
      </c>
      <c r="J9" s="168" t="n">
        <f aca="false">IF('5. Gantt EQUIFILLES'!B13="","",'5. Gantt EQUIFILLES'!M13)</f>
        <v>0</v>
      </c>
      <c r="K9" s="168" t="n">
        <f aca="false">IF('5. Gantt EQUIFILLES'!B13="","",'5. Gantt EQUIFILLES'!N13)</f>
        <v>0</v>
      </c>
      <c r="L9" s="169" t="n">
        <f aca="false">IF('5. Gantt EQUIFILLES'!B13="","",'5. Gantt EQUIFILLES'!O13)</f>
        <v>435000</v>
      </c>
      <c r="M9" s="169" t="n">
        <f aca="false">IF('5. Gantt EQUIFILLES'!B13="","",'5. Gantt EQUIFILLES'!P13)</f>
        <v>0</v>
      </c>
      <c r="N9" s="1" t="str">
        <f aca="false">IF('5. Gantt EQUIFILLES'!B13="","",'5. Gantt EQUIFILLES'!Q13)</f>
        <v>En attente</v>
      </c>
      <c r="O9" s="1" t="n">
        <f aca="false">IF('5. Gantt EQUIFILLES'!B13="","",'5. Gantt EQUIFILLES'!R13)</f>
        <v>50</v>
      </c>
      <c r="P9" s="1" t="str">
        <f aca="false">IF('5. Gantt EQUIFILLES'!B13="","",'5. Gantt EQUIFILLES'!S13)</f>
        <v>Ind 1.1.3</v>
      </c>
      <c r="Q9" s="170" t="n">
        <f aca="false">IF('5. Gantt EQUIFILLES'!B13="","",'5. Gantt EQUIFILLES'!T13)</f>
        <v>0</v>
      </c>
      <c r="R9" s="170" t="n">
        <f aca="false">IF('5. Gantt EQUIFILLES'!B13="","",'5. Gantt EQUIFILLES'!U13)</f>
        <v>0</v>
      </c>
    </row>
    <row r="10" customFormat="false" ht="15" hidden="false" customHeight="true" outlineLevel="0" collapsed="false">
      <c r="A10" s="1" t="str">
        <f aca="false">IF('5. Gantt EQUIFILLES'!B14="","","EQUIFILLES")</f>
        <v>EQUIFILLES</v>
      </c>
      <c r="B10" s="1" t="str">
        <f aca="false">IF('5. Gantt EQUIFILLES'!B14="","",'5. Gantt EQUIFILLES'!B14)</f>
        <v>A1.2.2.1</v>
      </c>
      <c r="C10" s="1" t="str">
        <f aca="false">IF('5. Gantt EQUIFILLES'!B14="","",'5. Gantt EQUIFILLES'!C14)</f>
        <v>Auto-évaluation prestataires (acteurs offre)</v>
      </c>
      <c r="D10" s="1" t="str">
        <f aca="false">IF('5. Gantt EQUIFILLES'!B14="","",'5. Gantt EQUIFILLES'!D14)</f>
        <v>Output 1.1</v>
      </c>
      <c r="E10" s="1" t="str">
        <f aca="false">IF('5. Gantt EQUIFILLES'!B14="","",'5. Gantt EQUIFILLES'!E14)</f>
        <v>BOUKARI AROUNA Rafiou</v>
      </c>
      <c r="F10" s="1" t="n">
        <f aca="false">IF('5. Gantt EQUIFILLES'!B14="","",'5. Gantt EQUIFILLES'!G14)</f>
        <v>2</v>
      </c>
      <c r="G10" s="167" t="n">
        <f aca="false">IF('5. Gantt EQUIFILLES'!B14="","",'5. Gantt EQUIFILLES'!H14)</f>
        <v>46235</v>
      </c>
      <c r="H10" s="167" t="n">
        <f aca="false">IF('5. Gantt EQUIFILLES'!B14="","",'5. Gantt EQUIFILLES'!I14)</f>
        <v>46265</v>
      </c>
      <c r="I10" s="167" t="n">
        <f aca="false">IF('5. Gantt EQUIFILLES'!B14="","",'5. Gantt EQUIFILLES'!K14)</f>
        <v>0</v>
      </c>
      <c r="J10" s="168" t="n">
        <f aca="false">IF('5. Gantt EQUIFILLES'!B14="","",'5. Gantt EQUIFILLES'!M14)</f>
        <v>0</v>
      </c>
      <c r="K10" s="168" t="n">
        <f aca="false">IF('5. Gantt EQUIFILLES'!B14="","",'5. Gantt EQUIFILLES'!N14)</f>
        <v>0</v>
      </c>
      <c r="L10" s="169" t="n">
        <f aca="false">IF('5. Gantt EQUIFILLES'!B14="","",'5. Gantt EQUIFILLES'!O14)</f>
        <v>424500</v>
      </c>
      <c r="M10" s="169" t="n">
        <f aca="false">IF('5. Gantt EQUIFILLES'!B14="","",'5. Gantt EQUIFILLES'!P14)</f>
        <v>0</v>
      </c>
      <c r="N10" s="1" t="str">
        <f aca="false">IF('5. Gantt EQUIFILLES'!B14="","",'5. Gantt EQUIFILLES'!Q14)</f>
        <v>En attente</v>
      </c>
      <c r="O10" s="1" t="n">
        <f aca="false">IF('5. Gantt EQUIFILLES'!B14="","",'5. Gantt EQUIFILLES'!R14)</f>
        <v>50</v>
      </c>
      <c r="P10" s="1" t="str">
        <f aca="false">IF('5. Gantt EQUIFILLES'!B14="","",'5. Gantt EQUIFILLES'!S14)</f>
        <v>Ind 1.1.3</v>
      </c>
      <c r="Q10" s="170" t="n">
        <f aca="false">IF('5. Gantt EQUIFILLES'!B14="","",'5. Gantt EQUIFILLES'!T14)</f>
        <v>0</v>
      </c>
      <c r="R10" s="170" t="n">
        <f aca="false">IF('5. Gantt EQUIFILLES'!B14="","",'5. Gantt EQUIFILLES'!U14)</f>
        <v>0</v>
      </c>
    </row>
    <row r="11" customFormat="false" ht="15" hidden="false" customHeight="true" outlineLevel="0" collapsed="false">
      <c r="A11" s="1" t="str">
        <f aca="false">IF('5. Gantt EQUIFILLES'!B15="","","EQUIFILLES")</f>
        <v>EQUIFILLES</v>
      </c>
      <c r="B11" s="1" t="str">
        <f aca="false">IF('5. Gantt EQUIFILLES'!B15="","",'5. Gantt EQUIFILLES'!B15)</f>
        <v>A1.2.2.2</v>
      </c>
      <c r="C11" s="1" t="str">
        <f aca="false">IF('5. Gantt EQUIFILLES'!B15="","",'5. Gantt EQUIFILLES'!C15)</f>
        <v>Évaluation qualité service par citoyens usagers (enquête satisfaction)</v>
      </c>
      <c r="D11" s="1" t="str">
        <f aca="false">IF('5. Gantt EQUIFILLES'!B15="","",'5. Gantt EQUIFILLES'!D15)</f>
        <v>Output 1.1</v>
      </c>
      <c r="E11" s="1" t="str">
        <f aca="false">IF('5. Gantt EQUIFILLES'!B15="","",'5. Gantt EQUIFILLES'!E15)</f>
        <v>BOUKARI AROUNA Rafiou</v>
      </c>
      <c r="F11" s="1" t="n">
        <f aca="false">IF('5. Gantt EQUIFILLES'!B15="","",'5. Gantt EQUIFILLES'!G15)</f>
        <v>3</v>
      </c>
      <c r="G11" s="167" t="n">
        <f aca="false">IF('5. Gantt EQUIFILLES'!B15="","",'5. Gantt EQUIFILLES'!H15)</f>
        <v>46266</v>
      </c>
      <c r="H11" s="167" t="n">
        <f aca="false">IF('5. Gantt EQUIFILLES'!B15="","",'5. Gantt EQUIFILLES'!I15)</f>
        <v>46295</v>
      </c>
      <c r="I11" s="167" t="n">
        <f aca="false">IF('5. Gantt EQUIFILLES'!B15="","",'5. Gantt EQUIFILLES'!K15)</f>
        <v>0</v>
      </c>
      <c r="J11" s="168" t="n">
        <f aca="false">IF('5. Gantt EQUIFILLES'!B15="","",'5. Gantt EQUIFILLES'!M15)</f>
        <v>0</v>
      </c>
      <c r="K11" s="168" t="n">
        <f aca="false">IF('5. Gantt EQUIFILLES'!B15="","",'5. Gantt EQUIFILLES'!N15)</f>
        <v>0</v>
      </c>
      <c r="L11" s="169" t="n">
        <f aca="false">IF('5. Gantt EQUIFILLES'!B15="","",'5. Gantt EQUIFILLES'!O15)</f>
        <v>654000</v>
      </c>
      <c r="M11" s="169" t="n">
        <f aca="false">IF('5. Gantt EQUIFILLES'!B15="","",'5. Gantt EQUIFILLES'!P15)</f>
        <v>0</v>
      </c>
      <c r="N11" s="1" t="str">
        <f aca="false">IF('5. Gantt EQUIFILLES'!B15="","",'5. Gantt EQUIFILLES'!Q15)</f>
        <v>En attente</v>
      </c>
      <c r="O11" s="1" t="n">
        <f aca="false">IF('5. Gantt EQUIFILLES'!B15="","",'5. Gantt EQUIFILLES'!R15)</f>
        <v>50</v>
      </c>
      <c r="P11" s="1" t="str">
        <f aca="false">IF('5. Gantt EQUIFILLES'!B15="","",'5. Gantt EQUIFILLES'!S15)</f>
        <v>Ind 0.2</v>
      </c>
      <c r="Q11" s="170" t="n">
        <f aca="false">IF('5. Gantt EQUIFILLES'!B15="","",'5. Gantt EQUIFILLES'!T15)</f>
        <v>1</v>
      </c>
      <c r="R11" s="170" t="n">
        <f aca="false">IF('5. Gantt EQUIFILLES'!B15="","",'5. Gantt EQUIFILLES'!U15)</f>
        <v>0</v>
      </c>
    </row>
    <row r="12" customFormat="false" ht="15" hidden="false" customHeight="true" outlineLevel="0" collapsed="false">
      <c r="A12" s="1" t="str">
        <f aca="false">IF('5. Gantt EQUIFILLES'!B16="","","EQUIFILLES")</f>
        <v>EQUIFILLES</v>
      </c>
      <c r="B12" s="1" t="str">
        <f aca="false">IF('5. Gantt EQUIFILLES'!B16="","",'5. Gantt EQUIFILLES'!B16)</f>
        <v>A1.2.2.3</v>
      </c>
      <c r="C12" s="1" t="str">
        <f aca="false">IF('5. Gantt EQUIFILLES'!B16="","",'5. Gantt EQUIFILLES'!C16)</f>
        <v>Séance face-à-face offre/demande - Forum dialogue</v>
      </c>
      <c r="D12" s="1" t="str">
        <f aca="false">IF('5. Gantt EQUIFILLES'!B16="","",'5. Gantt EQUIFILLES'!D16)</f>
        <v>Output 1.1</v>
      </c>
      <c r="E12" s="1" t="str">
        <f aca="false">IF('5. Gantt EQUIFILLES'!B16="","",'5. Gantt EQUIFILLES'!E16)</f>
        <v>BOUKARI AROUNA Rafiou</v>
      </c>
      <c r="F12" s="1" t="n">
        <f aca="false">IF('5. Gantt EQUIFILLES'!B16="","",'5. Gantt EQUIFILLES'!G16)</f>
        <v>3</v>
      </c>
      <c r="G12" s="167" t="n">
        <f aca="false">IF('5. Gantt EQUIFILLES'!B16="","",'5. Gantt EQUIFILLES'!H16)</f>
        <v>46296</v>
      </c>
      <c r="H12" s="167" t="n">
        <f aca="false">IF('5. Gantt EQUIFILLES'!B16="","",'5. Gantt EQUIFILLES'!I16)</f>
        <v>46325</v>
      </c>
      <c r="I12" s="167" t="n">
        <f aca="false">IF('5. Gantt EQUIFILLES'!B16="","",'5. Gantt EQUIFILLES'!K16)</f>
        <v>0</v>
      </c>
      <c r="J12" s="168" t="n">
        <f aca="false">IF('5. Gantt EQUIFILLES'!B16="","",'5. Gantt EQUIFILLES'!M16)</f>
        <v>0</v>
      </c>
      <c r="K12" s="168" t="n">
        <f aca="false">IF('5. Gantt EQUIFILLES'!B16="","",'5. Gantt EQUIFILLES'!N16)</f>
        <v>0</v>
      </c>
      <c r="L12" s="169" t="n">
        <f aca="false">IF('5. Gantt EQUIFILLES'!B16="","",'5. Gantt EQUIFILLES'!O16)</f>
        <v>572500</v>
      </c>
      <c r="M12" s="169" t="n">
        <f aca="false">IF('5. Gantt EQUIFILLES'!B16="","",'5. Gantt EQUIFILLES'!P16)</f>
        <v>0</v>
      </c>
      <c r="N12" s="1" t="str">
        <f aca="false">IF('5. Gantt EQUIFILLES'!B16="","",'5. Gantt EQUIFILLES'!Q16)</f>
        <v>En attente</v>
      </c>
      <c r="O12" s="1" t="n">
        <f aca="false">IF('5. Gantt EQUIFILLES'!B16="","",'5. Gantt EQUIFILLES'!R16)</f>
        <v>50</v>
      </c>
      <c r="P12" s="1" t="str">
        <f aca="false">IF('5. Gantt EQUIFILLES'!B16="","",'5. Gantt EQUIFILLES'!S16)</f>
        <v>Ind 1.3.1</v>
      </c>
      <c r="Q12" s="170" t="n">
        <f aca="false">IF('5. Gantt EQUIFILLES'!B16="","",'5. Gantt EQUIFILLES'!T16)</f>
        <v>1</v>
      </c>
      <c r="R12" s="170" t="n">
        <f aca="false">IF('5. Gantt EQUIFILLES'!B16="","",'5. Gantt EQUIFILLES'!U16)</f>
        <v>0</v>
      </c>
    </row>
    <row r="13" customFormat="false" ht="15" hidden="false" customHeight="true" outlineLevel="0" collapsed="false">
      <c r="A13" s="1" t="str">
        <f aca="false">IF('5. Gantt EQUIFILLES'!B17="","","EQUIFILLES")</f>
        <v>EQUIFILLES</v>
      </c>
      <c r="B13" s="1" t="str">
        <f aca="false">IF('5. Gantt EQUIFILLES'!B17="","",'5. Gantt EQUIFILLES'!B17)</f>
        <v>A1.2.E.1</v>
      </c>
      <c r="C13" s="1" t="str">
        <f aca="false">IF('5. Gantt EQUIFILLES'!B17="","",'5. Gantt EQUIFILLES'!C17)</f>
        <v>Formation 75 élèves clubs scolaires (60% filles)</v>
      </c>
      <c r="D13" s="1" t="str">
        <f aca="false">IF('5. Gantt EQUIFILLES'!B17="","",'5. Gantt EQUIFILLES'!D17)</f>
        <v>Output 1.2</v>
      </c>
      <c r="E13" s="1" t="str">
        <f aca="false">IF('5. Gantt EQUIFILLES'!B17="","",'5. Gantt EQUIFILLES'!E17)</f>
        <v>BA KOTO Bona Sinani Rebecca</v>
      </c>
      <c r="F13" s="1" t="n">
        <f aca="false">IF('5. Gantt EQUIFILLES'!B17="","",'5. Gantt EQUIFILLES'!G17)</f>
        <v>3</v>
      </c>
      <c r="G13" s="167" t="n">
        <f aca="false">IF('5. Gantt EQUIFILLES'!B17="","",'5. Gantt EQUIFILLES'!H17)</f>
        <v>46143</v>
      </c>
      <c r="H13" s="167" t="n">
        <f aca="false">IF('5. Gantt EQUIFILLES'!B17="","",'5. Gantt EQUIFILLES'!I17)</f>
        <v>46234</v>
      </c>
      <c r="I13" s="167" t="n">
        <f aca="false">IF('5. Gantt EQUIFILLES'!B17="","",'5. Gantt EQUIFILLES'!K17)</f>
        <v>0</v>
      </c>
      <c r="J13" s="168" t="n">
        <f aca="false">IF('5. Gantt EQUIFILLES'!B17="","",'5. Gantt EQUIFILLES'!M17)</f>
        <v>26.3736263736264</v>
      </c>
      <c r="K13" s="168" t="n">
        <f aca="false">IF('5. Gantt EQUIFILLES'!B17="","",'5. Gantt EQUIFILLES'!N17)</f>
        <v>0</v>
      </c>
      <c r="L13" s="169" t="n">
        <f aca="false">IF('5. Gantt EQUIFILLES'!B17="","",'5. Gantt EQUIFILLES'!O17)</f>
        <v>0</v>
      </c>
      <c r="M13" s="169" t="n">
        <f aca="false">IF('5. Gantt EQUIFILLES'!B17="","",'5. Gantt EQUIFILLES'!P17)</f>
        <v>0</v>
      </c>
      <c r="N13" s="1" t="str">
        <f aca="false">IF('5. Gantt EQUIFILLES'!B17="","",'5. Gantt EQUIFILLES'!Q17)</f>
        <v>En retard</v>
      </c>
      <c r="O13" s="1" t="n">
        <f aca="false">IF('5. Gantt EQUIFILLES'!B17="","",'5. Gantt EQUIFILLES'!R17)</f>
        <v>25</v>
      </c>
      <c r="P13" s="1" t="str">
        <f aca="false">IF('5. Gantt EQUIFILLES'!B17="","",'5. Gantt EQUIFILLES'!S17)</f>
        <v>Ind 1.2.1</v>
      </c>
      <c r="Q13" s="170" t="n">
        <f aca="false">IF('5. Gantt EQUIFILLES'!B17="","",'5. Gantt EQUIFILLES'!T17)</f>
        <v>75</v>
      </c>
      <c r="R13" s="170" t="n">
        <f aca="false">IF('5. Gantt EQUIFILLES'!B17="","",'5. Gantt EQUIFILLES'!U17)</f>
        <v>0</v>
      </c>
    </row>
    <row r="14" customFormat="false" ht="15" hidden="false" customHeight="true" outlineLevel="0" collapsed="false">
      <c r="A14" s="1" t="str">
        <f aca="false">IF('5. Gantt EQUIFILLES'!B18="","","EQUIFILLES")</f>
        <v>EQUIFILLES</v>
      </c>
      <c r="B14" s="1" t="str">
        <f aca="false">IF('5. Gantt EQUIFILLES'!B18="","",'5. Gantt EQUIFILLES'!B18)</f>
        <v>A1.2.E.2</v>
      </c>
      <c r="C14" s="1" t="str">
        <f aca="false">IF('5. Gantt EQUIFILLES'!B18="","",'5. Gantt EQUIFILLES'!C18)</f>
        <v>Mise en œuvre plans animation clubs (5 clubs)</v>
      </c>
      <c r="D14" s="1" t="str">
        <f aca="false">IF('5. Gantt EQUIFILLES'!B18="","",'5. Gantt EQUIFILLES'!D18)</f>
        <v>Output 1.2</v>
      </c>
      <c r="E14" s="1" t="str">
        <f aca="false">IF('5. Gantt EQUIFILLES'!B18="","",'5. Gantt EQUIFILLES'!E18)</f>
        <v>BA KOTO Bona Sinani Rebecca</v>
      </c>
      <c r="F14" s="1" t="n">
        <f aca="false">IF('5. Gantt EQUIFILLES'!B18="","",'5. Gantt EQUIFILLES'!G18)</f>
        <v>3</v>
      </c>
      <c r="G14" s="167" t="n">
        <f aca="false">IF('5. Gantt EQUIFILLES'!B18="","",'5. Gantt EQUIFILLES'!H18)</f>
        <v>46235</v>
      </c>
      <c r="H14" s="167" t="n">
        <f aca="false">IF('5. Gantt EQUIFILLES'!B18="","",'5. Gantt EQUIFILLES'!I18)</f>
        <v>46538</v>
      </c>
      <c r="I14" s="167" t="n">
        <f aca="false">IF('5. Gantt EQUIFILLES'!B18="","",'5. Gantt EQUIFILLES'!K18)</f>
        <v>0</v>
      </c>
      <c r="J14" s="168" t="n">
        <f aca="false">IF('5. Gantt EQUIFILLES'!B18="","",'5. Gantt EQUIFILLES'!M18)</f>
        <v>0</v>
      </c>
      <c r="K14" s="168" t="n">
        <f aca="false">IF('5. Gantt EQUIFILLES'!B18="","",'5. Gantt EQUIFILLES'!N18)</f>
        <v>0</v>
      </c>
      <c r="L14" s="169" t="n">
        <f aca="false">IF('5. Gantt EQUIFILLES'!B18="","",'5. Gantt EQUIFILLES'!O18)</f>
        <v>0</v>
      </c>
      <c r="M14" s="169" t="n">
        <f aca="false">IF('5. Gantt EQUIFILLES'!B18="","",'5. Gantt EQUIFILLES'!P18)</f>
        <v>0</v>
      </c>
      <c r="N14" s="1" t="str">
        <f aca="false">IF('5. Gantt EQUIFILLES'!B18="","",'5. Gantt EQUIFILLES'!Q18)</f>
        <v>En attente</v>
      </c>
      <c r="O14" s="1" t="n">
        <f aca="false">IF('5. Gantt EQUIFILLES'!B18="","",'5. Gantt EQUIFILLES'!R18)</f>
        <v>50</v>
      </c>
      <c r="P14" s="1" t="str">
        <f aca="false">IF('5. Gantt EQUIFILLES'!B18="","",'5. Gantt EQUIFILLES'!S18)</f>
        <v>Ind 1.2.2</v>
      </c>
      <c r="Q14" s="170" t="n">
        <f aca="false">IF('5. Gantt EQUIFILLES'!B18="","",'5. Gantt EQUIFILLES'!T18)</f>
        <v>5</v>
      </c>
      <c r="R14" s="170" t="n">
        <f aca="false">IF('5. Gantt EQUIFILLES'!B18="","",'5. Gantt EQUIFILLES'!U18)</f>
        <v>0</v>
      </c>
    </row>
    <row r="15" customFormat="false" ht="15" hidden="false" customHeight="true" outlineLevel="0" collapsed="false">
      <c r="A15" s="1" t="str">
        <f aca="false">IF('5. Gantt EQUIFILLES'!B19="","","EQUIFILLES")</f>
        <v>EQUIFILLES</v>
      </c>
      <c r="B15" s="1" t="str">
        <f aca="false">IF('5. Gantt EQUIFILLES'!B19="","",'5. Gantt EQUIFILLES'!B19)</f>
        <v>A1.3.1.1</v>
      </c>
      <c r="C15" s="1" t="str">
        <f aca="false">IF('5. Gantt EQUIFILLES'!B19="","",'5. Gantt EQUIFILLES'!C19)</f>
        <v>Mise en œuvre 5 plans d'action communautaires (séances concertation)</v>
      </c>
      <c r="D15" s="1" t="str">
        <f aca="false">IF('5. Gantt EQUIFILLES'!B19="","",'5. Gantt EQUIFILLES'!D19)</f>
        <v>Output 1.3</v>
      </c>
      <c r="E15" s="1" t="str">
        <f aca="false">IF('5. Gantt EQUIFILLES'!B19="","",'5. Gantt EQUIFILLES'!E19)</f>
        <v>BOUKARI AROUNA Rafiou</v>
      </c>
      <c r="F15" s="1" t="n">
        <f aca="false">IF('5. Gantt EQUIFILLES'!B19="","",'5. Gantt EQUIFILLES'!G19)</f>
        <v>3</v>
      </c>
      <c r="G15" s="167" t="n">
        <f aca="false">IF('5. Gantt EQUIFILLES'!B19="","",'5. Gantt EQUIFILLES'!H19)</f>
        <v>46327</v>
      </c>
      <c r="H15" s="167" t="n">
        <f aca="false">IF('5. Gantt EQUIFILLES'!B19="","",'5. Gantt EQUIFILLES'!I19)</f>
        <v>46477</v>
      </c>
      <c r="I15" s="167" t="n">
        <f aca="false">IF('5. Gantt EQUIFILLES'!B19="","",'5. Gantt EQUIFILLES'!K19)</f>
        <v>0</v>
      </c>
      <c r="J15" s="168" t="n">
        <f aca="false">IF('5. Gantt EQUIFILLES'!B19="","",'5. Gantt EQUIFILLES'!M19)</f>
        <v>0</v>
      </c>
      <c r="K15" s="168" t="n">
        <f aca="false">IF('5. Gantt EQUIFILLES'!B19="","",'5. Gantt EQUIFILLES'!N19)</f>
        <v>0</v>
      </c>
      <c r="L15" s="169" t="n">
        <f aca="false">IF('5. Gantt EQUIFILLES'!B19="","",'5. Gantt EQUIFILLES'!O19)</f>
        <v>4500000</v>
      </c>
      <c r="M15" s="169" t="n">
        <f aca="false">IF('5. Gantt EQUIFILLES'!B19="","",'5. Gantt EQUIFILLES'!P19)</f>
        <v>0</v>
      </c>
      <c r="N15" s="1" t="str">
        <f aca="false">IF('5. Gantt EQUIFILLES'!B19="","",'5. Gantt EQUIFILLES'!Q19)</f>
        <v>En attente</v>
      </c>
      <c r="O15" s="1" t="n">
        <f aca="false">IF('5. Gantt EQUIFILLES'!B19="","",'5. Gantt EQUIFILLES'!R19)</f>
        <v>50</v>
      </c>
      <c r="P15" s="1" t="str">
        <f aca="false">IF('5. Gantt EQUIFILLES'!B19="","",'5. Gantt EQUIFILLES'!S19)</f>
        <v>Ind 1.3.2</v>
      </c>
      <c r="Q15" s="170" t="n">
        <f aca="false">IF('5. Gantt EQUIFILLES'!B19="","",'5. Gantt EQUIFILLES'!T19)</f>
        <v>6</v>
      </c>
      <c r="R15" s="170" t="n">
        <f aca="false">IF('5. Gantt EQUIFILLES'!B19="","",'5. Gantt EQUIFILLES'!U19)</f>
        <v>0</v>
      </c>
    </row>
    <row r="16" customFormat="false" ht="15" hidden="false" customHeight="true" outlineLevel="0" collapsed="false">
      <c r="A16" s="1" t="str">
        <f aca="false">IF('5. Gantt EQUIFILLES'!B20="","","EQUIFILLES")</f>
        <v>EQUIFILLES</v>
      </c>
      <c r="B16" s="1" t="str">
        <f aca="false">IF('5. Gantt EQUIFILLES'!B20="","",'5. Gantt EQUIFILLES'!B20)</f>
        <v>A1.3.1.2</v>
      </c>
      <c r="C16" s="1" t="str">
        <f aca="false">IF('5. Gantt EQUIFILLES'!B20="","",'5. Gantt EQUIFILLES'!C20)</f>
        <v>Intégration recommandations dans plans communaux</v>
      </c>
      <c r="D16" s="1" t="str">
        <f aca="false">IF('5. Gantt EQUIFILLES'!B20="","",'5. Gantt EQUIFILLES'!D20)</f>
        <v>Output 1.3</v>
      </c>
      <c r="E16" s="1" t="str">
        <f aca="false">IF('5. Gantt EQUIFILLES'!B20="","",'5. Gantt EQUIFILLES'!E20)</f>
        <v>KASSIMOU Mountarou</v>
      </c>
      <c r="F16" s="1" t="n">
        <f aca="false">IF('5. Gantt EQUIFILLES'!B20="","",'5. Gantt EQUIFILLES'!G20)</f>
        <v>3</v>
      </c>
      <c r="G16" s="167" t="n">
        <f aca="false">IF('5. Gantt EQUIFILLES'!B20="","",'5. Gantt EQUIFILLES'!H20)</f>
        <v>46419</v>
      </c>
      <c r="H16" s="167" t="n">
        <f aca="false">IF('5. Gantt EQUIFILLES'!B20="","",'5. Gantt EQUIFILLES'!I20)</f>
        <v>46507</v>
      </c>
      <c r="I16" s="167" t="n">
        <f aca="false">IF('5. Gantt EQUIFILLES'!B20="","",'5. Gantt EQUIFILLES'!K20)</f>
        <v>0</v>
      </c>
      <c r="J16" s="168" t="n">
        <f aca="false">IF('5. Gantt EQUIFILLES'!B20="","",'5. Gantt EQUIFILLES'!M20)</f>
        <v>0</v>
      </c>
      <c r="K16" s="168" t="n">
        <f aca="false">IF('5. Gantt EQUIFILLES'!B20="","",'5. Gantt EQUIFILLES'!N20)</f>
        <v>0</v>
      </c>
      <c r="L16" s="169" t="n">
        <f aca="false">IF('5. Gantt EQUIFILLES'!B20="","",'5. Gantt EQUIFILLES'!O20)</f>
        <v>598133</v>
      </c>
      <c r="M16" s="169" t="n">
        <f aca="false">IF('5. Gantt EQUIFILLES'!B20="","",'5. Gantt EQUIFILLES'!P20)</f>
        <v>0</v>
      </c>
      <c r="N16" s="1" t="str">
        <f aca="false">IF('5. Gantt EQUIFILLES'!B20="","",'5. Gantt EQUIFILLES'!Q20)</f>
        <v>En attente</v>
      </c>
      <c r="O16" s="1" t="n">
        <f aca="false">IF('5. Gantt EQUIFILLES'!B20="","",'5. Gantt EQUIFILLES'!R20)</f>
        <v>50</v>
      </c>
      <c r="P16" s="1" t="str">
        <f aca="false">IF('5. Gantt EQUIFILLES'!B20="","",'5. Gantt EQUIFILLES'!S20)</f>
        <v>Ind 1.3.3</v>
      </c>
      <c r="Q16" s="170" t="n">
        <f aca="false">IF('5. Gantt EQUIFILLES'!B20="","",'5. Gantt EQUIFILLES'!T20)</f>
        <v>3</v>
      </c>
      <c r="R16" s="170" t="n">
        <f aca="false">IF('5. Gantt EQUIFILLES'!B20="","",'5. Gantt EQUIFILLES'!U20)</f>
        <v>0</v>
      </c>
    </row>
    <row r="17" customFormat="false" ht="15" hidden="false" customHeight="true" outlineLevel="0" collapsed="false">
      <c r="A17" s="1" t="str">
        <f aca="false">IF('5. Gantt EQUIFILLES'!B21="","","EQUIFILLES")</f>
        <v>EQUIFILLES</v>
      </c>
      <c r="B17" s="1" t="str">
        <f aca="false">IF('5. Gantt EQUIFILLES'!B21="","",'5. Gantt EQUIFILLES'!B21)</f>
        <v>A0.IMP</v>
      </c>
      <c r="C17" s="1" t="str">
        <f aca="false">IF('5. Gantt EQUIFILLES'!B21="","",'5. Gantt EQUIFILLES'!C21)</f>
        <v>Suivi annuel du taux d'abandon scolaire des filles</v>
      </c>
      <c r="D17" s="1" t="str">
        <f aca="false">IF('5. Gantt EQUIFILLES'!B21="","",'5. Gantt EQUIFILLES'!D21)</f>
        <v>Transverse</v>
      </c>
      <c r="E17" s="1" t="str">
        <f aca="false">IF('5. Gantt EQUIFILLES'!B21="","",'5. Gantt EQUIFILLES'!E21)</f>
        <v>BOUKARI AROUNA Rafiou</v>
      </c>
      <c r="F17" s="1" t="n">
        <f aca="false">IF('5. Gantt EQUIFILLES'!B21="","",'5. Gantt EQUIFILLES'!G21)</f>
        <v>3</v>
      </c>
      <c r="G17" s="167" t="n">
        <f aca="false">IF('5. Gantt EQUIFILLES'!B21="","",'5. Gantt EQUIFILLES'!H21)</f>
        <v>46113</v>
      </c>
      <c r="H17" s="167" t="n">
        <f aca="false">IF('5. Gantt EQUIFILLES'!B21="","",'5. Gantt EQUIFILLES'!I21)</f>
        <v>46538</v>
      </c>
      <c r="I17" s="167" t="n">
        <f aca="false">IF('5. Gantt EQUIFILLES'!B21="","",'5. Gantt EQUIFILLES'!K21)</f>
        <v>0</v>
      </c>
      <c r="J17" s="168" t="n">
        <f aca="false">IF('5. Gantt EQUIFILLES'!B21="","",'5. Gantt EQUIFILLES'!M21)</f>
        <v>12.7058823529412</v>
      </c>
      <c r="K17" s="168" t="n">
        <f aca="false">IF('5. Gantt EQUIFILLES'!B21="","",'5. Gantt EQUIFILLES'!N21)</f>
        <v>0</v>
      </c>
      <c r="L17" s="169" t="n">
        <f aca="false">IF('5. Gantt EQUIFILLES'!B21="","",'5. Gantt EQUIFILLES'!O21)</f>
        <v>0</v>
      </c>
      <c r="M17" s="169" t="n">
        <f aca="false">IF('5. Gantt EQUIFILLES'!B21="","",'5. Gantt EQUIFILLES'!P21)</f>
        <v>0</v>
      </c>
      <c r="N17" s="1" t="str">
        <f aca="false">IF('5. Gantt EQUIFILLES'!B21="","",'5. Gantt EQUIFILLES'!Q21)</f>
        <v>En retard</v>
      </c>
      <c r="O17" s="1" t="n">
        <f aca="false">IF('5. Gantt EQUIFILLES'!B21="","",'5. Gantt EQUIFILLES'!R21)</f>
        <v>25</v>
      </c>
      <c r="P17" s="1" t="str">
        <f aca="false">IF('5. Gantt EQUIFILLES'!B21="","",'5. Gantt EQUIFILLES'!S21)</f>
        <v>Ind 0.1</v>
      </c>
      <c r="Q17" s="170" t="n">
        <f aca="false">IF('5. Gantt EQUIFILLES'!B21="","",'5. Gantt EQUIFILLES'!T21)</f>
        <v>1</v>
      </c>
      <c r="R17" s="170" t="n">
        <f aca="false">IF('5. Gantt EQUIFILLES'!B21="","",'5. Gantt EQUIFILLES'!U21)</f>
        <v>0</v>
      </c>
    </row>
    <row r="18" customFormat="false" ht="15" hidden="false" customHeight="true" outlineLevel="0" collapsed="false">
      <c r="A18" s="1" t="str">
        <f aca="false">IF('5. Gantt EQUIFILLES'!B22="","","EQUIFILLES")</f>
        <v>EQUIFILLES</v>
      </c>
      <c r="B18" s="1" t="str">
        <f aca="false">IF('5. Gantt EQUIFILLES'!B22="","",'5. Gantt EQUIFILLES'!B22)</f>
        <v>A0.2</v>
      </c>
      <c r="C18" s="1" t="str">
        <f aca="false">IF('5. Gantt EQUIFILLES'!B22="","",'5. Gantt EQUIFILLES'!C22)</f>
        <v>Capitalisation et communication via radios locales</v>
      </c>
      <c r="D18" s="1" t="str">
        <f aca="false">IF('5. Gantt EQUIFILLES'!B22="","",'5. Gantt EQUIFILLES'!D22)</f>
        <v>Transverse</v>
      </c>
      <c r="E18" s="1" t="str">
        <f aca="false">IF('5. Gantt EQUIFILLES'!B22="","",'5. Gantt EQUIFILLES'!E22)</f>
        <v>BA KOTO Bona Sinani Rebecca</v>
      </c>
      <c r="F18" s="1" t="n">
        <f aca="false">IF('5. Gantt EQUIFILLES'!B22="","",'5. Gantt EQUIFILLES'!G22)</f>
        <v>2</v>
      </c>
      <c r="G18" s="167" t="n">
        <f aca="false">IF('5. Gantt EQUIFILLES'!B22="","",'5. Gantt EQUIFILLES'!H22)</f>
        <v>46113</v>
      </c>
      <c r="H18" s="167" t="n">
        <f aca="false">IF('5. Gantt EQUIFILLES'!B22="","",'5. Gantt EQUIFILLES'!I22)</f>
        <v>46538</v>
      </c>
      <c r="I18" s="167" t="n">
        <f aca="false">IF('5. Gantt EQUIFILLES'!B22="","",'5. Gantt EQUIFILLES'!K22)</f>
        <v>0</v>
      </c>
      <c r="J18" s="168" t="n">
        <f aca="false">IF('5. Gantt EQUIFILLES'!B22="","",'5. Gantt EQUIFILLES'!M22)</f>
        <v>12.7058823529412</v>
      </c>
      <c r="K18" s="168" t="n">
        <f aca="false">IF('5. Gantt EQUIFILLES'!B22="","",'5. Gantt EQUIFILLES'!N22)</f>
        <v>0</v>
      </c>
      <c r="L18" s="169" t="n">
        <f aca="false">IF('5. Gantt EQUIFILLES'!B22="","",'5. Gantt EQUIFILLES'!O22)</f>
        <v>1500000</v>
      </c>
      <c r="M18" s="169" t="n">
        <f aca="false">IF('5. Gantt EQUIFILLES'!B22="","",'5. Gantt EQUIFILLES'!P22)</f>
        <v>0</v>
      </c>
      <c r="N18" s="1" t="str">
        <f aca="false">IF('5. Gantt EQUIFILLES'!B22="","",'5. Gantt EQUIFILLES'!Q22)</f>
        <v>En retard</v>
      </c>
      <c r="O18" s="1" t="n">
        <f aca="false">IF('5. Gantt EQUIFILLES'!B22="","",'5. Gantt EQUIFILLES'!R22)</f>
        <v>25</v>
      </c>
      <c r="P18" s="1" t="n">
        <f aca="false">IF('5. Gantt EQUIFILLES'!B22="","",'5. Gantt EQUIFILLES'!S22)</f>
        <v>0</v>
      </c>
      <c r="Q18" s="170" t="n">
        <f aca="false">IF('5. Gantt EQUIFILLES'!B22="","",'5. Gantt EQUIFILLES'!T22)</f>
        <v>0</v>
      </c>
      <c r="R18" s="170" t="n">
        <f aca="false">IF('5. Gantt EQUIFILLES'!B22="","",'5. Gantt EQUIFILLES'!U22)</f>
        <v>0</v>
      </c>
    </row>
    <row r="19" customFormat="false" ht="15" hidden="false" customHeight="true" outlineLevel="0" collapsed="false">
      <c r="A19" s="1" t="str">
        <f aca="false">IF('5. Gantt EQUIFILLES'!B23="","","EQUIFILLES")</f>
        <v>EQUIFILLES</v>
      </c>
      <c r="B19" s="1" t="str">
        <f aca="false">IF('5. Gantt EQUIFILLES'!B23="","",'5. Gantt EQUIFILLES'!B23)</f>
        <v>A0.3</v>
      </c>
      <c r="C19" s="1" t="str">
        <f aca="false">IF('5. Gantt EQUIFILLES'!B23="","",'5. Gantt EQUIFILLES'!C23)</f>
        <v>4 sessions du Comité de Pilotage (CoPil)</v>
      </c>
      <c r="D19" s="1" t="str">
        <f aca="false">IF('5. Gantt EQUIFILLES'!B23="","",'5. Gantt EQUIFILLES'!D23)</f>
        <v>Transverse</v>
      </c>
      <c r="E19" s="1" t="str">
        <f aca="false">IF('5. Gantt EQUIFILLES'!B23="","",'5. Gantt EQUIFILLES'!E23)</f>
        <v>KASSIMOU Mountarou</v>
      </c>
      <c r="F19" s="1" t="n">
        <f aca="false">IF('5. Gantt EQUIFILLES'!B23="","",'5. Gantt EQUIFILLES'!G23)</f>
        <v>2</v>
      </c>
      <c r="G19" s="167" t="n">
        <f aca="false">IF('5. Gantt EQUIFILLES'!B23="","",'5. Gantt EQUIFILLES'!H23)</f>
        <v>46113</v>
      </c>
      <c r="H19" s="167" t="n">
        <f aca="false">IF('5. Gantt EQUIFILLES'!B23="","",'5. Gantt EQUIFILLES'!I23)</f>
        <v>46538</v>
      </c>
      <c r="I19" s="167" t="n">
        <f aca="false">IF('5. Gantt EQUIFILLES'!B23="","",'5. Gantt EQUIFILLES'!K23)</f>
        <v>0</v>
      </c>
      <c r="J19" s="168" t="n">
        <f aca="false">IF('5. Gantt EQUIFILLES'!B23="","",'5. Gantt EQUIFILLES'!M23)</f>
        <v>12.7058823529412</v>
      </c>
      <c r="K19" s="168" t="n">
        <f aca="false">IF('5. Gantt EQUIFILLES'!B23="","",'5. Gantt EQUIFILLES'!N23)</f>
        <v>0</v>
      </c>
      <c r="L19" s="169" t="n">
        <f aca="false">IF('5. Gantt EQUIFILLES'!B23="","",'5. Gantt EQUIFILLES'!O23)</f>
        <v>550000</v>
      </c>
      <c r="M19" s="169" t="n">
        <f aca="false">IF('5. Gantt EQUIFILLES'!B23="","",'5. Gantt EQUIFILLES'!P23)</f>
        <v>0</v>
      </c>
      <c r="N19" s="1" t="str">
        <f aca="false">IF('5. Gantt EQUIFILLES'!B23="","",'5. Gantt EQUIFILLES'!Q23)</f>
        <v>En retard</v>
      </c>
      <c r="O19" s="1" t="n">
        <f aca="false">IF('5. Gantt EQUIFILLES'!B23="","",'5. Gantt EQUIFILLES'!R23)</f>
        <v>25</v>
      </c>
      <c r="P19" s="1" t="n">
        <f aca="false">IF('5. Gantt EQUIFILLES'!B23="","",'5. Gantt EQUIFILLES'!S23)</f>
        <v>0</v>
      </c>
      <c r="Q19" s="170" t="n">
        <f aca="false">IF('5. Gantt EQUIFILLES'!B23="","",'5. Gantt EQUIFILLES'!T23)</f>
        <v>0</v>
      </c>
      <c r="R19" s="170" t="n">
        <f aca="false">IF('5. Gantt EQUIFILLES'!B23="","",'5. Gantt EQUIFILLES'!U23)</f>
        <v>0</v>
      </c>
    </row>
    <row r="20" customFormat="false" ht="15" hidden="false" customHeight="true" outlineLevel="0" collapsed="false">
      <c r="A20" s="1" t="str">
        <f aca="false">IF('5. Gantt EQUIFILLES'!B24="","","EQUIFILLES")</f>
        <v>EQUIFILLES</v>
      </c>
      <c r="B20" s="1" t="str">
        <f aca="false">IF('5. Gantt EQUIFILLES'!B24="","",'5. Gantt EQUIFILLES'!B24)</f>
        <v>A0.4</v>
      </c>
      <c r="C20" s="1" t="str">
        <f aca="false">IF('5. Gantt EQUIFILLES'!B24="","",'5. Gantt EQUIFILLES'!C24)</f>
        <v>Participation aux activités GFA</v>
      </c>
      <c r="D20" s="1" t="str">
        <f aca="false">IF('5. Gantt EQUIFILLES'!B24="","",'5. Gantt EQUIFILLES'!D24)</f>
        <v>Transverse</v>
      </c>
      <c r="E20" s="1" t="str">
        <f aca="false">IF('5. Gantt EQUIFILLES'!B24="","",'5. Gantt EQUIFILLES'!E24)</f>
        <v>BOUKARI AROUNA Rafiou</v>
      </c>
      <c r="F20" s="1" t="n">
        <f aca="false">IF('5. Gantt EQUIFILLES'!B24="","",'5. Gantt EQUIFILLES'!G24)</f>
        <v>1</v>
      </c>
      <c r="G20" s="167" t="n">
        <f aca="false">IF('5. Gantt EQUIFILLES'!B24="","",'5. Gantt EQUIFILLES'!H24)</f>
        <v>46082</v>
      </c>
      <c r="H20" s="167" t="n">
        <f aca="false">IF('5. Gantt EQUIFILLES'!B24="","",'5. Gantt EQUIFILLES'!I24)</f>
        <v>46538</v>
      </c>
      <c r="I20" s="167" t="n">
        <f aca="false">IF('5. Gantt EQUIFILLES'!B24="","",'5. Gantt EQUIFILLES'!K24)</f>
        <v>0</v>
      </c>
      <c r="J20" s="168" t="n">
        <f aca="false">IF('5. Gantt EQUIFILLES'!B24="","",'5. Gantt EQUIFILLES'!M24)</f>
        <v>18.640350877193</v>
      </c>
      <c r="K20" s="168" t="n">
        <f aca="false">IF('5. Gantt EQUIFILLES'!B24="","",'5. Gantt EQUIFILLES'!N24)</f>
        <v>0</v>
      </c>
      <c r="L20" s="169" t="n">
        <f aca="false">IF('5. Gantt EQUIFILLES'!B24="","",'5. Gantt EQUIFILLES'!O24)</f>
        <v>1000000</v>
      </c>
      <c r="M20" s="169" t="n">
        <f aca="false">IF('5. Gantt EQUIFILLES'!B24="","",'5. Gantt EQUIFILLES'!P24)</f>
        <v>0</v>
      </c>
      <c r="N20" s="1" t="str">
        <f aca="false">IF('5. Gantt EQUIFILLES'!B24="","",'5. Gantt EQUIFILLES'!Q24)</f>
        <v>En retard</v>
      </c>
      <c r="O20" s="1" t="n">
        <f aca="false">IF('5. Gantt EQUIFILLES'!B24="","",'5. Gantt EQUIFILLES'!R24)</f>
        <v>25</v>
      </c>
      <c r="P20" s="1" t="n">
        <f aca="false">IF('5. Gantt EQUIFILLES'!B24="","",'5. Gantt EQUIFILLES'!S24)</f>
        <v>0</v>
      </c>
      <c r="Q20" s="170" t="n">
        <f aca="false">IF('5. Gantt EQUIFILLES'!B24="","",'5. Gantt EQUIFILLES'!T24)</f>
        <v>0</v>
      </c>
      <c r="R20" s="170" t="n">
        <f aca="false">IF('5. Gantt EQUIFILLES'!B24="","",'5. Gantt EQUIFILLES'!U24)</f>
        <v>0</v>
      </c>
    </row>
    <row r="21" customFormat="false" ht="15" hidden="false" customHeight="true" outlineLevel="0" collapsed="false">
      <c r="A21" s="1" t="str">
        <f aca="false">IF('5. Gantt EQUIFILLES'!B25="","","EQUIFILLES")</f>
        <v>EQUIFILLES</v>
      </c>
      <c r="B21" s="1" t="str">
        <f aca="false">IF('5. Gantt EQUIFILLES'!B25="","",'5. Gantt EQUIFILLES'!B25)</f>
        <v>A0.5</v>
      </c>
      <c r="C21" s="1" t="str">
        <f aca="false">IF('5. Gantt EQUIFILLES'!B25="","",'5. Gantt EQUIFILLES'!C25)</f>
        <v>Atelier d'évaluation finale</v>
      </c>
      <c r="D21" s="1" t="str">
        <f aca="false">IF('5. Gantt EQUIFILLES'!B25="","",'5. Gantt EQUIFILLES'!D25)</f>
        <v>Transverse</v>
      </c>
      <c r="E21" s="1" t="str">
        <f aca="false">IF('5. Gantt EQUIFILLES'!B25="","",'5. Gantt EQUIFILLES'!E25)</f>
        <v>BOUKARI AROUNA Rafiou</v>
      </c>
      <c r="F21" s="1" t="n">
        <f aca="false">IF('5. Gantt EQUIFILLES'!B25="","",'5. Gantt EQUIFILLES'!G25)</f>
        <v>3</v>
      </c>
      <c r="G21" s="167" t="n">
        <f aca="false">IF('5. Gantt EQUIFILLES'!B25="","",'5. Gantt EQUIFILLES'!H25)</f>
        <v>46508</v>
      </c>
      <c r="H21" s="167" t="n">
        <f aca="false">IF('5. Gantt EQUIFILLES'!B25="","",'5. Gantt EQUIFILLES'!I25)</f>
        <v>46538</v>
      </c>
      <c r="I21" s="167" t="n">
        <f aca="false">IF('5. Gantt EQUIFILLES'!B25="","",'5. Gantt EQUIFILLES'!K25)</f>
        <v>0</v>
      </c>
      <c r="J21" s="168" t="n">
        <f aca="false">IF('5. Gantt EQUIFILLES'!B25="","",'5. Gantt EQUIFILLES'!M25)</f>
        <v>0</v>
      </c>
      <c r="K21" s="168" t="n">
        <f aca="false">IF('5. Gantt EQUIFILLES'!B25="","",'5. Gantt EQUIFILLES'!N25)</f>
        <v>0</v>
      </c>
      <c r="L21" s="169" t="n">
        <f aca="false">IF('5. Gantt EQUIFILLES'!B25="","",'5. Gantt EQUIFILLES'!O25)</f>
        <v>525000</v>
      </c>
      <c r="M21" s="169" t="n">
        <f aca="false">IF('5. Gantt EQUIFILLES'!B25="","",'5. Gantt EQUIFILLES'!P25)</f>
        <v>0</v>
      </c>
      <c r="N21" s="1" t="str">
        <f aca="false">IF('5. Gantt EQUIFILLES'!B25="","",'5. Gantt EQUIFILLES'!Q25)</f>
        <v>En attente</v>
      </c>
      <c r="O21" s="1" t="n">
        <f aca="false">IF('5. Gantt EQUIFILLES'!B25="","",'5. Gantt EQUIFILLES'!R25)</f>
        <v>50</v>
      </c>
      <c r="P21" s="1" t="n">
        <f aca="false">IF('5. Gantt EQUIFILLES'!B25="","",'5. Gantt EQUIFILLES'!S25)</f>
        <v>0</v>
      </c>
      <c r="Q21" s="170" t="n">
        <f aca="false">IF('5. Gantt EQUIFILLES'!B25="","",'5. Gantt EQUIFILLES'!T25)</f>
        <v>0</v>
      </c>
      <c r="R21" s="170" t="n">
        <f aca="false">IF('5. Gantt EQUIFILLES'!B25="","",'5. Gantt EQUIFILLES'!U25)</f>
        <v>0</v>
      </c>
    </row>
    <row r="22" customFormat="false" ht="15" hidden="false" customHeight="true" outlineLevel="0" collapsed="false">
      <c r="A22" s="1" t="str">
        <f aca="false">IF('5. Gantt EQUIFILLES'!B26="","","EQUIFILLES")</f>
        <v>EQUIFILLES</v>
      </c>
      <c r="B22" s="1" t="str">
        <f aca="false">IF('5. Gantt EQUIFILLES'!B26="","",'5. Gantt EQUIFILLES'!B26)</f>
        <v>TOTAL</v>
      </c>
      <c r="C22" s="1" t="n">
        <f aca="false">IF('5. Gantt EQUIFILLES'!B26="","",'5. Gantt EQUIFILLES'!C26)</f>
        <v>0</v>
      </c>
      <c r="D22" s="1" t="n">
        <f aca="false">IF('5. Gantt EQUIFILLES'!B26="","",'5. Gantt EQUIFILLES'!D26)</f>
        <v>0</v>
      </c>
      <c r="E22" s="1" t="n">
        <f aca="false">IF('5. Gantt EQUIFILLES'!B26="","",'5. Gantt EQUIFILLES'!E26)</f>
        <v>0</v>
      </c>
      <c r="F22" s="1" t="n">
        <f aca="false">IF('5. Gantt EQUIFILLES'!B26="","",'5. Gantt EQUIFILLES'!G26)</f>
        <v>0</v>
      </c>
      <c r="G22" s="167" t="n">
        <f aca="false">IF('5. Gantt EQUIFILLES'!B26="","",'5. Gantt EQUIFILLES'!H26)</f>
        <v>0</v>
      </c>
      <c r="H22" s="167" t="n">
        <f aca="false">IF('5. Gantt EQUIFILLES'!B26="","",'5. Gantt EQUIFILLES'!I26)</f>
        <v>0</v>
      </c>
      <c r="I22" s="167" t="n">
        <f aca="false">IF('5. Gantt EQUIFILLES'!B26="","",'5. Gantt EQUIFILLES'!K26)</f>
        <v>0</v>
      </c>
      <c r="J22" s="168" t="n">
        <f aca="false">IF('5. Gantt EQUIFILLES'!B26="","",'5. Gantt EQUIFILLES'!M26)</f>
        <v>0</v>
      </c>
      <c r="K22" s="168" t="n">
        <f aca="false">IF('5. Gantt EQUIFILLES'!B26="","",'5. Gantt EQUIFILLES'!N26)</f>
        <v>0</v>
      </c>
      <c r="L22" s="169" t="n">
        <f aca="false">IF('5. Gantt EQUIFILLES'!B26="","",'5. Gantt EQUIFILLES'!O26)</f>
        <v>12732633</v>
      </c>
      <c r="M22" s="169" t="n">
        <f aca="false">IF('5. Gantt EQUIFILLES'!B26="","",'5. Gantt EQUIFILLES'!P26)</f>
        <v>0</v>
      </c>
      <c r="N22" s="1" t="n">
        <f aca="false">IF('5. Gantt EQUIFILLES'!B26="","",'5. Gantt EQUIFILLES'!Q26)</f>
        <v>0</v>
      </c>
      <c r="O22" s="1" t="n">
        <f aca="false">IF('5. Gantt EQUIFILLES'!B26="","",'5. Gantt EQUIFILLES'!R26)</f>
        <v>0</v>
      </c>
      <c r="P22" s="1" t="n">
        <f aca="false">IF('5. Gantt EQUIFILLES'!B26="","",'5. Gantt EQUIFILLES'!S26)</f>
        <v>0</v>
      </c>
      <c r="Q22" s="1" t="n">
        <f aca="false">IF('5. Gantt EQUIFILLES'!B26="","",'5. Gantt EQUIFILLES'!T26)</f>
        <v>0</v>
      </c>
      <c r="R22" s="1" t="n">
        <f aca="false">IF('5. Gantt EQUIFILLES'!B26="","",'5. Gantt EQUIFILLES'!U26)</f>
        <v>0</v>
      </c>
    </row>
    <row r="23" customFormat="false" ht="15" hidden="false" customHeight="true" outlineLevel="0" collapsed="false">
      <c r="A23" s="1" t="str">
        <f aca="false">IF('5. Gantt EQUIFILLES'!B27="","","EQUIFILLES")</f>
        <v/>
      </c>
      <c r="B23" s="1" t="str">
        <f aca="false">IF('5. Gantt EQUIFILLES'!B27="","",'5. Gantt EQUIFILLES'!B27)</f>
        <v/>
      </c>
      <c r="C23" s="1" t="str">
        <f aca="false">IF('5. Gantt EQUIFILLES'!B27="","",'5. Gantt EQUIFILLES'!C27)</f>
        <v/>
      </c>
      <c r="D23" s="1" t="str">
        <f aca="false">IF('5. Gantt EQUIFILLES'!B27="","",'5. Gantt EQUIFILLES'!D27)</f>
        <v/>
      </c>
      <c r="E23" s="1" t="str">
        <f aca="false">IF('5. Gantt EQUIFILLES'!B27="","",'5. Gantt EQUIFILLES'!E27)</f>
        <v/>
      </c>
      <c r="F23" s="1" t="str">
        <f aca="false">IF('5. Gantt EQUIFILLES'!B27="","",'5. Gantt EQUIFILLES'!G27)</f>
        <v/>
      </c>
      <c r="G23" s="167" t="str">
        <f aca="false">IF('5. Gantt EQUIFILLES'!B27="","",'5. Gantt EQUIFILLES'!H27)</f>
        <v/>
      </c>
      <c r="H23" s="167" t="str">
        <f aca="false">IF('5. Gantt EQUIFILLES'!B27="","",'5. Gantt EQUIFILLES'!I27)</f>
        <v/>
      </c>
      <c r="I23" s="167" t="str">
        <f aca="false">IF('5. Gantt EQUIFILLES'!B27="","",'5. Gantt EQUIFILLES'!K27)</f>
        <v/>
      </c>
      <c r="J23" s="168" t="str">
        <f aca="false">IF('5. Gantt EQUIFILLES'!B27="","",'5. Gantt EQUIFILLES'!M27)</f>
        <v/>
      </c>
      <c r="K23" s="168" t="str">
        <f aca="false">IF('5. Gantt EQUIFILLES'!B27="","",'5. Gantt EQUIFILLES'!N27)</f>
        <v/>
      </c>
      <c r="L23" s="169" t="str">
        <f aca="false">IF('5. Gantt EQUIFILLES'!B27="","",'5. Gantt EQUIFILLES'!O27)</f>
        <v/>
      </c>
      <c r="M23" s="169" t="str">
        <f aca="false">IF('5. Gantt EQUIFILLES'!B27="","",'5. Gantt EQUIFILLES'!P27)</f>
        <v/>
      </c>
      <c r="N23" s="1" t="str">
        <f aca="false">IF('5. Gantt EQUIFILLES'!B27="","",'5. Gantt EQUIFILLES'!Q27)</f>
        <v/>
      </c>
      <c r="O23" s="1" t="str">
        <f aca="false">IF('5. Gantt EQUIFILLES'!B27="","",'5. Gantt EQUIFILLES'!R27)</f>
        <v/>
      </c>
      <c r="P23" s="1" t="str">
        <f aca="false">IF('5. Gantt EQUIFILLES'!B27="","",'5. Gantt EQUIFILLES'!S27)</f>
        <v/>
      </c>
      <c r="Q23" s="1" t="str">
        <f aca="false">IF('5. Gantt EQUIFILLES'!B27="","",'5. Gantt EQUIFILLES'!T27)</f>
        <v/>
      </c>
      <c r="R23" s="1" t="str">
        <f aca="false">IF('5. Gantt EQUIFILLES'!B27="","",'5. Gantt EQUIFILLES'!U27)</f>
        <v/>
      </c>
    </row>
    <row r="24" customFormat="false" ht="15" hidden="false" customHeight="true" outlineLevel="0" collapsed="false">
      <c r="A24" s="1" t="str">
        <f aca="false">IF('5. Gantt EQUIFILLES'!B28="","","EQUIFILLES")</f>
        <v/>
      </c>
      <c r="B24" s="1" t="str">
        <f aca="false">IF('5. Gantt EQUIFILLES'!B28="","",'5. Gantt EQUIFILLES'!B28)</f>
        <v/>
      </c>
      <c r="C24" s="1" t="str">
        <f aca="false">IF('5. Gantt EQUIFILLES'!B28="","",'5. Gantt EQUIFILLES'!C28)</f>
        <v/>
      </c>
      <c r="D24" s="1" t="str">
        <f aca="false">IF('5. Gantt EQUIFILLES'!B28="","",'5. Gantt EQUIFILLES'!D28)</f>
        <v/>
      </c>
      <c r="E24" s="1" t="str">
        <f aca="false">IF('5. Gantt EQUIFILLES'!B28="","",'5. Gantt EQUIFILLES'!E28)</f>
        <v/>
      </c>
      <c r="F24" s="1" t="str">
        <f aca="false">IF('5. Gantt EQUIFILLES'!B28="","",'5. Gantt EQUIFILLES'!G28)</f>
        <v/>
      </c>
      <c r="G24" s="167" t="str">
        <f aca="false">IF('5. Gantt EQUIFILLES'!B28="","",'5. Gantt EQUIFILLES'!H28)</f>
        <v/>
      </c>
      <c r="H24" s="167" t="str">
        <f aca="false">IF('5. Gantt EQUIFILLES'!B28="","",'5. Gantt EQUIFILLES'!I28)</f>
        <v/>
      </c>
      <c r="I24" s="167" t="str">
        <f aca="false">IF('5. Gantt EQUIFILLES'!B28="","",'5. Gantt EQUIFILLES'!K28)</f>
        <v/>
      </c>
      <c r="J24" s="168" t="str">
        <f aca="false">IF('5. Gantt EQUIFILLES'!B28="","",'5. Gantt EQUIFILLES'!M28)</f>
        <v/>
      </c>
      <c r="K24" s="168" t="str">
        <f aca="false">IF('5. Gantt EQUIFILLES'!B28="","",'5. Gantt EQUIFILLES'!N28)</f>
        <v/>
      </c>
      <c r="L24" s="169" t="str">
        <f aca="false">IF('5. Gantt EQUIFILLES'!B28="","",'5. Gantt EQUIFILLES'!O28)</f>
        <v/>
      </c>
      <c r="M24" s="169" t="str">
        <f aca="false">IF('5. Gantt EQUIFILLES'!B28="","",'5. Gantt EQUIFILLES'!P28)</f>
        <v/>
      </c>
      <c r="N24" s="1" t="str">
        <f aca="false">IF('5. Gantt EQUIFILLES'!B28="","",'5. Gantt EQUIFILLES'!Q28)</f>
        <v/>
      </c>
      <c r="O24" s="1" t="str">
        <f aca="false">IF('5. Gantt EQUIFILLES'!B28="","",'5. Gantt EQUIFILLES'!R28)</f>
        <v/>
      </c>
      <c r="P24" s="1" t="str">
        <f aca="false">IF('5. Gantt EQUIFILLES'!B28="","",'5. Gantt EQUIFILLES'!S28)</f>
        <v/>
      </c>
      <c r="Q24" s="1" t="str">
        <f aca="false">IF('5. Gantt EQUIFILLES'!B28="","",'5. Gantt EQUIFILLES'!T28)</f>
        <v/>
      </c>
      <c r="R24" s="1" t="str">
        <f aca="false">IF('5. Gantt EQUIFILLES'!B28="","",'5. Gantt EQUIFILLES'!U28)</f>
        <v/>
      </c>
    </row>
    <row r="25" customFormat="false" ht="15" hidden="false" customHeight="true" outlineLevel="0" collapsed="false">
      <c r="A25" s="1" t="str">
        <f aca="false">IF('5. Gantt EQUIFILLES'!B29="","","EQUIFILLES")</f>
        <v/>
      </c>
      <c r="B25" s="1" t="str">
        <f aca="false">IF('5. Gantt EQUIFILLES'!B29="","",'5. Gantt EQUIFILLES'!B29)</f>
        <v/>
      </c>
      <c r="C25" s="1" t="str">
        <f aca="false">IF('5. Gantt EQUIFILLES'!B29="","",'5. Gantt EQUIFILLES'!C29)</f>
        <v/>
      </c>
      <c r="D25" s="1" t="str">
        <f aca="false">IF('5. Gantt EQUIFILLES'!B29="","",'5. Gantt EQUIFILLES'!D29)</f>
        <v/>
      </c>
      <c r="E25" s="1" t="str">
        <f aca="false">IF('5. Gantt EQUIFILLES'!B29="","",'5. Gantt EQUIFILLES'!E29)</f>
        <v/>
      </c>
      <c r="F25" s="1" t="str">
        <f aca="false">IF('5. Gantt EQUIFILLES'!B29="","",'5. Gantt EQUIFILLES'!G29)</f>
        <v/>
      </c>
      <c r="G25" s="167" t="str">
        <f aca="false">IF('5. Gantt EQUIFILLES'!B29="","",'5. Gantt EQUIFILLES'!H29)</f>
        <v/>
      </c>
      <c r="H25" s="167" t="str">
        <f aca="false">IF('5. Gantt EQUIFILLES'!B29="","",'5. Gantt EQUIFILLES'!I29)</f>
        <v/>
      </c>
      <c r="I25" s="167" t="str">
        <f aca="false">IF('5. Gantt EQUIFILLES'!B29="","",'5. Gantt EQUIFILLES'!K29)</f>
        <v/>
      </c>
      <c r="J25" s="168" t="str">
        <f aca="false">IF('5. Gantt EQUIFILLES'!B29="","",'5. Gantt EQUIFILLES'!M29)</f>
        <v/>
      </c>
      <c r="K25" s="168" t="str">
        <f aca="false">IF('5. Gantt EQUIFILLES'!B29="","",'5. Gantt EQUIFILLES'!N29)</f>
        <v/>
      </c>
      <c r="L25" s="169" t="str">
        <f aca="false">IF('5. Gantt EQUIFILLES'!B29="","",'5. Gantt EQUIFILLES'!O29)</f>
        <v/>
      </c>
      <c r="M25" s="169" t="str">
        <f aca="false">IF('5. Gantt EQUIFILLES'!B29="","",'5. Gantt EQUIFILLES'!P29)</f>
        <v/>
      </c>
      <c r="N25" s="1" t="str">
        <f aca="false">IF('5. Gantt EQUIFILLES'!B29="","",'5. Gantt EQUIFILLES'!Q29)</f>
        <v/>
      </c>
      <c r="O25" s="1" t="str">
        <f aca="false">IF('5. Gantt EQUIFILLES'!B29="","",'5. Gantt EQUIFILLES'!R29)</f>
        <v/>
      </c>
      <c r="P25" s="1" t="str">
        <f aca="false">IF('5. Gantt EQUIFILLES'!B29="","",'5. Gantt EQUIFILLES'!S29)</f>
        <v/>
      </c>
      <c r="Q25" s="1" t="str">
        <f aca="false">IF('5. Gantt EQUIFILLES'!B29="","",'5. Gantt EQUIFILLES'!T29)</f>
        <v/>
      </c>
      <c r="R25" s="1" t="str">
        <f aca="false">IF('5. Gantt EQUIFILLES'!B29="","",'5. Gantt EQUIFILLES'!U29)</f>
        <v/>
      </c>
    </row>
    <row r="26" customFormat="false" ht="15" hidden="false" customHeight="true" outlineLevel="0" collapsed="false">
      <c r="A26" s="1" t="str">
        <f aca="false">IF('5. Gantt EQUIFILLES'!B30="","","EQUIFILLES")</f>
        <v/>
      </c>
      <c r="B26" s="1" t="str">
        <f aca="false">IF('5. Gantt EQUIFILLES'!B30="","",'5. Gantt EQUIFILLES'!B30)</f>
        <v/>
      </c>
      <c r="C26" s="1" t="str">
        <f aca="false">IF('5. Gantt EQUIFILLES'!B30="","",'5. Gantt EQUIFILLES'!C30)</f>
        <v/>
      </c>
      <c r="D26" s="1" t="str">
        <f aca="false">IF('5. Gantt EQUIFILLES'!B30="","",'5. Gantt EQUIFILLES'!D30)</f>
        <v/>
      </c>
      <c r="E26" s="1" t="str">
        <f aca="false">IF('5. Gantt EQUIFILLES'!B30="","",'5. Gantt EQUIFILLES'!E30)</f>
        <v/>
      </c>
      <c r="F26" s="1" t="str">
        <f aca="false">IF('5. Gantt EQUIFILLES'!B30="","",'5. Gantt EQUIFILLES'!G30)</f>
        <v/>
      </c>
      <c r="G26" s="167" t="str">
        <f aca="false">IF('5. Gantt EQUIFILLES'!B30="","",'5. Gantt EQUIFILLES'!H30)</f>
        <v/>
      </c>
      <c r="H26" s="167" t="str">
        <f aca="false">IF('5. Gantt EQUIFILLES'!B30="","",'5. Gantt EQUIFILLES'!I30)</f>
        <v/>
      </c>
      <c r="I26" s="167" t="str">
        <f aca="false">IF('5. Gantt EQUIFILLES'!B30="","",'5. Gantt EQUIFILLES'!K30)</f>
        <v/>
      </c>
      <c r="J26" s="168" t="str">
        <f aca="false">IF('5. Gantt EQUIFILLES'!B30="","",'5. Gantt EQUIFILLES'!M30)</f>
        <v/>
      </c>
      <c r="K26" s="168" t="str">
        <f aca="false">IF('5. Gantt EQUIFILLES'!B30="","",'5. Gantt EQUIFILLES'!N30)</f>
        <v/>
      </c>
      <c r="L26" s="169" t="str">
        <f aca="false">IF('5. Gantt EQUIFILLES'!B30="","",'5. Gantt EQUIFILLES'!O30)</f>
        <v/>
      </c>
      <c r="M26" s="169" t="str">
        <f aca="false">IF('5. Gantt EQUIFILLES'!B30="","",'5. Gantt EQUIFILLES'!P30)</f>
        <v/>
      </c>
      <c r="N26" s="1" t="str">
        <f aca="false">IF('5. Gantt EQUIFILLES'!B30="","",'5. Gantt EQUIFILLES'!Q30)</f>
        <v/>
      </c>
      <c r="O26" s="1" t="str">
        <f aca="false">IF('5. Gantt EQUIFILLES'!B30="","",'5. Gantt EQUIFILLES'!R30)</f>
        <v/>
      </c>
      <c r="P26" s="1" t="str">
        <f aca="false">IF('5. Gantt EQUIFILLES'!B30="","",'5. Gantt EQUIFILLES'!S30)</f>
        <v/>
      </c>
      <c r="Q26" s="1" t="str">
        <f aca="false">IF('5. Gantt EQUIFILLES'!B30="","",'5. Gantt EQUIFILLES'!T30)</f>
        <v/>
      </c>
      <c r="R26" s="1" t="str">
        <f aca="false">IF('5. Gantt EQUIFILLES'!B30="","",'5. Gantt EQUIFILLES'!U30)</f>
        <v/>
      </c>
    </row>
    <row r="27" customFormat="false" ht="15" hidden="false" customHeight="true" outlineLevel="0" collapsed="false">
      <c r="A27" s="1" t="str">
        <f aca="false">IF('5. Gantt EQUIFILLES'!B31="","","EQUIFILLES")</f>
        <v/>
      </c>
      <c r="B27" s="1" t="str">
        <f aca="false">IF('5. Gantt EQUIFILLES'!B31="","",'5. Gantt EQUIFILLES'!B31)</f>
        <v/>
      </c>
      <c r="C27" s="1" t="str">
        <f aca="false">IF('5. Gantt EQUIFILLES'!B31="","",'5. Gantt EQUIFILLES'!C31)</f>
        <v/>
      </c>
      <c r="D27" s="1" t="str">
        <f aca="false">IF('5. Gantt EQUIFILLES'!B31="","",'5. Gantt EQUIFILLES'!D31)</f>
        <v/>
      </c>
      <c r="E27" s="1" t="str">
        <f aca="false">IF('5. Gantt EQUIFILLES'!B31="","",'5. Gantt EQUIFILLES'!E31)</f>
        <v/>
      </c>
      <c r="F27" s="1" t="str">
        <f aca="false">IF('5. Gantt EQUIFILLES'!B31="","",'5. Gantt EQUIFILLES'!G31)</f>
        <v/>
      </c>
      <c r="G27" s="167" t="str">
        <f aca="false">IF('5. Gantt EQUIFILLES'!B31="","",'5. Gantt EQUIFILLES'!H31)</f>
        <v/>
      </c>
      <c r="H27" s="167" t="str">
        <f aca="false">IF('5. Gantt EQUIFILLES'!B31="","",'5. Gantt EQUIFILLES'!I31)</f>
        <v/>
      </c>
      <c r="I27" s="167" t="str">
        <f aca="false">IF('5. Gantt EQUIFILLES'!B31="","",'5. Gantt EQUIFILLES'!K31)</f>
        <v/>
      </c>
      <c r="J27" s="168" t="str">
        <f aca="false">IF('5. Gantt EQUIFILLES'!B31="","",'5. Gantt EQUIFILLES'!M31)</f>
        <v/>
      </c>
      <c r="K27" s="168" t="str">
        <f aca="false">IF('5. Gantt EQUIFILLES'!B31="","",'5. Gantt EQUIFILLES'!N31)</f>
        <v/>
      </c>
      <c r="L27" s="169" t="str">
        <f aca="false">IF('5. Gantt EQUIFILLES'!B31="","",'5. Gantt EQUIFILLES'!O31)</f>
        <v/>
      </c>
      <c r="M27" s="169" t="str">
        <f aca="false">IF('5. Gantt EQUIFILLES'!B31="","",'5. Gantt EQUIFILLES'!P31)</f>
        <v/>
      </c>
      <c r="N27" s="1" t="str">
        <f aca="false">IF('5. Gantt EQUIFILLES'!B31="","",'5. Gantt EQUIFILLES'!Q31)</f>
        <v/>
      </c>
      <c r="O27" s="1" t="str">
        <f aca="false">IF('5. Gantt EQUIFILLES'!B31="","",'5. Gantt EQUIFILLES'!R31)</f>
        <v/>
      </c>
      <c r="P27" s="1" t="str">
        <f aca="false">IF('5. Gantt EQUIFILLES'!B31="","",'5. Gantt EQUIFILLES'!S31)</f>
        <v/>
      </c>
      <c r="Q27" s="1" t="str">
        <f aca="false">IF('5. Gantt EQUIFILLES'!B31="","",'5. Gantt EQUIFILLES'!T31)</f>
        <v/>
      </c>
      <c r="R27" s="1" t="str">
        <f aca="false">IF('5. Gantt EQUIFILLES'!B31="","",'5. Gantt EQUIFILLES'!U31)</f>
        <v/>
      </c>
    </row>
    <row r="28" customFormat="false" ht="15" hidden="false" customHeight="true" outlineLevel="0" collapsed="false">
      <c r="A28" s="1" t="str">
        <f aca="false">IF('5. Gantt EQUIFILLES'!B32="","","EQUIFILLES")</f>
        <v/>
      </c>
      <c r="B28" s="1" t="str">
        <f aca="false">IF('5. Gantt EQUIFILLES'!B32="","",'5. Gantt EQUIFILLES'!B32)</f>
        <v/>
      </c>
      <c r="C28" s="1" t="str">
        <f aca="false">IF('5. Gantt EQUIFILLES'!B32="","",'5. Gantt EQUIFILLES'!C32)</f>
        <v/>
      </c>
      <c r="D28" s="1" t="str">
        <f aca="false">IF('5. Gantt EQUIFILLES'!B32="","",'5. Gantt EQUIFILLES'!D32)</f>
        <v/>
      </c>
      <c r="E28" s="1" t="str">
        <f aca="false">IF('5. Gantt EQUIFILLES'!B32="","",'5. Gantt EQUIFILLES'!E32)</f>
        <v/>
      </c>
      <c r="F28" s="1" t="str">
        <f aca="false">IF('5. Gantt EQUIFILLES'!B32="","",'5. Gantt EQUIFILLES'!G32)</f>
        <v/>
      </c>
      <c r="G28" s="167" t="str">
        <f aca="false">IF('5. Gantt EQUIFILLES'!B32="","",'5. Gantt EQUIFILLES'!H32)</f>
        <v/>
      </c>
      <c r="H28" s="167" t="str">
        <f aca="false">IF('5. Gantt EQUIFILLES'!B32="","",'5. Gantt EQUIFILLES'!I32)</f>
        <v/>
      </c>
      <c r="I28" s="167" t="str">
        <f aca="false">IF('5. Gantt EQUIFILLES'!B32="","",'5. Gantt EQUIFILLES'!K32)</f>
        <v/>
      </c>
      <c r="J28" s="168" t="str">
        <f aca="false">IF('5. Gantt EQUIFILLES'!B32="","",'5. Gantt EQUIFILLES'!M32)</f>
        <v/>
      </c>
      <c r="K28" s="168" t="str">
        <f aca="false">IF('5. Gantt EQUIFILLES'!B32="","",'5. Gantt EQUIFILLES'!N32)</f>
        <v/>
      </c>
      <c r="L28" s="169" t="str">
        <f aca="false">IF('5. Gantt EQUIFILLES'!B32="","",'5. Gantt EQUIFILLES'!O32)</f>
        <v/>
      </c>
      <c r="M28" s="169" t="str">
        <f aca="false">IF('5. Gantt EQUIFILLES'!B32="","",'5. Gantt EQUIFILLES'!P32)</f>
        <v/>
      </c>
      <c r="N28" s="1" t="str">
        <f aca="false">IF('5. Gantt EQUIFILLES'!B32="","",'5. Gantt EQUIFILLES'!Q32)</f>
        <v/>
      </c>
      <c r="O28" s="1" t="str">
        <f aca="false">IF('5. Gantt EQUIFILLES'!B32="","",'5. Gantt EQUIFILLES'!R32)</f>
        <v/>
      </c>
      <c r="P28" s="1" t="str">
        <f aca="false">IF('5. Gantt EQUIFILLES'!B32="","",'5. Gantt EQUIFILLES'!S32)</f>
        <v/>
      </c>
      <c r="Q28" s="1" t="str">
        <f aca="false">IF('5. Gantt EQUIFILLES'!B32="","",'5. Gantt EQUIFILLES'!T32)</f>
        <v/>
      </c>
      <c r="R28" s="1" t="str">
        <f aca="false">IF('5. Gantt EQUIFILLES'!B32="","",'5. Gantt EQUIFILLES'!U32)</f>
        <v/>
      </c>
    </row>
    <row r="29" customFormat="false" ht="15" hidden="false" customHeight="true" outlineLevel="0" collapsed="false">
      <c r="A29" s="1" t="str">
        <f aca="false">IF('5. Gantt EQUIFILLES'!B33="","","EQUIFILLES")</f>
        <v/>
      </c>
      <c r="B29" s="1" t="str">
        <f aca="false">IF('5. Gantt EQUIFILLES'!B33="","",'5. Gantt EQUIFILLES'!B33)</f>
        <v/>
      </c>
      <c r="C29" s="1" t="str">
        <f aca="false">IF('5. Gantt EQUIFILLES'!B33="","",'5. Gantt EQUIFILLES'!C33)</f>
        <v/>
      </c>
      <c r="D29" s="1" t="str">
        <f aca="false">IF('5. Gantt EQUIFILLES'!B33="","",'5. Gantt EQUIFILLES'!D33)</f>
        <v/>
      </c>
      <c r="E29" s="1" t="str">
        <f aca="false">IF('5. Gantt EQUIFILLES'!B33="","",'5. Gantt EQUIFILLES'!E33)</f>
        <v/>
      </c>
      <c r="F29" s="1" t="str">
        <f aca="false">IF('5. Gantt EQUIFILLES'!B33="","",'5. Gantt EQUIFILLES'!G33)</f>
        <v/>
      </c>
      <c r="G29" s="167" t="str">
        <f aca="false">IF('5. Gantt EQUIFILLES'!B33="","",'5. Gantt EQUIFILLES'!H33)</f>
        <v/>
      </c>
      <c r="H29" s="167" t="str">
        <f aca="false">IF('5. Gantt EQUIFILLES'!B33="","",'5. Gantt EQUIFILLES'!I33)</f>
        <v/>
      </c>
      <c r="I29" s="167" t="str">
        <f aca="false">IF('5. Gantt EQUIFILLES'!B33="","",'5. Gantt EQUIFILLES'!K33)</f>
        <v/>
      </c>
      <c r="J29" s="168" t="str">
        <f aca="false">IF('5. Gantt EQUIFILLES'!B33="","",'5. Gantt EQUIFILLES'!M33)</f>
        <v/>
      </c>
      <c r="K29" s="168" t="str">
        <f aca="false">IF('5. Gantt EQUIFILLES'!B33="","",'5. Gantt EQUIFILLES'!N33)</f>
        <v/>
      </c>
      <c r="L29" s="169" t="str">
        <f aca="false">IF('5. Gantt EQUIFILLES'!B33="","",'5. Gantt EQUIFILLES'!O33)</f>
        <v/>
      </c>
      <c r="M29" s="169" t="str">
        <f aca="false">IF('5. Gantt EQUIFILLES'!B33="","",'5. Gantt EQUIFILLES'!P33)</f>
        <v/>
      </c>
      <c r="N29" s="1" t="str">
        <f aca="false">IF('5. Gantt EQUIFILLES'!B33="","",'5. Gantt EQUIFILLES'!Q33)</f>
        <v/>
      </c>
      <c r="O29" s="1" t="str">
        <f aca="false">IF('5. Gantt EQUIFILLES'!B33="","",'5. Gantt EQUIFILLES'!R33)</f>
        <v/>
      </c>
      <c r="P29" s="1" t="str">
        <f aca="false">IF('5. Gantt EQUIFILLES'!B33="","",'5. Gantt EQUIFILLES'!S33)</f>
        <v/>
      </c>
      <c r="Q29" s="1" t="str">
        <f aca="false">IF('5. Gantt EQUIFILLES'!B33="","",'5. Gantt EQUIFILLES'!T33)</f>
        <v/>
      </c>
      <c r="R29" s="1" t="str">
        <f aca="false">IF('5. Gantt EQUIFILLES'!B33="","",'5. Gantt EQUIFILLES'!U33)</f>
        <v/>
      </c>
    </row>
    <row r="30" customFormat="false" ht="15" hidden="false" customHeight="true" outlineLevel="0" collapsed="false">
      <c r="A30" s="1" t="str">
        <f aca="false">IF('5. Gantt EQUIFILLES'!B34="","","EQUIFILLES")</f>
        <v/>
      </c>
      <c r="B30" s="1" t="str">
        <f aca="false">IF('5. Gantt EQUIFILLES'!B34="","",'5. Gantt EQUIFILLES'!B34)</f>
        <v/>
      </c>
      <c r="C30" s="1" t="str">
        <f aca="false">IF('5. Gantt EQUIFILLES'!B34="","",'5. Gantt EQUIFILLES'!C34)</f>
        <v/>
      </c>
      <c r="D30" s="1" t="str">
        <f aca="false">IF('5. Gantt EQUIFILLES'!B34="","",'5. Gantt EQUIFILLES'!D34)</f>
        <v/>
      </c>
      <c r="E30" s="1" t="str">
        <f aca="false">IF('5. Gantt EQUIFILLES'!B34="","",'5. Gantt EQUIFILLES'!E34)</f>
        <v/>
      </c>
      <c r="F30" s="1" t="str">
        <f aca="false">IF('5. Gantt EQUIFILLES'!B34="","",'5. Gantt EQUIFILLES'!G34)</f>
        <v/>
      </c>
      <c r="G30" s="167" t="str">
        <f aca="false">IF('5. Gantt EQUIFILLES'!B34="","",'5. Gantt EQUIFILLES'!H34)</f>
        <v/>
      </c>
      <c r="H30" s="167" t="str">
        <f aca="false">IF('5. Gantt EQUIFILLES'!B34="","",'5. Gantt EQUIFILLES'!I34)</f>
        <v/>
      </c>
      <c r="I30" s="167" t="str">
        <f aca="false">IF('5. Gantt EQUIFILLES'!B34="","",'5. Gantt EQUIFILLES'!K34)</f>
        <v/>
      </c>
      <c r="J30" s="168" t="str">
        <f aca="false">IF('5. Gantt EQUIFILLES'!B34="","",'5. Gantt EQUIFILLES'!M34)</f>
        <v/>
      </c>
      <c r="K30" s="168" t="str">
        <f aca="false">IF('5. Gantt EQUIFILLES'!B34="","",'5. Gantt EQUIFILLES'!N34)</f>
        <v/>
      </c>
      <c r="L30" s="169" t="str">
        <f aca="false">IF('5. Gantt EQUIFILLES'!B34="","",'5. Gantt EQUIFILLES'!O34)</f>
        <v/>
      </c>
      <c r="M30" s="169" t="str">
        <f aca="false">IF('5. Gantt EQUIFILLES'!B34="","",'5. Gantt EQUIFILLES'!P34)</f>
        <v/>
      </c>
      <c r="N30" s="1" t="str">
        <f aca="false">IF('5. Gantt EQUIFILLES'!B34="","",'5. Gantt EQUIFILLES'!Q34)</f>
        <v/>
      </c>
      <c r="O30" s="1" t="str">
        <f aca="false">IF('5. Gantt EQUIFILLES'!B34="","",'5. Gantt EQUIFILLES'!R34)</f>
        <v/>
      </c>
      <c r="P30" s="1" t="str">
        <f aca="false">IF('5. Gantt EQUIFILLES'!B34="","",'5. Gantt EQUIFILLES'!S34)</f>
        <v/>
      </c>
      <c r="Q30" s="1" t="str">
        <f aca="false">IF('5. Gantt EQUIFILLES'!B34="","",'5. Gantt EQUIFILLES'!T34)</f>
        <v/>
      </c>
      <c r="R30" s="1" t="str">
        <f aca="false">IF('5. Gantt EQUIFILLES'!B34="","",'5. Gantt EQUIFILLES'!U34)</f>
        <v/>
      </c>
    </row>
    <row r="31" customFormat="false" ht="15" hidden="false" customHeight="true" outlineLevel="0" collapsed="false">
      <c r="A31" s="1" t="str">
        <f aca="false">IF('5. Gantt EQUIFILLES'!B35="","","EQUIFILLES")</f>
        <v/>
      </c>
      <c r="B31" s="1" t="str">
        <f aca="false">IF('5. Gantt EQUIFILLES'!B35="","",'5. Gantt EQUIFILLES'!B35)</f>
        <v/>
      </c>
      <c r="C31" s="1" t="str">
        <f aca="false">IF('5. Gantt EQUIFILLES'!B35="","",'5. Gantt EQUIFILLES'!C35)</f>
        <v/>
      </c>
      <c r="D31" s="1" t="str">
        <f aca="false">IF('5. Gantt EQUIFILLES'!B35="","",'5. Gantt EQUIFILLES'!D35)</f>
        <v/>
      </c>
      <c r="E31" s="1" t="str">
        <f aca="false">IF('5. Gantt EQUIFILLES'!B35="","",'5. Gantt EQUIFILLES'!E35)</f>
        <v/>
      </c>
      <c r="F31" s="1" t="str">
        <f aca="false">IF('5. Gantt EQUIFILLES'!B35="","",'5. Gantt EQUIFILLES'!G35)</f>
        <v/>
      </c>
      <c r="G31" s="167" t="str">
        <f aca="false">IF('5. Gantt EQUIFILLES'!B35="","",'5. Gantt EQUIFILLES'!H35)</f>
        <v/>
      </c>
      <c r="H31" s="167" t="str">
        <f aca="false">IF('5. Gantt EQUIFILLES'!B35="","",'5. Gantt EQUIFILLES'!I35)</f>
        <v/>
      </c>
      <c r="I31" s="167" t="str">
        <f aca="false">IF('5. Gantt EQUIFILLES'!B35="","",'5. Gantt EQUIFILLES'!K35)</f>
        <v/>
      </c>
      <c r="J31" s="168" t="str">
        <f aca="false">IF('5. Gantt EQUIFILLES'!B35="","",'5. Gantt EQUIFILLES'!M35)</f>
        <v/>
      </c>
      <c r="K31" s="168" t="str">
        <f aca="false">IF('5. Gantt EQUIFILLES'!B35="","",'5. Gantt EQUIFILLES'!N35)</f>
        <v/>
      </c>
      <c r="L31" s="169" t="str">
        <f aca="false">IF('5. Gantt EQUIFILLES'!B35="","",'5. Gantt EQUIFILLES'!O35)</f>
        <v/>
      </c>
      <c r="M31" s="169" t="str">
        <f aca="false">IF('5. Gantt EQUIFILLES'!B35="","",'5. Gantt EQUIFILLES'!P35)</f>
        <v/>
      </c>
      <c r="N31" s="1" t="str">
        <f aca="false">IF('5. Gantt EQUIFILLES'!B35="","",'5. Gantt EQUIFILLES'!Q35)</f>
        <v/>
      </c>
      <c r="O31" s="1" t="str">
        <f aca="false">IF('5. Gantt EQUIFILLES'!B35="","",'5. Gantt EQUIFILLES'!R35)</f>
        <v/>
      </c>
      <c r="P31" s="1" t="str">
        <f aca="false">IF('5. Gantt EQUIFILLES'!B35="","",'5. Gantt EQUIFILLES'!S35)</f>
        <v/>
      </c>
      <c r="Q31" s="1" t="str">
        <f aca="false">IF('5. Gantt EQUIFILLES'!B35="","",'5. Gantt EQUIFILLES'!T35)</f>
        <v/>
      </c>
      <c r="R31" s="1" t="str">
        <f aca="false">IF('5. Gantt EQUIFILLES'!B35="","",'5. Gantt EQUIFILLES'!U35)</f>
        <v/>
      </c>
    </row>
    <row r="32" customFormat="false" ht="15" hidden="false" customHeight="true" outlineLevel="0" collapsed="false">
      <c r="A32" s="1" t="str">
        <f aca="false">IF('5. Gantt EQUIFILLES'!B36="","","EQUIFILLES")</f>
        <v/>
      </c>
      <c r="B32" s="1" t="str">
        <f aca="false">IF('5. Gantt EQUIFILLES'!B36="","",'5. Gantt EQUIFILLES'!B36)</f>
        <v/>
      </c>
      <c r="C32" s="1" t="str">
        <f aca="false">IF('5. Gantt EQUIFILLES'!B36="","",'5. Gantt EQUIFILLES'!C36)</f>
        <v/>
      </c>
      <c r="D32" s="1" t="str">
        <f aca="false">IF('5. Gantt EQUIFILLES'!B36="","",'5. Gantt EQUIFILLES'!D36)</f>
        <v/>
      </c>
      <c r="E32" s="1" t="str">
        <f aca="false">IF('5. Gantt EQUIFILLES'!B36="","",'5. Gantt EQUIFILLES'!E36)</f>
        <v/>
      </c>
      <c r="F32" s="1" t="str">
        <f aca="false">IF('5. Gantt EQUIFILLES'!B36="","",'5. Gantt EQUIFILLES'!G36)</f>
        <v/>
      </c>
      <c r="G32" s="167" t="str">
        <f aca="false">IF('5. Gantt EQUIFILLES'!B36="","",'5. Gantt EQUIFILLES'!H36)</f>
        <v/>
      </c>
      <c r="H32" s="167" t="str">
        <f aca="false">IF('5. Gantt EQUIFILLES'!B36="","",'5. Gantt EQUIFILLES'!I36)</f>
        <v/>
      </c>
      <c r="I32" s="167" t="str">
        <f aca="false">IF('5. Gantt EQUIFILLES'!B36="","",'5. Gantt EQUIFILLES'!K36)</f>
        <v/>
      </c>
      <c r="J32" s="168" t="str">
        <f aca="false">IF('5. Gantt EQUIFILLES'!B36="","",'5. Gantt EQUIFILLES'!M36)</f>
        <v/>
      </c>
      <c r="K32" s="168" t="str">
        <f aca="false">IF('5. Gantt EQUIFILLES'!B36="","",'5. Gantt EQUIFILLES'!N36)</f>
        <v/>
      </c>
      <c r="L32" s="169" t="str">
        <f aca="false">IF('5. Gantt EQUIFILLES'!B36="","",'5. Gantt EQUIFILLES'!O36)</f>
        <v/>
      </c>
      <c r="M32" s="169" t="str">
        <f aca="false">IF('5. Gantt EQUIFILLES'!B36="","",'5. Gantt EQUIFILLES'!P36)</f>
        <v/>
      </c>
      <c r="N32" s="1" t="str">
        <f aca="false">IF('5. Gantt EQUIFILLES'!B36="","",'5. Gantt EQUIFILLES'!Q36)</f>
        <v/>
      </c>
      <c r="O32" s="1" t="str">
        <f aca="false">IF('5. Gantt EQUIFILLES'!B36="","",'5. Gantt EQUIFILLES'!R36)</f>
        <v/>
      </c>
      <c r="P32" s="1" t="str">
        <f aca="false">IF('5. Gantt EQUIFILLES'!B36="","",'5. Gantt EQUIFILLES'!S36)</f>
        <v/>
      </c>
      <c r="Q32" s="1" t="str">
        <f aca="false">IF('5. Gantt EQUIFILLES'!B36="","",'5. Gantt EQUIFILLES'!T36)</f>
        <v/>
      </c>
      <c r="R32" s="1" t="str">
        <f aca="false">IF('5. Gantt EQUIFILLES'!B36="","",'5. Gantt EQUIFILLES'!U36)</f>
        <v/>
      </c>
    </row>
    <row r="33" customFormat="false" ht="15" hidden="false" customHeight="true" outlineLevel="0" collapsed="false">
      <c r="A33" s="1" t="str">
        <f aca="false">IF('5. Gantt EQUIFILLES'!B37="","","EQUIFILLES")</f>
        <v/>
      </c>
      <c r="B33" s="1" t="str">
        <f aca="false">IF('5. Gantt EQUIFILLES'!B37="","",'5. Gantt EQUIFILLES'!B37)</f>
        <v/>
      </c>
      <c r="C33" s="1" t="str">
        <f aca="false">IF('5. Gantt EQUIFILLES'!B37="","",'5. Gantt EQUIFILLES'!C37)</f>
        <v/>
      </c>
      <c r="D33" s="1" t="str">
        <f aca="false">IF('5. Gantt EQUIFILLES'!B37="","",'5. Gantt EQUIFILLES'!D37)</f>
        <v/>
      </c>
      <c r="E33" s="1" t="str">
        <f aca="false">IF('5. Gantt EQUIFILLES'!B37="","",'5. Gantt EQUIFILLES'!E37)</f>
        <v/>
      </c>
      <c r="F33" s="1" t="str">
        <f aca="false">IF('5. Gantt EQUIFILLES'!B37="","",'5. Gantt EQUIFILLES'!G37)</f>
        <v/>
      </c>
      <c r="G33" s="167" t="str">
        <f aca="false">IF('5. Gantt EQUIFILLES'!B37="","",'5. Gantt EQUIFILLES'!H37)</f>
        <v/>
      </c>
      <c r="H33" s="167" t="str">
        <f aca="false">IF('5. Gantt EQUIFILLES'!B37="","",'5. Gantt EQUIFILLES'!I37)</f>
        <v/>
      </c>
      <c r="I33" s="167" t="str">
        <f aca="false">IF('5. Gantt EQUIFILLES'!B37="","",'5. Gantt EQUIFILLES'!K37)</f>
        <v/>
      </c>
      <c r="J33" s="168" t="str">
        <f aca="false">IF('5. Gantt EQUIFILLES'!B37="","",'5. Gantt EQUIFILLES'!M37)</f>
        <v/>
      </c>
      <c r="K33" s="168" t="str">
        <f aca="false">IF('5. Gantt EQUIFILLES'!B37="","",'5. Gantt EQUIFILLES'!N37)</f>
        <v/>
      </c>
      <c r="L33" s="169" t="str">
        <f aca="false">IF('5. Gantt EQUIFILLES'!B37="","",'5. Gantt EQUIFILLES'!O37)</f>
        <v/>
      </c>
      <c r="M33" s="169" t="str">
        <f aca="false">IF('5. Gantt EQUIFILLES'!B37="","",'5. Gantt EQUIFILLES'!P37)</f>
        <v/>
      </c>
      <c r="N33" s="1" t="str">
        <f aca="false">IF('5. Gantt EQUIFILLES'!B37="","",'5. Gantt EQUIFILLES'!Q37)</f>
        <v/>
      </c>
      <c r="O33" s="1" t="str">
        <f aca="false">IF('5. Gantt EQUIFILLES'!B37="","",'5. Gantt EQUIFILLES'!R37)</f>
        <v/>
      </c>
      <c r="P33" s="1" t="str">
        <f aca="false">IF('5. Gantt EQUIFILLES'!B37="","",'5. Gantt EQUIFILLES'!S37)</f>
        <v/>
      </c>
      <c r="Q33" s="1" t="str">
        <f aca="false">IF('5. Gantt EQUIFILLES'!B37="","",'5. Gantt EQUIFILLES'!T37)</f>
        <v/>
      </c>
      <c r="R33" s="1" t="str">
        <f aca="false">IF('5. Gantt EQUIFILLES'!B37="","",'5. Gantt EQUIFILLES'!U37)</f>
        <v/>
      </c>
    </row>
    <row r="34" customFormat="false" ht="15" hidden="false" customHeight="true" outlineLevel="0" collapsed="false">
      <c r="A34" s="1" t="str">
        <f aca="false">IF('5. Gantt EQUIFILLES'!B38="","","EQUIFILLES")</f>
        <v/>
      </c>
      <c r="B34" s="1" t="str">
        <f aca="false">IF('5. Gantt EQUIFILLES'!B38="","",'5. Gantt EQUIFILLES'!B38)</f>
        <v/>
      </c>
      <c r="C34" s="1" t="str">
        <f aca="false">IF('5. Gantt EQUIFILLES'!B38="","",'5. Gantt EQUIFILLES'!C38)</f>
        <v/>
      </c>
      <c r="D34" s="1" t="str">
        <f aca="false">IF('5. Gantt EQUIFILLES'!B38="","",'5. Gantt EQUIFILLES'!D38)</f>
        <v/>
      </c>
      <c r="E34" s="1" t="str">
        <f aca="false">IF('5. Gantt EQUIFILLES'!B38="","",'5. Gantt EQUIFILLES'!E38)</f>
        <v/>
      </c>
      <c r="F34" s="1" t="str">
        <f aca="false">IF('5. Gantt EQUIFILLES'!B38="","",'5. Gantt EQUIFILLES'!G38)</f>
        <v/>
      </c>
      <c r="G34" s="167" t="str">
        <f aca="false">IF('5. Gantt EQUIFILLES'!B38="","",'5. Gantt EQUIFILLES'!H38)</f>
        <v/>
      </c>
      <c r="H34" s="167" t="str">
        <f aca="false">IF('5. Gantt EQUIFILLES'!B38="","",'5. Gantt EQUIFILLES'!I38)</f>
        <v/>
      </c>
      <c r="I34" s="167" t="str">
        <f aca="false">IF('5. Gantt EQUIFILLES'!B38="","",'5. Gantt EQUIFILLES'!K38)</f>
        <v/>
      </c>
      <c r="J34" s="168" t="str">
        <f aca="false">IF('5. Gantt EQUIFILLES'!B38="","",'5. Gantt EQUIFILLES'!M38)</f>
        <v/>
      </c>
      <c r="K34" s="168" t="str">
        <f aca="false">IF('5. Gantt EQUIFILLES'!B38="","",'5. Gantt EQUIFILLES'!N38)</f>
        <v/>
      </c>
      <c r="L34" s="169" t="str">
        <f aca="false">IF('5. Gantt EQUIFILLES'!B38="","",'5. Gantt EQUIFILLES'!O38)</f>
        <v/>
      </c>
      <c r="M34" s="169" t="str">
        <f aca="false">IF('5. Gantt EQUIFILLES'!B38="","",'5. Gantt EQUIFILLES'!P38)</f>
        <v/>
      </c>
      <c r="N34" s="1" t="str">
        <f aca="false">IF('5. Gantt EQUIFILLES'!B38="","",'5. Gantt EQUIFILLES'!Q38)</f>
        <v/>
      </c>
      <c r="O34" s="1" t="str">
        <f aca="false">IF('5. Gantt EQUIFILLES'!B38="","",'5. Gantt EQUIFILLES'!R38)</f>
        <v/>
      </c>
      <c r="P34" s="1" t="str">
        <f aca="false">IF('5. Gantt EQUIFILLES'!B38="","",'5. Gantt EQUIFILLES'!S38)</f>
        <v/>
      </c>
      <c r="Q34" s="1" t="str">
        <f aca="false">IF('5. Gantt EQUIFILLES'!B38="","",'5. Gantt EQUIFILLES'!T38)</f>
        <v/>
      </c>
      <c r="R34" s="1" t="str">
        <f aca="false">IF('5. Gantt EQUIFILLES'!B38="","",'5. Gantt EQUIFILLES'!U38)</f>
        <v/>
      </c>
    </row>
    <row r="35" customFormat="false" ht="15" hidden="false" customHeight="true" outlineLevel="0" collapsed="false">
      <c r="A35" s="1" t="str">
        <f aca="false">IF('5. Gantt EQUIFILLES'!B39="","","EQUIFILLES")</f>
        <v/>
      </c>
      <c r="B35" s="1" t="str">
        <f aca="false">IF('5. Gantt EQUIFILLES'!B39="","",'5. Gantt EQUIFILLES'!B39)</f>
        <v/>
      </c>
      <c r="C35" s="1" t="str">
        <f aca="false">IF('5. Gantt EQUIFILLES'!B39="","",'5. Gantt EQUIFILLES'!C39)</f>
        <v/>
      </c>
      <c r="D35" s="1" t="str">
        <f aca="false">IF('5. Gantt EQUIFILLES'!B39="","",'5. Gantt EQUIFILLES'!D39)</f>
        <v/>
      </c>
      <c r="E35" s="1" t="str">
        <f aca="false">IF('5. Gantt EQUIFILLES'!B39="","",'5. Gantt EQUIFILLES'!E39)</f>
        <v/>
      </c>
      <c r="F35" s="1" t="str">
        <f aca="false">IF('5. Gantt EQUIFILLES'!B39="","",'5. Gantt EQUIFILLES'!G39)</f>
        <v/>
      </c>
      <c r="G35" s="167" t="str">
        <f aca="false">IF('5. Gantt EQUIFILLES'!B39="","",'5. Gantt EQUIFILLES'!H39)</f>
        <v/>
      </c>
      <c r="H35" s="167" t="str">
        <f aca="false">IF('5. Gantt EQUIFILLES'!B39="","",'5. Gantt EQUIFILLES'!I39)</f>
        <v/>
      </c>
      <c r="I35" s="167" t="str">
        <f aca="false">IF('5. Gantt EQUIFILLES'!B39="","",'5. Gantt EQUIFILLES'!K39)</f>
        <v/>
      </c>
      <c r="J35" s="168" t="str">
        <f aca="false">IF('5. Gantt EQUIFILLES'!B39="","",'5. Gantt EQUIFILLES'!M39)</f>
        <v/>
      </c>
      <c r="K35" s="168" t="str">
        <f aca="false">IF('5. Gantt EQUIFILLES'!B39="","",'5. Gantt EQUIFILLES'!N39)</f>
        <v/>
      </c>
      <c r="L35" s="169" t="str">
        <f aca="false">IF('5. Gantt EQUIFILLES'!B39="","",'5. Gantt EQUIFILLES'!O39)</f>
        <v/>
      </c>
      <c r="M35" s="169" t="str">
        <f aca="false">IF('5. Gantt EQUIFILLES'!B39="","",'5. Gantt EQUIFILLES'!P39)</f>
        <v/>
      </c>
      <c r="N35" s="1" t="str">
        <f aca="false">IF('5. Gantt EQUIFILLES'!B39="","",'5. Gantt EQUIFILLES'!Q39)</f>
        <v/>
      </c>
      <c r="O35" s="1" t="str">
        <f aca="false">IF('5. Gantt EQUIFILLES'!B39="","",'5. Gantt EQUIFILLES'!R39)</f>
        <v/>
      </c>
      <c r="P35" s="1" t="str">
        <f aca="false">IF('5. Gantt EQUIFILLES'!B39="","",'5. Gantt EQUIFILLES'!S39)</f>
        <v/>
      </c>
      <c r="Q35" s="1" t="str">
        <f aca="false">IF('5. Gantt EQUIFILLES'!B39="","",'5. Gantt EQUIFILLES'!T39)</f>
        <v/>
      </c>
      <c r="R35" s="1" t="str">
        <f aca="false">IF('5. Gantt EQUIFILLES'!B39="","",'5. Gantt EQUIFILLES'!U39)</f>
        <v/>
      </c>
    </row>
    <row r="36" customFormat="false" ht="15" hidden="false" customHeight="true" outlineLevel="0" collapsed="false">
      <c r="A36" s="1" t="str">
        <f aca="false">IF('5. Gantt EQUIFILLES'!B40="","","EQUIFILLES")</f>
        <v/>
      </c>
      <c r="B36" s="1" t="str">
        <f aca="false">IF('5. Gantt EQUIFILLES'!B40="","",'5. Gantt EQUIFILLES'!B40)</f>
        <v/>
      </c>
      <c r="C36" s="1" t="str">
        <f aca="false">IF('5. Gantt EQUIFILLES'!B40="","",'5. Gantt EQUIFILLES'!C40)</f>
        <v/>
      </c>
      <c r="D36" s="1" t="str">
        <f aca="false">IF('5. Gantt EQUIFILLES'!B40="","",'5. Gantt EQUIFILLES'!D40)</f>
        <v/>
      </c>
      <c r="E36" s="1" t="str">
        <f aca="false">IF('5. Gantt EQUIFILLES'!B40="","",'5. Gantt EQUIFILLES'!E40)</f>
        <v/>
      </c>
      <c r="F36" s="1" t="str">
        <f aca="false">IF('5. Gantt EQUIFILLES'!B40="","",'5. Gantt EQUIFILLES'!G40)</f>
        <v/>
      </c>
      <c r="G36" s="167" t="str">
        <f aca="false">IF('5. Gantt EQUIFILLES'!B40="","",'5. Gantt EQUIFILLES'!H40)</f>
        <v/>
      </c>
      <c r="H36" s="167" t="str">
        <f aca="false">IF('5. Gantt EQUIFILLES'!B40="","",'5. Gantt EQUIFILLES'!I40)</f>
        <v/>
      </c>
      <c r="I36" s="167" t="str">
        <f aca="false">IF('5. Gantt EQUIFILLES'!B40="","",'5. Gantt EQUIFILLES'!K40)</f>
        <v/>
      </c>
      <c r="J36" s="168" t="str">
        <f aca="false">IF('5. Gantt EQUIFILLES'!B40="","",'5. Gantt EQUIFILLES'!M40)</f>
        <v/>
      </c>
      <c r="K36" s="168" t="str">
        <f aca="false">IF('5. Gantt EQUIFILLES'!B40="","",'5. Gantt EQUIFILLES'!N40)</f>
        <v/>
      </c>
      <c r="L36" s="169" t="str">
        <f aca="false">IF('5. Gantt EQUIFILLES'!B40="","",'5. Gantt EQUIFILLES'!O40)</f>
        <v/>
      </c>
      <c r="M36" s="169" t="str">
        <f aca="false">IF('5. Gantt EQUIFILLES'!B40="","",'5. Gantt EQUIFILLES'!P40)</f>
        <v/>
      </c>
      <c r="N36" s="1" t="str">
        <f aca="false">IF('5. Gantt EQUIFILLES'!B40="","",'5. Gantt EQUIFILLES'!Q40)</f>
        <v/>
      </c>
      <c r="O36" s="1" t="str">
        <f aca="false">IF('5. Gantt EQUIFILLES'!B40="","",'5. Gantt EQUIFILLES'!R40)</f>
        <v/>
      </c>
      <c r="P36" s="1" t="str">
        <f aca="false">IF('5. Gantt EQUIFILLES'!B40="","",'5. Gantt EQUIFILLES'!S40)</f>
        <v/>
      </c>
      <c r="Q36" s="1" t="str">
        <f aca="false">IF('5. Gantt EQUIFILLES'!B40="","",'5. Gantt EQUIFILLES'!T40)</f>
        <v/>
      </c>
      <c r="R36" s="1" t="str">
        <f aca="false">IF('5. Gantt EQUIFILLES'!B40="","",'5. Gantt EQUIFILLES'!U40)</f>
        <v/>
      </c>
    </row>
    <row r="37" customFormat="false" ht="15" hidden="false" customHeight="true" outlineLevel="0" collapsed="false">
      <c r="A37" s="1" t="str">
        <f aca="false">IF('5. Gantt EQUIFILLES'!B41="","","EQUIFILLES")</f>
        <v/>
      </c>
      <c r="B37" s="1" t="str">
        <f aca="false">IF('5. Gantt EQUIFILLES'!B41="","",'5. Gantt EQUIFILLES'!B41)</f>
        <v/>
      </c>
      <c r="C37" s="1" t="str">
        <f aca="false">IF('5. Gantt EQUIFILLES'!B41="","",'5. Gantt EQUIFILLES'!C41)</f>
        <v/>
      </c>
      <c r="D37" s="1" t="str">
        <f aca="false">IF('5. Gantt EQUIFILLES'!B41="","",'5. Gantt EQUIFILLES'!D41)</f>
        <v/>
      </c>
      <c r="E37" s="1" t="str">
        <f aca="false">IF('5. Gantt EQUIFILLES'!B41="","",'5. Gantt EQUIFILLES'!E41)</f>
        <v/>
      </c>
      <c r="F37" s="1" t="str">
        <f aca="false">IF('5. Gantt EQUIFILLES'!B41="","",'5. Gantt EQUIFILLES'!G41)</f>
        <v/>
      </c>
      <c r="G37" s="167" t="str">
        <f aca="false">IF('5. Gantt EQUIFILLES'!B41="","",'5. Gantt EQUIFILLES'!H41)</f>
        <v/>
      </c>
      <c r="H37" s="167" t="str">
        <f aca="false">IF('5. Gantt EQUIFILLES'!B41="","",'5. Gantt EQUIFILLES'!I41)</f>
        <v/>
      </c>
      <c r="I37" s="167" t="str">
        <f aca="false">IF('5. Gantt EQUIFILLES'!B41="","",'5. Gantt EQUIFILLES'!K41)</f>
        <v/>
      </c>
      <c r="J37" s="168" t="str">
        <f aca="false">IF('5. Gantt EQUIFILLES'!B41="","",'5. Gantt EQUIFILLES'!M41)</f>
        <v/>
      </c>
      <c r="K37" s="168" t="str">
        <f aca="false">IF('5. Gantt EQUIFILLES'!B41="","",'5. Gantt EQUIFILLES'!N41)</f>
        <v/>
      </c>
      <c r="L37" s="169" t="str">
        <f aca="false">IF('5. Gantt EQUIFILLES'!B41="","",'5. Gantt EQUIFILLES'!O41)</f>
        <v/>
      </c>
      <c r="M37" s="169" t="str">
        <f aca="false">IF('5. Gantt EQUIFILLES'!B41="","",'5. Gantt EQUIFILLES'!P41)</f>
        <v/>
      </c>
      <c r="N37" s="1" t="str">
        <f aca="false">IF('5. Gantt EQUIFILLES'!B41="","",'5. Gantt EQUIFILLES'!Q41)</f>
        <v/>
      </c>
      <c r="O37" s="1" t="str">
        <f aca="false">IF('5. Gantt EQUIFILLES'!B41="","",'5. Gantt EQUIFILLES'!R41)</f>
        <v/>
      </c>
      <c r="P37" s="1" t="str">
        <f aca="false">IF('5. Gantt EQUIFILLES'!B41="","",'5. Gantt EQUIFILLES'!S41)</f>
        <v/>
      </c>
      <c r="Q37" s="1" t="str">
        <f aca="false">IF('5. Gantt EQUIFILLES'!B41="","",'5. Gantt EQUIFILLES'!T41)</f>
        <v/>
      </c>
      <c r="R37" s="1" t="str">
        <f aca="false">IF('5. Gantt EQUIFILLES'!B41="","",'5. Gantt EQUIFILLES'!U41)</f>
        <v/>
      </c>
    </row>
    <row r="38" customFormat="false" ht="15" hidden="false" customHeight="true" outlineLevel="0" collapsed="false">
      <c r="A38" s="1" t="str">
        <f aca="false">IF('5. Gantt EQUIFILLES'!B42="","","EQUIFILLES")</f>
        <v/>
      </c>
      <c r="B38" s="1" t="str">
        <f aca="false">IF('5. Gantt EQUIFILLES'!B42="","",'5. Gantt EQUIFILLES'!B42)</f>
        <v/>
      </c>
      <c r="C38" s="1" t="str">
        <f aca="false">IF('5. Gantt EQUIFILLES'!B42="","",'5. Gantt EQUIFILLES'!C42)</f>
        <v/>
      </c>
      <c r="D38" s="1" t="str">
        <f aca="false">IF('5. Gantt EQUIFILLES'!B42="","",'5. Gantt EQUIFILLES'!D42)</f>
        <v/>
      </c>
      <c r="E38" s="1" t="str">
        <f aca="false">IF('5. Gantt EQUIFILLES'!B42="","",'5. Gantt EQUIFILLES'!E42)</f>
        <v/>
      </c>
      <c r="F38" s="1" t="str">
        <f aca="false">IF('5. Gantt EQUIFILLES'!B42="","",'5. Gantt EQUIFILLES'!G42)</f>
        <v/>
      </c>
      <c r="G38" s="167" t="str">
        <f aca="false">IF('5. Gantt EQUIFILLES'!B42="","",'5. Gantt EQUIFILLES'!H42)</f>
        <v/>
      </c>
      <c r="H38" s="167" t="str">
        <f aca="false">IF('5. Gantt EQUIFILLES'!B42="","",'5. Gantt EQUIFILLES'!I42)</f>
        <v/>
      </c>
      <c r="I38" s="167" t="str">
        <f aca="false">IF('5. Gantt EQUIFILLES'!B42="","",'5. Gantt EQUIFILLES'!K42)</f>
        <v/>
      </c>
      <c r="J38" s="168" t="str">
        <f aca="false">IF('5. Gantt EQUIFILLES'!B42="","",'5. Gantt EQUIFILLES'!M42)</f>
        <v/>
      </c>
      <c r="K38" s="168" t="str">
        <f aca="false">IF('5. Gantt EQUIFILLES'!B42="","",'5. Gantt EQUIFILLES'!N42)</f>
        <v/>
      </c>
      <c r="L38" s="169" t="str">
        <f aca="false">IF('5. Gantt EQUIFILLES'!B42="","",'5. Gantt EQUIFILLES'!O42)</f>
        <v/>
      </c>
      <c r="M38" s="169" t="str">
        <f aca="false">IF('5. Gantt EQUIFILLES'!B42="","",'5. Gantt EQUIFILLES'!P42)</f>
        <v/>
      </c>
      <c r="N38" s="1" t="str">
        <f aca="false">IF('5. Gantt EQUIFILLES'!B42="","",'5. Gantt EQUIFILLES'!Q42)</f>
        <v/>
      </c>
      <c r="O38" s="1" t="str">
        <f aca="false">IF('5. Gantt EQUIFILLES'!B42="","",'5. Gantt EQUIFILLES'!R42)</f>
        <v/>
      </c>
      <c r="P38" s="1" t="str">
        <f aca="false">IF('5. Gantt EQUIFILLES'!B42="","",'5. Gantt EQUIFILLES'!S42)</f>
        <v/>
      </c>
      <c r="Q38" s="1" t="str">
        <f aca="false">IF('5. Gantt EQUIFILLES'!B42="","",'5. Gantt EQUIFILLES'!T42)</f>
        <v/>
      </c>
      <c r="R38" s="1" t="str">
        <f aca="false">IF('5. Gantt EQUIFILLES'!B42="","",'5. Gantt EQUIFILLES'!U42)</f>
        <v/>
      </c>
    </row>
    <row r="39" customFormat="false" ht="15" hidden="false" customHeight="true" outlineLevel="0" collapsed="false">
      <c r="A39" s="1" t="str">
        <f aca="false">IF('5. Gantt EQUIFILLES'!B43="","","EQUIFILLES")</f>
        <v/>
      </c>
      <c r="B39" s="1" t="str">
        <f aca="false">IF('5. Gantt EQUIFILLES'!B43="","",'5. Gantt EQUIFILLES'!B43)</f>
        <v/>
      </c>
      <c r="C39" s="1" t="str">
        <f aca="false">IF('5. Gantt EQUIFILLES'!B43="","",'5. Gantt EQUIFILLES'!C43)</f>
        <v/>
      </c>
      <c r="D39" s="1" t="str">
        <f aca="false">IF('5. Gantt EQUIFILLES'!B43="","",'5. Gantt EQUIFILLES'!D43)</f>
        <v/>
      </c>
      <c r="E39" s="1" t="str">
        <f aca="false">IF('5. Gantt EQUIFILLES'!B43="","",'5. Gantt EQUIFILLES'!E43)</f>
        <v/>
      </c>
      <c r="F39" s="1" t="str">
        <f aca="false">IF('5. Gantt EQUIFILLES'!B43="","",'5. Gantt EQUIFILLES'!G43)</f>
        <v/>
      </c>
      <c r="G39" s="167" t="str">
        <f aca="false">IF('5. Gantt EQUIFILLES'!B43="","",'5. Gantt EQUIFILLES'!H43)</f>
        <v/>
      </c>
      <c r="H39" s="167" t="str">
        <f aca="false">IF('5. Gantt EQUIFILLES'!B43="","",'5. Gantt EQUIFILLES'!I43)</f>
        <v/>
      </c>
      <c r="I39" s="167" t="str">
        <f aca="false">IF('5. Gantt EQUIFILLES'!B43="","",'5. Gantt EQUIFILLES'!K43)</f>
        <v/>
      </c>
      <c r="J39" s="168" t="str">
        <f aca="false">IF('5. Gantt EQUIFILLES'!B43="","",'5. Gantt EQUIFILLES'!M43)</f>
        <v/>
      </c>
      <c r="K39" s="168" t="str">
        <f aca="false">IF('5. Gantt EQUIFILLES'!B43="","",'5. Gantt EQUIFILLES'!N43)</f>
        <v/>
      </c>
      <c r="L39" s="169" t="str">
        <f aca="false">IF('5. Gantt EQUIFILLES'!B43="","",'5. Gantt EQUIFILLES'!O43)</f>
        <v/>
      </c>
      <c r="M39" s="169" t="str">
        <f aca="false">IF('5. Gantt EQUIFILLES'!B43="","",'5. Gantt EQUIFILLES'!P43)</f>
        <v/>
      </c>
      <c r="N39" s="1" t="str">
        <f aca="false">IF('5. Gantt EQUIFILLES'!B43="","",'5. Gantt EQUIFILLES'!Q43)</f>
        <v/>
      </c>
      <c r="O39" s="1" t="str">
        <f aca="false">IF('5. Gantt EQUIFILLES'!B43="","",'5. Gantt EQUIFILLES'!R43)</f>
        <v/>
      </c>
      <c r="P39" s="1" t="str">
        <f aca="false">IF('5. Gantt EQUIFILLES'!B43="","",'5. Gantt EQUIFILLES'!S43)</f>
        <v/>
      </c>
      <c r="Q39" s="1" t="str">
        <f aca="false">IF('5. Gantt EQUIFILLES'!B43="","",'5. Gantt EQUIFILLES'!T43)</f>
        <v/>
      </c>
      <c r="R39" s="1" t="str">
        <f aca="false">IF('5. Gantt EQUIFILLES'!B43="","",'5. Gantt EQUIFILLES'!U43)</f>
        <v/>
      </c>
    </row>
    <row r="40" customFormat="false" ht="15" hidden="false" customHeight="true" outlineLevel="0" collapsed="false">
      <c r="A40" s="1" t="str">
        <f aca="false">IF('5. Gantt EQUIFILLES'!B44="","","EQUIFILLES")</f>
        <v/>
      </c>
      <c r="B40" s="1" t="str">
        <f aca="false">IF('5. Gantt EQUIFILLES'!B44="","",'5. Gantt EQUIFILLES'!B44)</f>
        <v/>
      </c>
      <c r="C40" s="1" t="str">
        <f aca="false">IF('5. Gantt EQUIFILLES'!B44="","",'5. Gantt EQUIFILLES'!C44)</f>
        <v/>
      </c>
      <c r="D40" s="1" t="str">
        <f aca="false">IF('5. Gantt EQUIFILLES'!B44="","",'5. Gantt EQUIFILLES'!D44)</f>
        <v/>
      </c>
      <c r="E40" s="1" t="str">
        <f aca="false">IF('5. Gantt EQUIFILLES'!B44="","",'5. Gantt EQUIFILLES'!E44)</f>
        <v/>
      </c>
      <c r="F40" s="1" t="str">
        <f aca="false">IF('5. Gantt EQUIFILLES'!B44="","",'5. Gantt EQUIFILLES'!G44)</f>
        <v/>
      </c>
      <c r="G40" s="167" t="str">
        <f aca="false">IF('5. Gantt EQUIFILLES'!B44="","",'5. Gantt EQUIFILLES'!H44)</f>
        <v/>
      </c>
      <c r="H40" s="167" t="str">
        <f aca="false">IF('5. Gantt EQUIFILLES'!B44="","",'5. Gantt EQUIFILLES'!I44)</f>
        <v/>
      </c>
      <c r="I40" s="167" t="str">
        <f aca="false">IF('5. Gantt EQUIFILLES'!B44="","",'5. Gantt EQUIFILLES'!K44)</f>
        <v/>
      </c>
      <c r="J40" s="168" t="str">
        <f aca="false">IF('5. Gantt EQUIFILLES'!B44="","",'5. Gantt EQUIFILLES'!M44)</f>
        <v/>
      </c>
      <c r="K40" s="168" t="str">
        <f aca="false">IF('5. Gantt EQUIFILLES'!B44="","",'5. Gantt EQUIFILLES'!N44)</f>
        <v/>
      </c>
      <c r="L40" s="169" t="str">
        <f aca="false">IF('5. Gantt EQUIFILLES'!B44="","",'5. Gantt EQUIFILLES'!O44)</f>
        <v/>
      </c>
      <c r="M40" s="169" t="str">
        <f aca="false">IF('5. Gantt EQUIFILLES'!B44="","",'5. Gantt EQUIFILLES'!P44)</f>
        <v/>
      </c>
      <c r="N40" s="1" t="str">
        <f aca="false">IF('5. Gantt EQUIFILLES'!B44="","",'5. Gantt EQUIFILLES'!Q44)</f>
        <v/>
      </c>
      <c r="O40" s="1" t="str">
        <f aca="false">IF('5. Gantt EQUIFILLES'!B44="","",'5. Gantt EQUIFILLES'!R44)</f>
        <v/>
      </c>
      <c r="P40" s="1" t="str">
        <f aca="false">IF('5. Gantt EQUIFILLES'!B44="","",'5. Gantt EQUIFILLES'!S44)</f>
        <v/>
      </c>
      <c r="Q40" s="1" t="str">
        <f aca="false">IF('5. Gantt EQUIFILLES'!B44="","",'5. Gantt EQUIFILLES'!T44)</f>
        <v/>
      </c>
      <c r="R40" s="1" t="str">
        <f aca="false">IF('5. Gantt EQUIFILLES'!B44="","",'5. Gantt EQUIFILLES'!U44)</f>
        <v/>
      </c>
    </row>
    <row r="41" customFormat="false" ht="15" hidden="false" customHeight="true" outlineLevel="0" collapsed="false">
      <c r="A41" s="1" t="str">
        <f aca="false">IF('5. Gantt EQUIFILLES'!B45="","","EQUIFILLES")</f>
        <v/>
      </c>
      <c r="B41" s="1" t="str">
        <f aca="false">IF('5. Gantt EQUIFILLES'!B45="","",'5. Gantt EQUIFILLES'!B45)</f>
        <v/>
      </c>
      <c r="C41" s="1" t="str">
        <f aca="false">IF('5. Gantt EQUIFILLES'!B45="","",'5. Gantt EQUIFILLES'!C45)</f>
        <v/>
      </c>
      <c r="D41" s="1" t="str">
        <f aca="false">IF('5. Gantt EQUIFILLES'!B45="","",'5. Gantt EQUIFILLES'!D45)</f>
        <v/>
      </c>
      <c r="E41" s="1" t="str">
        <f aca="false">IF('5. Gantt EQUIFILLES'!B45="","",'5. Gantt EQUIFILLES'!E45)</f>
        <v/>
      </c>
      <c r="F41" s="1" t="str">
        <f aca="false">IF('5. Gantt EQUIFILLES'!B45="","",'5. Gantt EQUIFILLES'!G45)</f>
        <v/>
      </c>
      <c r="G41" s="167" t="str">
        <f aca="false">IF('5. Gantt EQUIFILLES'!B45="","",'5. Gantt EQUIFILLES'!H45)</f>
        <v/>
      </c>
      <c r="H41" s="167" t="str">
        <f aca="false">IF('5. Gantt EQUIFILLES'!B45="","",'5. Gantt EQUIFILLES'!I45)</f>
        <v/>
      </c>
      <c r="I41" s="167" t="str">
        <f aca="false">IF('5. Gantt EQUIFILLES'!B45="","",'5. Gantt EQUIFILLES'!K45)</f>
        <v/>
      </c>
      <c r="J41" s="168" t="str">
        <f aca="false">IF('5. Gantt EQUIFILLES'!B45="","",'5. Gantt EQUIFILLES'!M45)</f>
        <v/>
      </c>
      <c r="K41" s="168" t="str">
        <f aca="false">IF('5. Gantt EQUIFILLES'!B45="","",'5. Gantt EQUIFILLES'!N45)</f>
        <v/>
      </c>
      <c r="L41" s="169" t="str">
        <f aca="false">IF('5. Gantt EQUIFILLES'!B45="","",'5. Gantt EQUIFILLES'!O45)</f>
        <v/>
      </c>
      <c r="M41" s="169" t="str">
        <f aca="false">IF('5. Gantt EQUIFILLES'!B45="","",'5. Gantt EQUIFILLES'!P45)</f>
        <v/>
      </c>
      <c r="N41" s="1" t="str">
        <f aca="false">IF('5. Gantt EQUIFILLES'!B45="","",'5. Gantt EQUIFILLES'!Q45)</f>
        <v/>
      </c>
      <c r="O41" s="1" t="str">
        <f aca="false">IF('5. Gantt EQUIFILLES'!B45="","",'5. Gantt EQUIFILLES'!R45)</f>
        <v/>
      </c>
      <c r="P41" s="1" t="str">
        <f aca="false">IF('5. Gantt EQUIFILLES'!B45="","",'5. Gantt EQUIFILLES'!S45)</f>
        <v/>
      </c>
      <c r="Q41" s="1" t="str">
        <f aca="false">IF('5. Gantt EQUIFILLES'!B45="","",'5. Gantt EQUIFILLES'!T45)</f>
        <v/>
      </c>
      <c r="R41" s="1" t="str">
        <f aca="false">IF('5. Gantt EQUIFILLES'!B45="","",'5. Gantt EQUIFILLES'!U45)</f>
        <v/>
      </c>
    </row>
    <row r="42" customFormat="false" ht="15" hidden="false" customHeight="true" outlineLevel="0" collapsed="false">
      <c r="A42" s="1" t="str">
        <f aca="false">IF('5. Gantt EQUIFILLES'!B46="","","EQUIFILLES")</f>
        <v/>
      </c>
      <c r="B42" s="1" t="str">
        <f aca="false">IF('5. Gantt EQUIFILLES'!B46="","",'5. Gantt EQUIFILLES'!B46)</f>
        <v/>
      </c>
      <c r="C42" s="1" t="str">
        <f aca="false">IF('5. Gantt EQUIFILLES'!B46="","",'5. Gantt EQUIFILLES'!C46)</f>
        <v/>
      </c>
      <c r="D42" s="1" t="str">
        <f aca="false">IF('5. Gantt EQUIFILLES'!B46="","",'5. Gantt EQUIFILLES'!D46)</f>
        <v/>
      </c>
      <c r="E42" s="1" t="str">
        <f aca="false">IF('5. Gantt EQUIFILLES'!B46="","",'5. Gantt EQUIFILLES'!E46)</f>
        <v/>
      </c>
      <c r="F42" s="1" t="str">
        <f aca="false">IF('5. Gantt EQUIFILLES'!B46="","",'5. Gantt EQUIFILLES'!G46)</f>
        <v/>
      </c>
      <c r="G42" s="167" t="str">
        <f aca="false">IF('5. Gantt EQUIFILLES'!B46="","",'5. Gantt EQUIFILLES'!H46)</f>
        <v/>
      </c>
      <c r="H42" s="167" t="str">
        <f aca="false">IF('5. Gantt EQUIFILLES'!B46="","",'5. Gantt EQUIFILLES'!I46)</f>
        <v/>
      </c>
      <c r="I42" s="167" t="str">
        <f aca="false">IF('5. Gantt EQUIFILLES'!B46="","",'5. Gantt EQUIFILLES'!K46)</f>
        <v/>
      </c>
      <c r="J42" s="168" t="str">
        <f aca="false">IF('5. Gantt EQUIFILLES'!B46="","",'5. Gantt EQUIFILLES'!M46)</f>
        <v/>
      </c>
      <c r="K42" s="168" t="str">
        <f aca="false">IF('5. Gantt EQUIFILLES'!B46="","",'5. Gantt EQUIFILLES'!N46)</f>
        <v/>
      </c>
      <c r="L42" s="169" t="str">
        <f aca="false">IF('5. Gantt EQUIFILLES'!B46="","",'5. Gantt EQUIFILLES'!O46)</f>
        <v/>
      </c>
      <c r="M42" s="169" t="str">
        <f aca="false">IF('5. Gantt EQUIFILLES'!B46="","",'5. Gantt EQUIFILLES'!P46)</f>
        <v/>
      </c>
      <c r="N42" s="1" t="str">
        <f aca="false">IF('5. Gantt EQUIFILLES'!B46="","",'5. Gantt EQUIFILLES'!Q46)</f>
        <v/>
      </c>
      <c r="O42" s="1" t="str">
        <f aca="false">IF('5. Gantt EQUIFILLES'!B46="","",'5. Gantt EQUIFILLES'!R46)</f>
        <v/>
      </c>
      <c r="P42" s="1" t="str">
        <f aca="false">IF('5. Gantt EQUIFILLES'!B46="","",'5. Gantt EQUIFILLES'!S46)</f>
        <v/>
      </c>
      <c r="Q42" s="1" t="str">
        <f aca="false">IF('5. Gantt EQUIFILLES'!B46="","",'5. Gantt EQUIFILLES'!T46)</f>
        <v/>
      </c>
      <c r="R42" s="1" t="str">
        <f aca="false">IF('5. Gantt EQUIFILLES'!B46="","",'5. Gantt EQUIFILLES'!U46)</f>
        <v/>
      </c>
    </row>
    <row r="43" customFormat="false" ht="15" hidden="false" customHeight="true" outlineLevel="0" collapsed="false">
      <c r="A43" s="1" t="str">
        <f aca="false">IF('5. Gantt EQUIFILLES'!B47="","","EQUIFILLES")</f>
        <v/>
      </c>
      <c r="B43" s="1" t="str">
        <f aca="false">IF('5. Gantt EQUIFILLES'!B47="","",'5. Gantt EQUIFILLES'!B47)</f>
        <v/>
      </c>
      <c r="C43" s="1" t="str">
        <f aca="false">IF('5. Gantt EQUIFILLES'!B47="","",'5. Gantt EQUIFILLES'!C47)</f>
        <v/>
      </c>
      <c r="D43" s="1" t="str">
        <f aca="false">IF('5. Gantt EQUIFILLES'!B47="","",'5. Gantt EQUIFILLES'!D47)</f>
        <v/>
      </c>
      <c r="E43" s="1" t="str">
        <f aca="false">IF('5. Gantt EQUIFILLES'!B47="","",'5. Gantt EQUIFILLES'!E47)</f>
        <v/>
      </c>
      <c r="F43" s="1" t="str">
        <f aca="false">IF('5. Gantt EQUIFILLES'!B47="","",'5. Gantt EQUIFILLES'!G47)</f>
        <v/>
      </c>
      <c r="G43" s="167" t="str">
        <f aca="false">IF('5. Gantt EQUIFILLES'!B47="","",'5. Gantt EQUIFILLES'!H47)</f>
        <v/>
      </c>
      <c r="H43" s="167" t="str">
        <f aca="false">IF('5. Gantt EQUIFILLES'!B47="","",'5. Gantt EQUIFILLES'!I47)</f>
        <v/>
      </c>
      <c r="I43" s="167" t="str">
        <f aca="false">IF('5. Gantt EQUIFILLES'!B47="","",'5. Gantt EQUIFILLES'!K47)</f>
        <v/>
      </c>
      <c r="J43" s="168" t="str">
        <f aca="false">IF('5. Gantt EQUIFILLES'!B47="","",'5. Gantt EQUIFILLES'!M47)</f>
        <v/>
      </c>
      <c r="K43" s="168" t="str">
        <f aca="false">IF('5. Gantt EQUIFILLES'!B47="","",'5. Gantt EQUIFILLES'!N47)</f>
        <v/>
      </c>
      <c r="L43" s="169" t="str">
        <f aca="false">IF('5. Gantt EQUIFILLES'!B47="","",'5. Gantt EQUIFILLES'!O47)</f>
        <v/>
      </c>
      <c r="M43" s="169" t="str">
        <f aca="false">IF('5. Gantt EQUIFILLES'!B47="","",'5. Gantt EQUIFILLES'!P47)</f>
        <v/>
      </c>
      <c r="N43" s="1" t="str">
        <f aca="false">IF('5. Gantt EQUIFILLES'!B47="","",'5. Gantt EQUIFILLES'!Q47)</f>
        <v/>
      </c>
      <c r="O43" s="1" t="str">
        <f aca="false">IF('5. Gantt EQUIFILLES'!B47="","",'5. Gantt EQUIFILLES'!R47)</f>
        <v/>
      </c>
      <c r="P43" s="1" t="str">
        <f aca="false">IF('5. Gantt EQUIFILLES'!B47="","",'5. Gantt EQUIFILLES'!S47)</f>
        <v/>
      </c>
      <c r="Q43" s="1" t="str">
        <f aca="false">IF('5. Gantt EQUIFILLES'!B47="","",'5. Gantt EQUIFILLES'!T47)</f>
        <v/>
      </c>
      <c r="R43" s="1" t="str">
        <f aca="false">IF('5. Gantt EQUIFILLES'!B47="","",'5. Gantt EQUIFILLES'!U47)</f>
        <v/>
      </c>
    </row>
    <row r="44" customFormat="false" ht="15" hidden="false" customHeight="true" outlineLevel="0" collapsed="false">
      <c r="A44" s="1" t="str">
        <f aca="false">IF('5. Gantt EQUIFILLES'!B48="","","EQUIFILLES")</f>
        <v/>
      </c>
      <c r="B44" s="1" t="str">
        <f aca="false">IF('5. Gantt EQUIFILLES'!B48="","",'5. Gantt EQUIFILLES'!B48)</f>
        <v/>
      </c>
      <c r="C44" s="1" t="str">
        <f aca="false">IF('5. Gantt EQUIFILLES'!B48="","",'5. Gantt EQUIFILLES'!C48)</f>
        <v/>
      </c>
      <c r="D44" s="1" t="str">
        <f aca="false">IF('5. Gantt EQUIFILLES'!B48="","",'5. Gantt EQUIFILLES'!D48)</f>
        <v/>
      </c>
      <c r="E44" s="1" t="str">
        <f aca="false">IF('5. Gantt EQUIFILLES'!B48="","",'5. Gantt EQUIFILLES'!E48)</f>
        <v/>
      </c>
      <c r="F44" s="1" t="str">
        <f aca="false">IF('5. Gantt EQUIFILLES'!B48="","",'5. Gantt EQUIFILLES'!G48)</f>
        <v/>
      </c>
      <c r="G44" s="167" t="str">
        <f aca="false">IF('5. Gantt EQUIFILLES'!B48="","",'5. Gantt EQUIFILLES'!H48)</f>
        <v/>
      </c>
      <c r="H44" s="167" t="str">
        <f aca="false">IF('5. Gantt EQUIFILLES'!B48="","",'5. Gantt EQUIFILLES'!I48)</f>
        <v/>
      </c>
      <c r="I44" s="167" t="str">
        <f aca="false">IF('5. Gantt EQUIFILLES'!B48="","",'5. Gantt EQUIFILLES'!K48)</f>
        <v/>
      </c>
      <c r="J44" s="168" t="str">
        <f aca="false">IF('5. Gantt EQUIFILLES'!B48="","",'5. Gantt EQUIFILLES'!M48)</f>
        <v/>
      </c>
      <c r="K44" s="168" t="str">
        <f aca="false">IF('5. Gantt EQUIFILLES'!B48="","",'5. Gantt EQUIFILLES'!N48)</f>
        <v/>
      </c>
      <c r="L44" s="169" t="str">
        <f aca="false">IF('5. Gantt EQUIFILLES'!B48="","",'5. Gantt EQUIFILLES'!O48)</f>
        <v/>
      </c>
      <c r="M44" s="169" t="str">
        <f aca="false">IF('5. Gantt EQUIFILLES'!B48="","",'5. Gantt EQUIFILLES'!P48)</f>
        <v/>
      </c>
      <c r="N44" s="1" t="str">
        <f aca="false">IF('5. Gantt EQUIFILLES'!B48="","",'5. Gantt EQUIFILLES'!Q48)</f>
        <v/>
      </c>
      <c r="O44" s="1" t="str">
        <f aca="false">IF('5. Gantt EQUIFILLES'!B48="","",'5. Gantt EQUIFILLES'!R48)</f>
        <v/>
      </c>
      <c r="P44" s="1" t="str">
        <f aca="false">IF('5. Gantt EQUIFILLES'!B48="","",'5. Gantt EQUIFILLES'!S48)</f>
        <v/>
      </c>
      <c r="Q44" s="1" t="str">
        <f aca="false">IF('5. Gantt EQUIFILLES'!B48="","",'5. Gantt EQUIFILLES'!T48)</f>
        <v/>
      </c>
      <c r="R44" s="1" t="str">
        <f aca="false">IF('5. Gantt EQUIFILLES'!B48="","",'5. Gantt EQUIFILLES'!U48)</f>
        <v/>
      </c>
    </row>
    <row r="45" customFormat="false" ht="15" hidden="false" customHeight="true" outlineLevel="0" collapsed="false">
      <c r="A45" s="1" t="str">
        <f aca="false">IF('5. Gantt EQUIFILLES'!B49="","","EQUIFILLES")</f>
        <v/>
      </c>
      <c r="B45" s="1" t="str">
        <f aca="false">IF('5. Gantt EQUIFILLES'!B49="","",'5. Gantt EQUIFILLES'!B49)</f>
        <v/>
      </c>
      <c r="C45" s="1" t="str">
        <f aca="false">IF('5. Gantt EQUIFILLES'!B49="","",'5. Gantt EQUIFILLES'!C49)</f>
        <v/>
      </c>
      <c r="D45" s="1" t="str">
        <f aca="false">IF('5. Gantt EQUIFILLES'!B49="","",'5. Gantt EQUIFILLES'!D49)</f>
        <v/>
      </c>
      <c r="E45" s="1" t="str">
        <f aca="false">IF('5. Gantt EQUIFILLES'!B49="","",'5. Gantt EQUIFILLES'!E49)</f>
        <v/>
      </c>
      <c r="F45" s="1" t="str">
        <f aca="false">IF('5. Gantt EQUIFILLES'!B49="","",'5. Gantt EQUIFILLES'!G49)</f>
        <v/>
      </c>
      <c r="G45" s="167" t="str">
        <f aca="false">IF('5. Gantt EQUIFILLES'!B49="","",'5. Gantt EQUIFILLES'!H49)</f>
        <v/>
      </c>
      <c r="H45" s="167" t="str">
        <f aca="false">IF('5. Gantt EQUIFILLES'!B49="","",'5. Gantt EQUIFILLES'!I49)</f>
        <v/>
      </c>
      <c r="I45" s="167" t="str">
        <f aca="false">IF('5. Gantt EQUIFILLES'!B49="","",'5. Gantt EQUIFILLES'!K49)</f>
        <v/>
      </c>
      <c r="J45" s="168" t="str">
        <f aca="false">IF('5. Gantt EQUIFILLES'!B49="","",'5. Gantt EQUIFILLES'!M49)</f>
        <v/>
      </c>
      <c r="K45" s="168" t="str">
        <f aca="false">IF('5. Gantt EQUIFILLES'!B49="","",'5. Gantt EQUIFILLES'!N49)</f>
        <v/>
      </c>
      <c r="L45" s="169" t="str">
        <f aca="false">IF('5. Gantt EQUIFILLES'!B49="","",'5. Gantt EQUIFILLES'!O49)</f>
        <v/>
      </c>
      <c r="M45" s="169" t="str">
        <f aca="false">IF('5. Gantt EQUIFILLES'!B49="","",'5. Gantt EQUIFILLES'!P49)</f>
        <v/>
      </c>
      <c r="N45" s="1" t="str">
        <f aca="false">IF('5. Gantt EQUIFILLES'!B49="","",'5. Gantt EQUIFILLES'!Q49)</f>
        <v/>
      </c>
      <c r="O45" s="1" t="str">
        <f aca="false">IF('5. Gantt EQUIFILLES'!B49="","",'5. Gantt EQUIFILLES'!R49)</f>
        <v/>
      </c>
      <c r="P45" s="1" t="str">
        <f aca="false">IF('5. Gantt EQUIFILLES'!B49="","",'5. Gantt EQUIFILLES'!S49)</f>
        <v/>
      </c>
      <c r="Q45" s="1" t="str">
        <f aca="false">IF('5. Gantt EQUIFILLES'!B49="","",'5. Gantt EQUIFILLES'!T49)</f>
        <v/>
      </c>
      <c r="R45" s="1" t="str">
        <f aca="false">IF('5. Gantt EQUIFILLES'!B49="","",'5. Gantt EQUIFILLES'!U49)</f>
        <v/>
      </c>
    </row>
    <row r="46" customFormat="false" ht="15" hidden="false" customHeight="true" outlineLevel="0" collapsed="false">
      <c r="A46" s="1" t="str">
        <f aca="false">IF('5. Gantt EQUIFILLES'!B50="","","EQUIFILLES")</f>
        <v/>
      </c>
      <c r="B46" s="1" t="str">
        <f aca="false">IF('5. Gantt EQUIFILLES'!B50="","",'5. Gantt EQUIFILLES'!B50)</f>
        <v/>
      </c>
      <c r="C46" s="1" t="str">
        <f aca="false">IF('5. Gantt EQUIFILLES'!B50="","",'5. Gantt EQUIFILLES'!C50)</f>
        <v/>
      </c>
      <c r="D46" s="1" t="str">
        <f aca="false">IF('5. Gantt EQUIFILLES'!B50="","",'5. Gantt EQUIFILLES'!D50)</f>
        <v/>
      </c>
      <c r="E46" s="1" t="str">
        <f aca="false">IF('5. Gantt EQUIFILLES'!B50="","",'5. Gantt EQUIFILLES'!E50)</f>
        <v/>
      </c>
      <c r="F46" s="1" t="str">
        <f aca="false">IF('5. Gantt EQUIFILLES'!B50="","",'5. Gantt EQUIFILLES'!G50)</f>
        <v/>
      </c>
      <c r="G46" s="167" t="str">
        <f aca="false">IF('5. Gantt EQUIFILLES'!B50="","",'5. Gantt EQUIFILLES'!H50)</f>
        <v/>
      </c>
      <c r="H46" s="167" t="str">
        <f aca="false">IF('5. Gantt EQUIFILLES'!B50="","",'5. Gantt EQUIFILLES'!I50)</f>
        <v/>
      </c>
      <c r="I46" s="167" t="str">
        <f aca="false">IF('5. Gantt EQUIFILLES'!B50="","",'5. Gantt EQUIFILLES'!K50)</f>
        <v/>
      </c>
      <c r="J46" s="168" t="str">
        <f aca="false">IF('5. Gantt EQUIFILLES'!B50="","",'5. Gantt EQUIFILLES'!M50)</f>
        <v/>
      </c>
      <c r="K46" s="168" t="str">
        <f aca="false">IF('5. Gantt EQUIFILLES'!B50="","",'5. Gantt EQUIFILLES'!N50)</f>
        <v/>
      </c>
      <c r="L46" s="169" t="str">
        <f aca="false">IF('5. Gantt EQUIFILLES'!B50="","",'5. Gantt EQUIFILLES'!O50)</f>
        <v/>
      </c>
      <c r="M46" s="169" t="str">
        <f aca="false">IF('5. Gantt EQUIFILLES'!B50="","",'5. Gantt EQUIFILLES'!P50)</f>
        <v/>
      </c>
      <c r="N46" s="1" t="str">
        <f aca="false">IF('5. Gantt EQUIFILLES'!B50="","",'5. Gantt EQUIFILLES'!Q50)</f>
        <v/>
      </c>
      <c r="O46" s="1" t="str">
        <f aca="false">IF('5. Gantt EQUIFILLES'!B50="","",'5. Gantt EQUIFILLES'!R50)</f>
        <v/>
      </c>
      <c r="P46" s="1" t="str">
        <f aca="false">IF('5. Gantt EQUIFILLES'!B50="","",'5. Gantt EQUIFILLES'!S50)</f>
        <v/>
      </c>
      <c r="Q46" s="1" t="str">
        <f aca="false">IF('5. Gantt EQUIFILLES'!B50="","",'5. Gantt EQUIFILLES'!T50)</f>
        <v/>
      </c>
      <c r="R46" s="1" t="str">
        <f aca="false">IF('5. Gantt EQUIFILLES'!B50="","",'5. Gantt EQUIFILLES'!U50)</f>
        <v/>
      </c>
    </row>
    <row r="47" customFormat="false" ht="15" hidden="false" customHeight="true" outlineLevel="0" collapsed="false">
      <c r="A47" s="1" t="str">
        <f aca="false">IF('5. Gantt EQUIFILLES'!B51="","","EQUIFILLES")</f>
        <v/>
      </c>
      <c r="B47" s="1" t="str">
        <f aca="false">IF('5. Gantt EQUIFILLES'!B51="","",'5. Gantt EQUIFILLES'!B51)</f>
        <v/>
      </c>
      <c r="C47" s="1" t="str">
        <f aca="false">IF('5. Gantt EQUIFILLES'!B51="","",'5. Gantt EQUIFILLES'!C51)</f>
        <v/>
      </c>
      <c r="D47" s="1" t="str">
        <f aca="false">IF('5. Gantt EQUIFILLES'!B51="","",'5. Gantt EQUIFILLES'!D51)</f>
        <v/>
      </c>
      <c r="E47" s="1" t="str">
        <f aca="false">IF('5. Gantt EQUIFILLES'!B51="","",'5. Gantt EQUIFILLES'!E51)</f>
        <v/>
      </c>
      <c r="F47" s="1" t="str">
        <f aca="false">IF('5. Gantt EQUIFILLES'!B51="","",'5. Gantt EQUIFILLES'!G51)</f>
        <v/>
      </c>
      <c r="G47" s="167" t="str">
        <f aca="false">IF('5. Gantt EQUIFILLES'!B51="","",'5. Gantt EQUIFILLES'!H51)</f>
        <v/>
      </c>
      <c r="H47" s="167" t="str">
        <f aca="false">IF('5. Gantt EQUIFILLES'!B51="","",'5. Gantt EQUIFILLES'!I51)</f>
        <v/>
      </c>
      <c r="I47" s="167" t="str">
        <f aca="false">IF('5. Gantt EQUIFILLES'!B51="","",'5. Gantt EQUIFILLES'!K51)</f>
        <v/>
      </c>
      <c r="J47" s="168" t="str">
        <f aca="false">IF('5. Gantt EQUIFILLES'!B51="","",'5. Gantt EQUIFILLES'!M51)</f>
        <v/>
      </c>
      <c r="K47" s="168" t="str">
        <f aca="false">IF('5. Gantt EQUIFILLES'!B51="","",'5. Gantt EQUIFILLES'!N51)</f>
        <v/>
      </c>
      <c r="L47" s="169" t="str">
        <f aca="false">IF('5. Gantt EQUIFILLES'!B51="","",'5. Gantt EQUIFILLES'!O51)</f>
        <v/>
      </c>
      <c r="M47" s="169" t="str">
        <f aca="false">IF('5. Gantt EQUIFILLES'!B51="","",'5. Gantt EQUIFILLES'!P51)</f>
        <v/>
      </c>
      <c r="N47" s="1" t="str">
        <f aca="false">IF('5. Gantt EQUIFILLES'!B51="","",'5. Gantt EQUIFILLES'!Q51)</f>
        <v/>
      </c>
      <c r="O47" s="1" t="str">
        <f aca="false">IF('5. Gantt EQUIFILLES'!B51="","",'5. Gantt EQUIFILLES'!R51)</f>
        <v/>
      </c>
      <c r="P47" s="1" t="str">
        <f aca="false">IF('5. Gantt EQUIFILLES'!B51="","",'5. Gantt EQUIFILLES'!S51)</f>
        <v/>
      </c>
      <c r="Q47" s="1" t="str">
        <f aca="false">IF('5. Gantt EQUIFILLES'!B51="","",'5. Gantt EQUIFILLES'!T51)</f>
        <v/>
      </c>
      <c r="R47" s="1" t="str">
        <f aca="false">IF('5. Gantt EQUIFILLES'!B51="","",'5. Gantt EQUIFILLES'!U51)</f>
        <v/>
      </c>
    </row>
    <row r="48" customFormat="false" ht="15" hidden="false" customHeight="true" outlineLevel="0" collapsed="false">
      <c r="A48" s="1" t="str">
        <f aca="false">IF('5. Gantt EQUIFILLES'!B52="","","EQUIFILLES")</f>
        <v/>
      </c>
      <c r="B48" s="1" t="str">
        <f aca="false">IF('5. Gantt EQUIFILLES'!B52="","",'5. Gantt EQUIFILLES'!B52)</f>
        <v/>
      </c>
      <c r="C48" s="1" t="str">
        <f aca="false">IF('5. Gantt EQUIFILLES'!B52="","",'5. Gantt EQUIFILLES'!C52)</f>
        <v/>
      </c>
      <c r="D48" s="1" t="str">
        <f aca="false">IF('5. Gantt EQUIFILLES'!B52="","",'5. Gantt EQUIFILLES'!D52)</f>
        <v/>
      </c>
      <c r="E48" s="1" t="str">
        <f aca="false">IF('5. Gantt EQUIFILLES'!B52="","",'5. Gantt EQUIFILLES'!E52)</f>
        <v/>
      </c>
      <c r="F48" s="1" t="str">
        <f aca="false">IF('5. Gantt EQUIFILLES'!B52="","",'5. Gantt EQUIFILLES'!G52)</f>
        <v/>
      </c>
      <c r="G48" s="167" t="str">
        <f aca="false">IF('5. Gantt EQUIFILLES'!B52="","",'5. Gantt EQUIFILLES'!H52)</f>
        <v/>
      </c>
      <c r="H48" s="167" t="str">
        <f aca="false">IF('5. Gantt EQUIFILLES'!B52="","",'5. Gantt EQUIFILLES'!I52)</f>
        <v/>
      </c>
      <c r="I48" s="167" t="str">
        <f aca="false">IF('5. Gantt EQUIFILLES'!B52="","",'5. Gantt EQUIFILLES'!K52)</f>
        <v/>
      </c>
      <c r="J48" s="168" t="str">
        <f aca="false">IF('5. Gantt EQUIFILLES'!B52="","",'5. Gantt EQUIFILLES'!M52)</f>
        <v/>
      </c>
      <c r="K48" s="168" t="str">
        <f aca="false">IF('5. Gantt EQUIFILLES'!B52="","",'5. Gantt EQUIFILLES'!N52)</f>
        <v/>
      </c>
      <c r="L48" s="169" t="str">
        <f aca="false">IF('5. Gantt EQUIFILLES'!B52="","",'5. Gantt EQUIFILLES'!O52)</f>
        <v/>
      </c>
      <c r="M48" s="169" t="str">
        <f aca="false">IF('5. Gantt EQUIFILLES'!B52="","",'5. Gantt EQUIFILLES'!P52)</f>
        <v/>
      </c>
      <c r="N48" s="1" t="str">
        <f aca="false">IF('5. Gantt EQUIFILLES'!B52="","",'5. Gantt EQUIFILLES'!Q52)</f>
        <v/>
      </c>
      <c r="O48" s="1" t="str">
        <f aca="false">IF('5. Gantt EQUIFILLES'!B52="","",'5. Gantt EQUIFILLES'!R52)</f>
        <v/>
      </c>
      <c r="P48" s="1" t="str">
        <f aca="false">IF('5. Gantt EQUIFILLES'!B52="","",'5. Gantt EQUIFILLES'!S52)</f>
        <v/>
      </c>
      <c r="Q48" s="1" t="str">
        <f aca="false">IF('5. Gantt EQUIFILLES'!B52="","",'5. Gantt EQUIFILLES'!T52)</f>
        <v/>
      </c>
      <c r="R48" s="1" t="str">
        <f aca="false">IF('5. Gantt EQUIFILLES'!B52="","",'5. Gantt EQUIFILLES'!U52)</f>
        <v/>
      </c>
    </row>
    <row r="49" customFormat="false" ht="15" hidden="false" customHeight="true" outlineLevel="0" collapsed="false">
      <c r="A49" s="1" t="str">
        <f aca="false">IF('5. Gantt EQUIFILLES'!B53="","","EQUIFILLES")</f>
        <v/>
      </c>
      <c r="B49" s="1" t="str">
        <f aca="false">IF('5. Gantt EQUIFILLES'!B53="","",'5. Gantt EQUIFILLES'!B53)</f>
        <v/>
      </c>
      <c r="C49" s="1" t="str">
        <f aca="false">IF('5. Gantt EQUIFILLES'!B53="","",'5. Gantt EQUIFILLES'!C53)</f>
        <v/>
      </c>
      <c r="D49" s="1" t="str">
        <f aca="false">IF('5. Gantt EQUIFILLES'!B53="","",'5. Gantt EQUIFILLES'!D53)</f>
        <v/>
      </c>
      <c r="E49" s="1" t="str">
        <f aca="false">IF('5. Gantt EQUIFILLES'!B53="","",'5. Gantt EQUIFILLES'!E53)</f>
        <v/>
      </c>
      <c r="F49" s="1" t="str">
        <f aca="false">IF('5. Gantt EQUIFILLES'!B53="","",'5. Gantt EQUIFILLES'!G53)</f>
        <v/>
      </c>
      <c r="G49" s="167" t="str">
        <f aca="false">IF('5. Gantt EQUIFILLES'!B53="","",'5. Gantt EQUIFILLES'!H53)</f>
        <v/>
      </c>
      <c r="H49" s="167" t="str">
        <f aca="false">IF('5. Gantt EQUIFILLES'!B53="","",'5. Gantt EQUIFILLES'!I53)</f>
        <v/>
      </c>
      <c r="I49" s="167" t="str">
        <f aca="false">IF('5. Gantt EQUIFILLES'!B53="","",'5. Gantt EQUIFILLES'!K53)</f>
        <v/>
      </c>
      <c r="J49" s="168" t="str">
        <f aca="false">IF('5. Gantt EQUIFILLES'!B53="","",'5. Gantt EQUIFILLES'!M53)</f>
        <v/>
      </c>
      <c r="K49" s="168" t="str">
        <f aca="false">IF('5. Gantt EQUIFILLES'!B53="","",'5. Gantt EQUIFILLES'!N53)</f>
        <v/>
      </c>
      <c r="L49" s="169" t="str">
        <f aca="false">IF('5. Gantt EQUIFILLES'!B53="","",'5. Gantt EQUIFILLES'!O53)</f>
        <v/>
      </c>
      <c r="M49" s="169" t="str">
        <f aca="false">IF('5. Gantt EQUIFILLES'!B53="","",'5. Gantt EQUIFILLES'!P53)</f>
        <v/>
      </c>
      <c r="N49" s="1" t="str">
        <f aca="false">IF('5. Gantt EQUIFILLES'!B53="","",'5. Gantt EQUIFILLES'!Q53)</f>
        <v/>
      </c>
      <c r="O49" s="1" t="str">
        <f aca="false">IF('5. Gantt EQUIFILLES'!B53="","",'5. Gantt EQUIFILLES'!R53)</f>
        <v/>
      </c>
      <c r="P49" s="1" t="str">
        <f aca="false">IF('5. Gantt EQUIFILLES'!B53="","",'5. Gantt EQUIFILLES'!S53)</f>
        <v/>
      </c>
      <c r="Q49" s="1" t="str">
        <f aca="false">IF('5. Gantt EQUIFILLES'!B53="","",'5. Gantt EQUIFILLES'!T53)</f>
        <v/>
      </c>
      <c r="R49" s="1" t="str">
        <f aca="false">IF('5. Gantt EQUIFILLES'!B53="","",'5. Gantt EQUIFILLES'!U53)</f>
        <v/>
      </c>
    </row>
    <row r="50" customFormat="false" ht="15" hidden="false" customHeight="true" outlineLevel="0" collapsed="false">
      <c r="A50" s="1" t="str">
        <f aca="false">IF('5. Gantt EQUIFILLES'!B54="","","EQUIFILLES")</f>
        <v/>
      </c>
      <c r="B50" s="1" t="str">
        <f aca="false">IF('5. Gantt EQUIFILLES'!B54="","",'5. Gantt EQUIFILLES'!B54)</f>
        <v/>
      </c>
      <c r="C50" s="1" t="str">
        <f aca="false">IF('5. Gantt EQUIFILLES'!B54="","",'5. Gantt EQUIFILLES'!C54)</f>
        <v/>
      </c>
      <c r="D50" s="1" t="str">
        <f aca="false">IF('5. Gantt EQUIFILLES'!B54="","",'5. Gantt EQUIFILLES'!D54)</f>
        <v/>
      </c>
      <c r="E50" s="1" t="str">
        <f aca="false">IF('5. Gantt EQUIFILLES'!B54="","",'5. Gantt EQUIFILLES'!E54)</f>
        <v/>
      </c>
      <c r="F50" s="1" t="str">
        <f aca="false">IF('5. Gantt EQUIFILLES'!B54="","",'5. Gantt EQUIFILLES'!G54)</f>
        <v/>
      </c>
      <c r="G50" s="167" t="str">
        <f aca="false">IF('5. Gantt EQUIFILLES'!B54="","",'5. Gantt EQUIFILLES'!H54)</f>
        <v/>
      </c>
      <c r="H50" s="167" t="str">
        <f aca="false">IF('5. Gantt EQUIFILLES'!B54="","",'5. Gantt EQUIFILLES'!I54)</f>
        <v/>
      </c>
      <c r="I50" s="167" t="str">
        <f aca="false">IF('5. Gantt EQUIFILLES'!B54="","",'5. Gantt EQUIFILLES'!K54)</f>
        <v/>
      </c>
      <c r="J50" s="168" t="str">
        <f aca="false">IF('5. Gantt EQUIFILLES'!B54="","",'5. Gantt EQUIFILLES'!M54)</f>
        <v/>
      </c>
      <c r="K50" s="168" t="str">
        <f aca="false">IF('5. Gantt EQUIFILLES'!B54="","",'5. Gantt EQUIFILLES'!N54)</f>
        <v/>
      </c>
      <c r="L50" s="169" t="str">
        <f aca="false">IF('5. Gantt EQUIFILLES'!B54="","",'5. Gantt EQUIFILLES'!O54)</f>
        <v/>
      </c>
      <c r="M50" s="169" t="str">
        <f aca="false">IF('5. Gantt EQUIFILLES'!B54="","",'5. Gantt EQUIFILLES'!P54)</f>
        <v/>
      </c>
      <c r="N50" s="1" t="str">
        <f aca="false">IF('5. Gantt EQUIFILLES'!B54="","",'5. Gantt EQUIFILLES'!Q54)</f>
        <v/>
      </c>
      <c r="O50" s="1" t="str">
        <f aca="false">IF('5. Gantt EQUIFILLES'!B54="","",'5. Gantt EQUIFILLES'!R54)</f>
        <v/>
      </c>
      <c r="P50" s="1" t="str">
        <f aca="false">IF('5. Gantt EQUIFILLES'!B54="","",'5. Gantt EQUIFILLES'!S54)</f>
        <v/>
      </c>
      <c r="Q50" s="1" t="str">
        <f aca="false">IF('5. Gantt EQUIFILLES'!B54="","",'5. Gantt EQUIFILLES'!T54)</f>
        <v/>
      </c>
      <c r="R50" s="1" t="str">
        <f aca="false">IF('5. Gantt EQUIFILLES'!B54="","",'5. Gantt EQUIFILLES'!U54)</f>
        <v/>
      </c>
    </row>
    <row r="51" customFormat="false" ht="15" hidden="false" customHeight="true" outlineLevel="0" collapsed="false">
      <c r="A51" s="1" t="str">
        <f aca="false">IF('5. Gantt EQUIFILLES'!B55="","","EQUIFILLES")</f>
        <v/>
      </c>
      <c r="B51" s="1" t="str">
        <f aca="false">IF('5. Gantt EQUIFILLES'!B55="","",'5. Gantt EQUIFILLES'!B55)</f>
        <v/>
      </c>
      <c r="C51" s="1" t="str">
        <f aca="false">IF('5. Gantt EQUIFILLES'!B55="","",'5. Gantt EQUIFILLES'!C55)</f>
        <v/>
      </c>
      <c r="D51" s="1" t="str">
        <f aca="false">IF('5. Gantt EQUIFILLES'!B55="","",'5. Gantt EQUIFILLES'!D55)</f>
        <v/>
      </c>
      <c r="E51" s="1" t="str">
        <f aca="false">IF('5. Gantt EQUIFILLES'!B55="","",'5. Gantt EQUIFILLES'!E55)</f>
        <v/>
      </c>
      <c r="F51" s="1" t="str">
        <f aca="false">IF('5. Gantt EQUIFILLES'!B55="","",'5. Gantt EQUIFILLES'!G55)</f>
        <v/>
      </c>
      <c r="G51" s="167" t="str">
        <f aca="false">IF('5. Gantt EQUIFILLES'!B55="","",'5. Gantt EQUIFILLES'!H55)</f>
        <v/>
      </c>
      <c r="H51" s="167" t="str">
        <f aca="false">IF('5. Gantt EQUIFILLES'!B55="","",'5. Gantt EQUIFILLES'!I55)</f>
        <v/>
      </c>
      <c r="I51" s="167" t="str">
        <f aca="false">IF('5. Gantt EQUIFILLES'!B55="","",'5. Gantt EQUIFILLES'!K55)</f>
        <v/>
      </c>
      <c r="J51" s="168" t="str">
        <f aca="false">IF('5. Gantt EQUIFILLES'!B55="","",'5. Gantt EQUIFILLES'!M55)</f>
        <v/>
      </c>
      <c r="K51" s="168" t="str">
        <f aca="false">IF('5. Gantt EQUIFILLES'!B55="","",'5. Gantt EQUIFILLES'!N55)</f>
        <v/>
      </c>
      <c r="L51" s="169" t="str">
        <f aca="false">IF('5. Gantt EQUIFILLES'!B55="","",'5. Gantt EQUIFILLES'!O55)</f>
        <v/>
      </c>
      <c r="M51" s="169" t="str">
        <f aca="false">IF('5. Gantt EQUIFILLES'!B55="","",'5. Gantt EQUIFILLES'!P55)</f>
        <v/>
      </c>
      <c r="N51" s="1" t="str">
        <f aca="false">IF('5. Gantt EQUIFILLES'!B55="","",'5. Gantt EQUIFILLES'!Q55)</f>
        <v/>
      </c>
      <c r="O51" s="1" t="str">
        <f aca="false">IF('5. Gantt EQUIFILLES'!B55="","",'5. Gantt EQUIFILLES'!R55)</f>
        <v/>
      </c>
      <c r="P51" s="1" t="str">
        <f aca="false">IF('5. Gantt EQUIFILLES'!B55="","",'5. Gantt EQUIFILLES'!S55)</f>
        <v/>
      </c>
      <c r="Q51" s="1" t="str">
        <f aca="false">IF('5. Gantt EQUIFILLES'!B55="","",'5. Gantt EQUIFILLES'!T55)</f>
        <v/>
      </c>
      <c r="R51" s="1" t="str">
        <f aca="false">IF('5. Gantt EQUIFILLES'!B55="","",'5. Gantt EQUIFILLES'!U55)</f>
        <v/>
      </c>
    </row>
    <row r="52" customFormat="false" ht="15" hidden="false" customHeight="true" outlineLevel="0" collapsed="false">
      <c r="A52" s="1" t="str">
        <f aca="false">IF('5. Gantt EQUIFILLES'!B56="","","EQUIFILLES")</f>
        <v/>
      </c>
      <c r="B52" s="1" t="str">
        <f aca="false">IF('5. Gantt EQUIFILLES'!B56="","",'5. Gantt EQUIFILLES'!B56)</f>
        <v/>
      </c>
      <c r="C52" s="1" t="str">
        <f aca="false">IF('5. Gantt EQUIFILLES'!B56="","",'5. Gantt EQUIFILLES'!C56)</f>
        <v/>
      </c>
      <c r="D52" s="1" t="str">
        <f aca="false">IF('5. Gantt EQUIFILLES'!B56="","",'5. Gantt EQUIFILLES'!D56)</f>
        <v/>
      </c>
      <c r="E52" s="1" t="str">
        <f aca="false">IF('5. Gantt EQUIFILLES'!B56="","",'5. Gantt EQUIFILLES'!E56)</f>
        <v/>
      </c>
      <c r="F52" s="1" t="str">
        <f aca="false">IF('5. Gantt EQUIFILLES'!B56="","",'5. Gantt EQUIFILLES'!G56)</f>
        <v/>
      </c>
      <c r="G52" s="167" t="str">
        <f aca="false">IF('5. Gantt EQUIFILLES'!B56="","",'5. Gantt EQUIFILLES'!H56)</f>
        <v/>
      </c>
      <c r="H52" s="167" t="str">
        <f aca="false">IF('5. Gantt EQUIFILLES'!B56="","",'5. Gantt EQUIFILLES'!I56)</f>
        <v/>
      </c>
      <c r="I52" s="167" t="str">
        <f aca="false">IF('5. Gantt EQUIFILLES'!B56="","",'5. Gantt EQUIFILLES'!K56)</f>
        <v/>
      </c>
      <c r="J52" s="168" t="str">
        <f aca="false">IF('5. Gantt EQUIFILLES'!B56="","",'5. Gantt EQUIFILLES'!M56)</f>
        <v/>
      </c>
      <c r="K52" s="168" t="str">
        <f aca="false">IF('5. Gantt EQUIFILLES'!B56="","",'5. Gantt EQUIFILLES'!N56)</f>
        <v/>
      </c>
      <c r="L52" s="169" t="str">
        <f aca="false">IF('5. Gantt EQUIFILLES'!B56="","",'5. Gantt EQUIFILLES'!O56)</f>
        <v/>
      </c>
      <c r="M52" s="169" t="str">
        <f aca="false">IF('5. Gantt EQUIFILLES'!B56="","",'5. Gantt EQUIFILLES'!P56)</f>
        <v/>
      </c>
      <c r="N52" s="1" t="str">
        <f aca="false">IF('5. Gantt EQUIFILLES'!B56="","",'5. Gantt EQUIFILLES'!Q56)</f>
        <v/>
      </c>
      <c r="O52" s="1" t="str">
        <f aca="false">IF('5. Gantt EQUIFILLES'!B56="","",'5. Gantt EQUIFILLES'!R56)</f>
        <v/>
      </c>
      <c r="P52" s="1" t="str">
        <f aca="false">IF('5. Gantt EQUIFILLES'!B56="","",'5. Gantt EQUIFILLES'!S56)</f>
        <v/>
      </c>
      <c r="Q52" s="1" t="str">
        <f aca="false">IF('5. Gantt EQUIFILLES'!B56="","",'5. Gantt EQUIFILLES'!T56)</f>
        <v/>
      </c>
      <c r="R52" s="1" t="str">
        <f aca="false">IF('5. Gantt EQUIFILLES'!B56="","",'5. Gantt EQUIFILLES'!U56)</f>
        <v/>
      </c>
    </row>
    <row r="53" customFormat="false" ht="15" hidden="false" customHeight="true" outlineLevel="0" collapsed="false">
      <c r="A53" s="1" t="str">
        <f aca="false">IF('5. Gantt EQUIFILLES'!B57="","","EQUIFILLES")</f>
        <v/>
      </c>
      <c r="B53" s="1" t="str">
        <f aca="false">IF('5. Gantt EQUIFILLES'!B57="","",'5. Gantt EQUIFILLES'!B57)</f>
        <v/>
      </c>
      <c r="C53" s="1" t="str">
        <f aca="false">IF('5. Gantt EQUIFILLES'!B57="","",'5. Gantt EQUIFILLES'!C57)</f>
        <v/>
      </c>
      <c r="D53" s="1" t="str">
        <f aca="false">IF('5. Gantt EQUIFILLES'!B57="","",'5. Gantt EQUIFILLES'!D57)</f>
        <v/>
      </c>
      <c r="E53" s="1" t="str">
        <f aca="false">IF('5. Gantt EQUIFILLES'!B57="","",'5. Gantt EQUIFILLES'!E57)</f>
        <v/>
      </c>
      <c r="F53" s="1" t="str">
        <f aca="false">IF('5. Gantt EQUIFILLES'!B57="","",'5. Gantt EQUIFILLES'!G57)</f>
        <v/>
      </c>
      <c r="G53" s="167" t="str">
        <f aca="false">IF('5. Gantt EQUIFILLES'!B57="","",'5. Gantt EQUIFILLES'!H57)</f>
        <v/>
      </c>
      <c r="H53" s="167" t="str">
        <f aca="false">IF('5. Gantt EQUIFILLES'!B57="","",'5. Gantt EQUIFILLES'!I57)</f>
        <v/>
      </c>
      <c r="I53" s="167" t="str">
        <f aca="false">IF('5. Gantt EQUIFILLES'!B57="","",'5. Gantt EQUIFILLES'!K57)</f>
        <v/>
      </c>
      <c r="J53" s="168" t="str">
        <f aca="false">IF('5. Gantt EQUIFILLES'!B57="","",'5. Gantt EQUIFILLES'!M57)</f>
        <v/>
      </c>
      <c r="K53" s="168" t="str">
        <f aca="false">IF('5. Gantt EQUIFILLES'!B57="","",'5. Gantt EQUIFILLES'!N57)</f>
        <v/>
      </c>
      <c r="L53" s="169" t="str">
        <f aca="false">IF('5. Gantt EQUIFILLES'!B57="","",'5. Gantt EQUIFILLES'!O57)</f>
        <v/>
      </c>
      <c r="M53" s="169" t="str">
        <f aca="false">IF('5. Gantt EQUIFILLES'!B57="","",'5. Gantt EQUIFILLES'!P57)</f>
        <v/>
      </c>
      <c r="N53" s="1" t="str">
        <f aca="false">IF('5. Gantt EQUIFILLES'!B57="","",'5. Gantt EQUIFILLES'!Q57)</f>
        <v/>
      </c>
      <c r="O53" s="1" t="str">
        <f aca="false">IF('5. Gantt EQUIFILLES'!B57="","",'5. Gantt EQUIFILLES'!R57)</f>
        <v/>
      </c>
      <c r="P53" s="1" t="str">
        <f aca="false">IF('5. Gantt EQUIFILLES'!B57="","",'5. Gantt EQUIFILLES'!S57)</f>
        <v/>
      </c>
      <c r="Q53" s="1" t="str">
        <f aca="false">IF('5. Gantt EQUIFILLES'!B57="","",'5. Gantt EQUIFILLES'!T57)</f>
        <v/>
      </c>
      <c r="R53" s="1" t="str">
        <f aca="false">IF('5. Gantt EQUIFILLES'!B57="","",'5. Gantt EQUIFILLES'!U57)</f>
        <v/>
      </c>
    </row>
    <row r="54" customFormat="false" ht="15" hidden="false" customHeight="true" outlineLevel="0" collapsed="false">
      <c r="A54" s="1" t="str">
        <f aca="false">IF('5. Gantt EQUIFILLES'!B58="","","EQUIFILLES")</f>
        <v/>
      </c>
      <c r="B54" s="1" t="str">
        <f aca="false">IF('5. Gantt EQUIFILLES'!B58="","",'5. Gantt EQUIFILLES'!B58)</f>
        <v/>
      </c>
      <c r="C54" s="1" t="str">
        <f aca="false">IF('5. Gantt EQUIFILLES'!B58="","",'5. Gantt EQUIFILLES'!C58)</f>
        <v/>
      </c>
      <c r="D54" s="1" t="str">
        <f aca="false">IF('5. Gantt EQUIFILLES'!B58="","",'5. Gantt EQUIFILLES'!D58)</f>
        <v/>
      </c>
      <c r="E54" s="1" t="str">
        <f aca="false">IF('5. Gantt EQUIFILLES'!B58="","",'5. Gantt EQUIFILLES'!E58)</f>
        <v/>
      </c>
      <c r="F54" s="1" t="str">
        <f aca="false">IF('5. Gantt EQUIFILLES'!B58="","",'5. Gantt EQUIFILLES'!G58)</f>
        <v/>
      </c>
      <c r="G54" s="167" t="str">
        <f aca="false">IF('5. Gantt EQUIFILLES'!B58="","",'5. Gantt EQUIFILLES'!H58)</f>
        <v/>
      </c>
      <c r="H54" s="167" t="str">
        <f aca="false">IF('5. Gantt EQUIFILLES'!B58="","",'5. Gantt EQUIFILLES'!I58)</f>
        <v/>
      </c>
      <c r="I54" s="167" t="str">
        <f aca="false">IF('5. Gantt EQUIFILLES'!B58="","",'5. Gantt EQUIFILLES'!K58)</f>
        <v/>
      </c>
      <c r="J54" s="168" t="str">
        <f aca="false">IF('5. Gantt EQUIFILLES'!B58="","",'5. Gantt EQUIFILLES'!M58)</f>
        <v/>
      </c>
      <c r="K54" s="168" t="str">
        <f aca="false">IF('5. Gantt EQUIFILLES'!B58="","",'5. Gantt EQUIFILLES'!N58)</f>
        <v/>
      </c>
      <c r="L54" s="169" t="str">
        <f aca="false">IF('5. Gantt EQUIFILLES'!B58="","",'5. Gantt EQUIFILLES'!O58)</f>
        <v/>
      </c>
      <c r="M54" s="169" t="str">
        <f aca="false">IF('5. Gantt EQUIFILLES'!B58="","",'5. Gantt EQUIFILLES'!P58)</f>
        <v/>
      </c>
      <c r="N54" s="1" t="str">
        <f aca="false">IF('5. Gantt EQUIFILLES'!B58="","",'5. Gantt EQUIFILLES'!Q58)</f>
        <v/>
      </c>
      <c r="O54" s="1" t="str">
        <f aca="false">IF('5. Gantt EQUIFILLES'!B58="","",'5. Gantt EQUIFILLES'!R58)</f>
        <v/>
      </c>
      <c r="P54" s="1" t="str">
        <f aca="false">IF('5. Gantt EQUIFILLES'!B58="","",'5. Gantt EQUIFILLES'!S58)</f>
        <v/>
      </c>
      <c r="Q54" s="1" t="str">
        <f aca="false">IF('5. Gantt EQUIFILLES'!B58="","",'5. Gantt EQUIFILLES'!T58)</f>
        <v/>
      </c>
      <c r="R54" s="1" t="str">
        <f aca="false">IF('5. Gantt EQUIFILLES'!B58="","",'5. Gantt EQUIFILLES'!U58)</f>
        <v/>
      </c>
    </row>
    <row r="55" customFormat="false" ht="15" hidden="false" customHeight="true" outlineLevel="0" collapsed="false">
      <c r="A55" s="1" t="str">
        <f aca="false">IF('5. Gantt EQUIFILLES'!B59="","","EQUIFILLES")</f>
        <v/>
      </c>
      <c r="B55" s="1" t="str">
        <f aca="false">IF('5. Gantt EQUIFILLES'!B59="","",'5. Gantt EQUIFILLES'!B59)</f>
        <v/>
      </c>
      <c r="C55" s="1" t="str">
        <f aca="false">IF('5. Gantt EQUIFILLES'!B59="","",'5. Gantt EQUIFILLES'!C59)</f>
        <v/>
      </c>
      <c r="D55" s="1" t="str">
        <f aca="false">IF('5. Gantt EQUIFILLES'!B59="","",'5. Gantt EQUIFILLES'!D59)</f>
        <v/>
      </c>
      <c r="E55" s="1" t="str">
        <f aca="false">IF('5. Gantt EQUIFILLES'!B59="","",'5. Gantt EQUIFILLES'!E59)</f>
        <v/>
      </c>
      <c r="F55" s="1" t="str">
        <f aca="false">IF('5. Gantt EQUIFILLES'!B59="","",'5. Gantt EQUIFILLES'!G59)</f>
        <v/>
      </c>
      <c r="G55" s="167" t="str">
        <f aca="false">IF('5. Gantt EQUIFILLES'!B59="","",'5. Gantt EQUIFILLES'!H59)</f>
        <v/>
      </c>
      <c r="H55" s="167" t="str">
        <f aca="false">IF('5. Gantt EQUIFILLES'!B59="","",'5. Gantt EQUIFILLES'!I59)</f>
        <v/>
      </c>
      <c r="I55" s="167" t="str">
        <f aca="false">IF('5. Gantt EQUIFILLES'!B59="","",'5. Gantt EQUIFILLES'!K59)</f>
        <v/>
      </c>
      <c r="J55" s="168" t="str">
        <f aca="false">IF('5. Gantt EQUIFILLES'!B59="","",'5. Gantt EQUIFILLES'!M59)</f>
        <v/>
      </c>
      <c r="K55" s="168" t="str">
        <f aca="false">IF('5. Gantt EQUIFILLES'!B59="","",'5. Gantt EQUIFILLES'!N59)</f>
        <v/>
      </c>
      <c r="L55" s="169" t="str">
        <f aca="false">IF('5. Gantt EQUIFILLES'!B59="","",'5. Gantt EQUIFILLES'!O59)</f>
        <v/>
      </c>
      <c r="M55" s="169" t="str">
        <f aca="false">IF('5. Gantt EQUIFILLES'!B59="","",'5. Gantt EQUIFILLES'!P59)</f>
        <v/>
      </c>
      <c r="N55" s="1" t="str">
        <f aca="false">IF('5. Gantt EQUIFILLES'!B59="","",'5. Gantt EQUIFILLES'!Q59)</f>
        <v/>
      </c>
      <c r="O55" s="1" t="str">
        <f aca="false">IF('5. Gantt EQUIFILLES'!B59="","",'5. Gantt EQUIFILLES'!R59)</f>
        <v/>
      </c>
      <c r="P55" s="1" t="str">
        <f aca="false">IF('5. Gantt EQUIFILLES'!B59="","",'5. Gantt EQUIFILLES'!S59)</f>
        <v/>
      </c>
      <c r="Q55" s="1" t="str">
        <f aca="false">IF('5. Gantt EQUIFILLES'!B59="","",'5. Gantt EQUIFILLES'!T59)</f>
        <v/>
      </c>
      <c r="R55" s="1" t="str">
        <f aca="false">IF('5. Gantt EQUIFILLES'!B59="","",'5. Gantt EQUIFILLES'!U59)</f>
        <v/>
      </c>
    </row>
    <row r="56" customFormat="false" ht="15" hidden="false" customHeight="true" outlineLevel="0" collapsed="false">
      <c r="A56" s="1" t="str">
        <f aca="false">IF('5. Gantt EQUIFILLES'!B60="","","EQUIFILLES")</f>
        <v/>
      </c>
      <c r="B56" s="1" t="str">
        <f aca="false">IF('5. Gantt EQUIFILLES'!B60="","",'5. Gantt EQUIFILLES'!B60)</f>
        <v/>
      </c>
      <c r="C56" s="1" t="str">
        <f aca="false">IF('5. Gantt EQUIFILLES'!B60="","",'5. Gantt EQUIFILLES'!C60)</f>
        <v/>
      </c>
      <c r="D56" s="1" t="str">
        <f aca="false">IF('5. Gantt EQUIFILLES'!B60="","",'5. Gantt EQUIFILLES'!D60)</f>
        <v/>
      </c>
      <c r="E56" s="1" t="str">
        <f aca="false">IF('5. Gantt EQUIFILLES'!B60="","",'5. Gantt EQUIFILLES'!E60)</f>
        <v/>
      </c>
      <c r="F56" s="1" t="str">
        <f aca="false">IF('5. Gantt EQUIFILLES'!B60="","",'5. Gantt EQUIFILLES'!G60)</f>
        <v/>
      </c>
      <c r="G56" s="167" t="str">
        <f aca="false">IF('5. Gantt EQUIFILLES'!B60="","",'5. Gantt EQUIFILLES'!H60)</f>
        <v/>
      </c>
      <c r="H56" s="167" t="str">
        <f aca="false">IF('5. Gantt EQUIFILLES'!B60="","",'5. Gantt EQUIFILLES'!I60)</f>
        <v/>
      </c>
      <c r="I56" s="167" t="str">
        <f aca="false">IF('5. Gantt EQUIFILLES'!B60="","",'5. Gantt EQUIFILLES'!K60)</f>
        <v/>
      </c>
      <c r="J56" s="168" t="str">
        <f aca="false">IF('5. Gantt EQUIFILLES'!B60="","",'5. Gantt EQUIFILLES'!M60)</f>
        <v/>
      </c>
      <c r="K56" s="168" t="str">
        <f aca="false">IF('5. Gantt EQUIFILLES'!B60="","",'5. Gantt EQUIFILLES'!N60)</f>
        <v/>
      </c>
      <c r="L56" s="169" t="str">
        <f aca="false">IF('5. Gantt EQUIFILLES'!B60="","",'5. Gantt EQUIFILLES'!O60)</f>
        <v/>
      </c>
      <c r="M56" s="169" t="str">
        <f aca="false">IF('5. Gantt EQUIFILLES'!B60="","",'5. Gantt EQUIFILLES'!P60)</f>
        <v/>
      </c>
      <c r="N56" s="1" t="str">
        <f aca="false">IF('5. Gantt EQUIFILLES'!B60="","",'5. Gantt EQUIFILLES'!Q60)</f>
        <v/>
      </c>
      <c r="O56" s="1" t="str">
        <f aca="false">IF('5. Gantt EQUIFILLES'!B60="","",'5. Gantt EQUIFILLES'!R60)</f>
        <v/>
      </c>
      <c r="P56" s="1" t="str">
        <f aca="false">IF('5. Gantt EQUIFILLES'!B60="","",'5. Gantt EQUIFILLES'!S60)</f>
        <v/>
      </c>
      <c r="Q56" s="1" t="str">
        <f aca="false">IF('5. Gantt EQUIFILLES'!B60="","",'5. Gantt EQUIFILLES'!T60)</f>
        <v/>
      </c>
      <c r="R56" s="1" t="str">
        <f aca="false">IF('5. Gantt EQUIFILLES'!B60="","",'5. Gantt EQUIFILLES'!U60)</f>
        <v/>
      </c>
    </row>
    <row r="57" customFormat="false" ht="15" hidden="false" customHeight="true" outlineLevel="0" collapsed="false">
      <c r="A57" s="1" t="str">
        <f aca="false">IF('5. Gantt EQUIFILLES'!B61="","","EQUIFILLES")</f>
        <v/>
      </c>
      <c r="B57" s="1" t="str">
        <f aca="false">IF('5. Gantt EQUIFILLES'!B61="","",'5. Gantt EQUIFILLES'!B61)</f>
        <v/>
      </c>
      <c r="C57" s="1" t="str">
        <f aca="false">IF('5. Gantt EQUIFILLES'!B61="","",'5. Gantt EQUIFILLES'!C61)</f>
        <v/>
      </c>
      <c r="D57" s="1" t="str">
        <f aca="false">IF('5. Gantt EQUIFILLES'!B61="","",'5. Gantt EQUIFILLES'!D61)</f>
        <v/>
      </c>
      <c r="E57" s="1" t="str">
        <f aca="false">IF('5. Gantt EQUIFILLES'!B61="","",'5. Gantt EQUIFILLES'!E61)</f>
        <v/>
      </c>
      <c r="F57" s="1" t="str">
        <f aca="false">IF('5. Gantt EQUIFILLES'!B61="","",'5. Gantt EQUIFILLES'!G61)</f>
        <v/>
      </c>
      <c r="G57" s="167" t="str">
        <f aca="false">IF('5. Gantt EQUIFILLES'!B61="","",'5. Gantt EQUIFILLES'!H61)</f>
        <v/>
      </c>
      <c r="H57" s="167" t="str">
        <f aca="false">IF('5. Gantt EQUIFILLES'!B61="","",'5. Gantt EQUIFILLES'!I61)</f>
        <v/>
      </c>
      <c r="I57" s="167" t="str">
        <f aca="false">IF('5. Gantt EQUIFILLES'!B61="","",'5. Gantt EQUIFILLES'!K61)</f>
        <v/>
      </c>
      <c r="J57" s="168" t="str">
        <f aca="false">IF('5. Gantt EQUIFILLES'!B61="","",'5. Gantt EQUIFILLES'!M61)</f>
        <v/>
      </c>
      <c r="K57" s="168" t="str">
        <f aca="false">IF('5. Gantt EQUIFILLES'!B61="","",'5. Gantt EQUIFILLES'!N61)</f>
        <v/>
      </c>
      <c r="L57" s="169" t="str">
        <f aca="false">IF('5. Gantt EQUIFILLES'!B61="","",'5. Gantt EQUIFILLES'!O61)</f>
        <v/>
      </c>
      <c r="M57" s="169" t="str">
        <f aca="false">IF('5. Gantt EQUIFILLES'!B61="","",'5. Gantt EQUIFILLES'!P61)</f>
        <v/>
      </c>
      <c r="N57" s="1" t="str">
        <f aca="false">IF('5. Gantt EQUIFILLES'!B61="","",'5. Gantt EQUIFILLES'!Q61)</f>
        <v/>
      </c>
      <c r="O57" s="1" t="str">
        <f aca="false">IF('5. Gantt EQUIFILLES'!B61="","",'5. Gantt EQUIFILLES'!R61)</f>
        <v/>
      </c>
      <c r="P57" s="1" t="str">
        <f aca="false">IF('5. Gantt EQUIFILLES'!B61="","",'5. Gantt EQUIFILLES'!S61)</f>
        <v/>
      </c>
      <c r="Q57" s="1" t="str">
        <f aca="false">IF('5. Gantt EQUIFILLES'!B61="","",'5. Gantt EQUIFILLES'!T61)</f>
        <v/>
      </c>
      <c r="R57" s="1" t="str">
        <f aca="false">IF('5. Gantt EQUIFILLES'!B61="","",'5. Gantt EQUIFILLES'!U61)</f>
        <v/>
      </c>
    </row>
    <row r="58" customFormat="false" ht="15" hidden="false" customHeight="true" outlineLevel="0" collapsed="false">
      <c r="A58" s="1" t="str">
        <f aca="false">IF('5. Gantt EQUIFILLES'!B62="","","EQUIFILLES")</f>
        <v/>
      </c>
      <c r="B58" s="1" t="str">
        <f aca="false">IF('5. Gantt EQUIFILLES'!B62="","",'5. Gantt EQUIFILLES'!B62)</f>
        <v/>
      </c>
      <c r="C58" s="1" t="str">
        <f aca="false">IF('5. Gantt EQUIFILLES'!B62="","",'5. Gantt EQUIFILLES'!C62)</f>
        <v/>
      </c>
      <c r="D58" s="1" t="str">
        <f aca="false">IF('5. Gantt EQUIFILLES'!B62="","",'5. Gantt EQUIFILLES'!D62)</f>
        <v/>
      </c>
      <c r="E58" s="1" t="str">
        <f aca="false">IF('5. Gantt EQUIFILLES'!B62="","",'5. Gantt EQUIFILLES'!E62)</f>
        <v/>
      </c>
      <c r="F58" s="1" t="str">
        <f aca="false">IF('5. Gantt EQUIFILLES'!B62="","",'5. Gantt EQUIFILLES'!G62)</f>
        <v/>
      </c>
      <c r="G58" s="167" t="str">
        <f aca="false">IF('5. Gantt EQUIFILLES'!B62="","",'5. Gantt EQUIFILLES'!H62)</f>
        <v/>
      </c>
      <c r="H58" s="167" t="str">
        <f aca="false">IF('5. Gantt EQUIFILLES'!B62="","",'5. Gantt EQUIFILLES'!I62)</f>
        <v/>
      </c>
      <c r="I58" s="167" t="str">
        <f aca="false">IF('5. Gantt EQUIFILLES'!B62="","",'5. Gantt EQUIFILLES'!K62)</f>
        <v/>
      </c>
      <c r="J58" s="168" t="str">
        <f aca="false">IF('5. Gantt EQUIFILLES'!B62="","",'5. Gantt EQUIFILLES'!M62)</f>
        <v/>
      </c>
      <c r="K58" s="168" t="str">
        <f aca="false">IF('5. Gantt EQUIFILLES'!B62="","",'5. Gantt EQUIFILLES'!N62)</f>
        <v/>
      </c>
      <c r="L58" s="169" t="str">
        <f aca="false">IF('5. Gantt EQUIFILLES'!B62="","",'5. Gantt EQUIFILLES'!O62)</f>
        <v/>
      </c>
      <c r="M58" s="169" t="str">
        <f aca="false">IF('5. Gantt EQUIFILLES'!B62="","",'5. Gantt EQUIFILLES'!P62)</f>
        <v/>
      </c>
      <c r="N58" s="1" t="str">
        <f aca="false">IF('5. Gantt EQUIFILLES'!B62="","",'5. Gantt EQUIFILLES'!Q62)</f>
        <v/>
      </c>
      <c r="O58" s="1" t="str">
        <f aca="false">IF('5. Gantt EQUIFILLES'!B62="","",'5. Gantt EQUIFILLES'!R62)</f>
        <v/>
      </c>
      <c r="P58" s="1" t="str">
        <f aca="false">IF('5. Gantt EQUIFILLES'!B62="","",'5. Gantt EQUIFILLES'!S62)</f>
        <v/>
      </c>
      <c r="Q58" s="1" t="str">
        <f aca="false">IF('5. Gantt EQUIFILLES'!B62="","",'5. Gantt EQUIFILLES'!T62)</f>
        <v/>
      </c>
      <c r="R58" s="1" t="str">
        <f aca="false">IF('5. Gantt EQUIFILLES'!B62="","",'5. Gantt EQUIFILLES'!U62)</f>
        <v/>
      </c>
    </row>
    <row r="59" customFormat="false" ht="15" hidden="false" customHeight="true" outlineLevel="0" collapsed="false">
      <c r="A59" s="1" t="str">
        <f aca="false">IF('5. Gantt EQUIFILLES'!B63="","","EQUIFILLES")</f>
        <v/>
      </c>
      <c r="B59" s="1" t="str">
        <f aca="false">IF('5. Gantt EQUIFILLES'!B63="","",'5. Gantt EQUIFILLES'!B63)</f>
        <v/>
      </c>
      <c r="C59" s="1" t="str">
        <f aca="false">IF('5. Gantt EQUIFILLES'!B63="","",'5. Gantt EQUIFILLES'!C63)</f>
        <v/>
      </c>
      <c r="D59" s="1" t="str">
        <f aca="false">IF('5. Gantt EQUIFILLES'!B63="","",'5. Gantt EQUIFILLES'!D63)</f>
        <v/>
      </c>
      <c r="E59" s="1" t="str">
        <f aca="false">IF('5. Gantt EQUIFILLES'!B63="","",'5. Gantt EQUIFILLES'!E63)</f>
        <v/>
      </c>
      <c r="F59" s="1" t="str">
        <f aca="false">IF('5. Gantt EQUIFILLES'!B63="","",'5. Gantt EQUIFILLES'!G63)</f>
        <v/>
      </c>
      <c r="G59" s="167" t="str">
        <f aca="false">IF('5. Gantt EQUIFILLES'!B63="","",'5. Gantt EQUIFILLES'!H63)</f>
        <v/>
      </c>
      <c r="H59" s="167" t="str">
        <f aca="false">IF('5. Gantt EQUIFILLES'!B63="","",'5. Gantt EQUIFILLES'!I63)</f>
        <v/>
      </c>
      <c r="I59" s="167" t="str">
        <f aca="false">IF('5. Gantt EQUIFILLES'!B63="","",'5. Gantt EQUIFILLES'!K63)</f>
        <v/>
      </c>
      <c r="J59" s="168" t="str">
        <f aca="false">IF('5. Gantt EQUIFILLES'!B63="","",'5. Gantt EQUIFILLES'!M63)</f>
        <v/>
      </c>
      <c r="K59" s="168" t="str">
        <f aca="false">IF('5. Gantt EQUIFILLES'!B63="","",'5. Gantt EQUIFILLES'!N63)</f>
        <v/>
      </c>
      <c r="L59" s="169" t="str">
        <f aca="false">IF('5. Gantt EQUIFILLES'!B63="","",'5. Gantt EQUIFILLES'!O63)</f>
        <v/>
      </c>
      <c r="M59" s="169" t="str">
        <f aca="false">IF('5. Gantt EQUIFILLES'!B63="","",'5. Gantt EQUIFILLES'!P63)</f>
        <v/>
      </c>
      <c r="N59" s="1" t="str">
        <f aca="false">IF('5. Gantt EQUIFILLES'!B63="","",'5. Gantt EQUIFILLES'!Q63)</f>
        <v/>
      </c>
      <c r="O59" s="1" t="str">
        <f aca="false">IF('5. Gantt EQUIFILLES'!B63="","",'5. Gantt EQUIFILLES'!R63)</f>
        <v/>
      </c>
      <c r="P59" s="1" t="str">
        <f aca="false">IF('5. Gantt EQUIFILLES'!B63="","",'5. Gantt EQUIFILLES'!S63)</f>
        <v/>
      </c>
      <c r="Q59" s="1" t="str">
        <f aca="false">IF('5. Gantt EQUIFILLES'!B63="","",'5. Gantt EQUIFILLES'!T63)</f>
        <v/>
      </c>
      <c r="R59" s="1" t="str">
        <f aca="false">IF('5. Gantt EQUIFILLES'!B63="","",'5. Gantt EQUIFILLES'!U63)</f>
        <v/>
      </c>
    </row>
    <row r="60" customFormat="false" ht="15" hidden="false" customHeight="true" outlineLevel="0" collapsed="false">
      <c r="A60" s="1" t="str">
        <f aca="false">IF('5. Gantt EQUIFILLES'!B64="","","EQUIFILLES")</f>
        <v/>
      </c>
      <c r="B60" s="1" t="str">
        <f aca="false">IF('5. Gantt EQUIFILLES'!B64="","",'5. Gantt EQUIFILLES'!B64)</f>
        <v/>
      </c>
      <c r="C60" s="1" t="str">
        <f aca="false">IF('5. Gantt EQUIFILLES'!B64="","",'5. Gantt EQUIFILLES'!C64)</f>
        <v/>
      </c>
      <c r="D60" s="1" t="str">
        <f aca="false">IF('5. Gantt EQUIFILLES'!B64="","",'5. Gantt EQUIFILLES'!D64)</f>
        <v/>
      </c>
      <c r="E60" s="1" t="str">
        <f aca="false">IF('5. Gantt EQUIFILLES'!B64="","",'5. Gantt EQUIFILLES'!E64)</f>
        <v/>
      </c>
      <c r="F60" s="1" t="str">
        <f aca="false">IF('5. Gantt EQUIFILLES'!B64="","",'5. Gantt EQUIFILLES'!G64)</f>
        <v/>
      </c>
      <c r="G60" s="167" t="str">
        <f aca="false">IF('5. Gantt EQUIFILLES'!B64="","",'5. Gantt EQUIFILLES'!H64)</f>
        <v/>
      </c>
      <c r="H60" s="167" t="str">
        <f aca="false">IF('5. Gantt EQUIFILLES'!B64="","",'5. Gantt EQUIFILLES'!I64)</f>
        <v/>
      </c>
      <c r="I60" s="167" t="str">
        <f aca="false">IF('5. Gantt EQUIFILLES'!B64="","",'5. Gantt EQUIFILLES'!K64)</f>
        <v/>
      </c>
      <c r="J60" s="168" t="str">
        <f aca="false">IF('5. Gantt EQUIFILLES'!B64="","",'5. Gantt EQUIFILLES'!M64)</f>
        <v/>
      </c>
      <c r="K60" s="168" t="str">
        <f aca="false">IF('5. Gantt EQUIFILLES'!B64="","",'5. Gantt EQUIFILLES'!N64)</f>
        <v/>
      </c>
      <c r="L60" s="169" t="str">
        <f aca="false">IF('5. Gantt EQUIFILLES'!B64="","",'5. Gantt EQUIFILLES'!O64)</f>
        <v/>
      </c>
      <c r="M60" s="169" t="str">
        <f aca="false">IF('5. Gantt EQUIFILLES'!B64="","",'5. Gantt EQUIFILLES'!P64)</f>
        <v/>
      </c>
      <c r="N60" s="1" t="str">
        <f aca="false">IF('5. Gantt EQUIFILLES'!B64="","",'5. Gantt EQUIFILLES'!Q64)</f>
        <v/>
      </c>
      <c r="O60" s="1" t="str">
        <f aca="false">IF('5. Gantt EQUIFILLES'!B64="","",'5. Gantt EQUIFILLES'!R64)</f>
        <v/>
      </c>
      <c r="P60" s="1" t="str">
        <f aca="false">IF('5. Gantt EQUIFILLES'!B64="","",'5. Gantt EQUIFILLES'!S64)</f>
        <v/>
      </c>
      <c r="Q60" s="1" t="str">
        <f aca="false">IF('5. Gantt EQUIFILLES'!B64="","",'5. Gantt EQUIFILLES'!T64)</f>
        <v/>
      </c>
      <c r="R60" s="1" t="str">
        <f aca="false">IF('5. Gantt EQUIFILLES'!B64="","",'5. Gantt EQUIFILLES'!U64)</f>
        <v/>
      </c>
    </row>
    <row r="61" customFormat="false" ht="15" hidden="false" customHeight="true" outlineLevel="0" collapsed="false">
      <c r="A61" s="1" t="str">
        <f aca="false">IF('5. Gantt EQUIFILLES'!B65="","","EQUIFILLES")</f>
        <v/>
      </c>
      <c r="B61" s="1" t="str">
        <f aca="false">IF('5. Gantt EQUIFILLES'!B65="","",'5. Gantt EQUIFILLES'!B65)</f>
        <v/>
      </c>
      <c r="C61" s="1" t="str">
        <f aca="false">IF('5. Gantt EQUIFILLES'!B65="","",'5. Gantt EQUIFILLES'!C65)</f>
        <v/>
      </c>
      <c r="D61" s="1" t="str">
        <f aca="false">IF('5. Gantt EQUIFILLES'!B65="","",'5. Gantt EQUIFILLES'!D65)</f>
        <v/>
      </c>
      <c r="E61" s="1" t="str">
        <f aca="false">IF('5. Gantt EQUIFILLES'!B65="","",'5. Gantt EQUIFILLES'!E65)</f>
        <v/>
      </c>
      <c r="F61" s="1" t="str">
        <f aca="false">IF('5. Gantt EQUIFILLES'!B65="","",'5. Gantt EQUIFILLES'!G65)</f>
        <v/>
      </c>
      <c r="G61" s="167" t="str">
        <f aca="false">IF('5. Gantt EQUIFILLES'!B65="","",'5. Gantt EQUIFILLES'!H65)</f>
        <v/>
      </c>
      <c r="H61" s="167" t="str">
        <f aca="false">IF('5. Gantt EQUIFILLES'!B65="","",'5. Gantt EQUIFILLES'!I65)</f>
        <v/>
      </c>
      <c r="I61" s="167" t="str">
        <f aca="false">IF('5. Gantt EQUIFILLES'!B65="","",'5. Gantt EQUIFILLES'!K65)</f>
        <v/>
      </c>
      <c r="J61" s="168" t="str">
        <f aca="false">IF('5. Gantt EQUIFILLES'!B65="","",'5. Gantt EQUIFILLES'!M65)</f>
        <v/>
      </c>
      <c r="K61" s="168" t="str">
        <f aca="false">IF('5. Gantt EQUIFILLES'!B65="","",'5. Gantt EQUIFILLES'!N65)</f>
        <v/>
      </c>
      <c r="L61" s="169" t="str">
        <f aca="false">IF('5. Gantt EQUIFILLES'!B65="","",'5. Gantt EQUIFILLES'!O65)</f>
        <v/>
      </c>
      <c r="M61" s="169" t="str">
        <f aca="false">IF('5. Gantt EQUIFILLES'!B65="","",'5. Gantt EQUIFILLES'!P65)</f>
        <v/>
      </c>
      <c r="N61" s="1" t="str">
        <f aca="false">IF('5. Gantt EQUIFILLES'!B65="","",'5. Gantt EQUIFILLES'!Q65)</f>
        <v/>
      </c>
      <c r="O61" s="1" t="str">
        <f aca="false">IF('5. Gantt EQUIFILLES'!B65="","",'5. Gantt EQUIFILLES'!R65)</f>
        <v/>
      </c>
      <c r="P61" s="1" t="str">
        <f aca="false">IF('5. Gantt EQUIFILLES'!B65="","",'5. Gantt EQUIFILLES'!S65)</f>
        <v/>
      </c>
      <c r="Q61" s="1" t="str">
        <f aca="false">IF('5. Gantt EQUIFILLES'!B65="","",'5. Gantt EQUIFILLES'!T65)</f>
        <v/>
      </c>
      <c r="R61" s="1" t="str">
        <f aca="false">IF('5. Gantt EQUIFILLES'!B65="","",'5. Gantt EQUIFILLES'!U65)</f>
        <v/>
      </c>
    </row>
    <row r="62" customFormat="false" ht="15" hidden="false" customHeight="true" outlineLevel="0" collapsed="false">
      <c r="A62" s="1" t="str">
        <f aca="false">IF('5. Gantt EQUIFILLES'!B66="","","EQUIFILLES")</f>
        <v/>
      </c>
      <c r="B62" s="1" t="str">
        <f aca="false">IF('5. Gantt EQUIFILLES'!B66="","",'5. Gantt EQUIFILLES'!B66)</f>
        <v/>
      </c>
      <c r="C62" s="1" t="str">
        <f aca="false">IF('5. Gantt EQUIFILLES'!B66="","",'5. Gantt EQUIFILLES'!C66)</f>
        <v/>
      </c>
      <c r="D62" s="1" t="str">
        <f aca="false">IF('5. Gantt EQUIFILLES'!B66="","",'5. Gantt EQUIFILLES'!D66)</f>
        <v/>
      </c>
      <c r="E62" s="1" t="str">
        <f aca="false">IF('5. Gantt EQUIFILLES'!B66="","",'5. Gantt EQUIFILLES'!E66)</f>
        <v/>
      </c>
      <c r="F62" s="1" t="str">
        <f aca="false">IF('5. Gantt EQUIFILLES'!B66="","",'5. Gantt EQUIFILLES'!G66)</f>
        <v/>
      </c>
      <c r="G62" s="167" t="str">
        <f aca="false">IF('5. Gantt EQUIFILLES'!B66="","",'5. Gantt EQUIFILLES'!H66)</f>
        <v/>
      </c>
      <c r="H62" s="167" t="str">
        <f aca="false">IF('5. Gantt EQUIFILLES'!B66="","",'5. Gantt EQUIFILLES'!I66)</f>
        <v/>
      </c>
      <c r="I62" s="167" t="str">
        <f aca="false">IF('5. Gantt EQUIFILLES'!B66="","",'5. Gantt EQUIFILLES'!K66)</f>
        <v/>
      </c>
      <c r="J62" s="168" t="str">
        <f aca="false">IF('5. Gantt EQUIFILLES'!B66="","",'5. Gantt EQUIFILLES'!M66)</f>
        <v/>
      </c>
      <c r="K62" s="168" t="str">
        <f aca="false">IF('5. Gantt EQUIFILLES'!B66="","",'5. Gantt EQUIFILLES'!N66)</f>
        <v/>
      </c>
      <c r="L62" s="169" t="str">
        <f aca="false">IF('5. Gantt EQUIFILLES'!B66="","",'5. Gantt EQUIFILLES'!O66)</f>
        <v/>
      </c>
      <c r="M62" s="169" t="str">
        <f aca="false">IF('5. Gantt EQUIFILLES'!B66="","",'5. Gantt EQUIFILLES'!P66)</f>
        <v/>
      </c>
      <c r="N62" s="1" t="str">
        <f aca="false">IF('5. Gantt EQUIFILLES'!B66="","",'5. Gantt EQUIFILLES'!Q66)</f>
        <v/>
      </c>
      <c r="O62" s="1" t="str">
        <f aca="false">IF('5. Gantt EQUIFILLES'!B66="","",'5. Gantt EQUIFILLES'!R66)</f>
        <v/>
      </c>
      <c r="P62" s="1" t="str">
        <f aca="false">IF('5. Gantt EQUIFILLES'!B66="","",'5. Gantt EQUIFILLES'!S66)</f>
        <v/>
      </c>
      <c r="Q62" s="1" t="str">
        <f aca="false">IF('5. Gantt EQUIFILLES'!B66="","",'5. Gantt EQUIFILLES'!T66)</f>
        <v/>
      </c>
      <c r="R62" s="1" t="str">
        <f aca="false">IF('5. Gantt EQUIFILLES'!B66="","",'5. Gantt EQUIFILLES'!U66)</f>
        <v/>
      </c>
    </row>
    <row r="63" customFormat="false" ht="15" hidden="false" customHeight="true" outlineLevel="0" collapsed="false">
      <c r="A63" s="1" t="str">
        <f aca="false">IF('5. Gantt EQUIFILLES'!B67="","","EQUIFILLES")</f>
        <v/>
      </c>
      <c r="B63" s="1" t="str">
        <f aca="false">IF('5. Gantt EQUIFILLES'!B67="","",'5. Gantt EQUIFILLES'!B67)</f>
        <v/>
      </c>
      <c r="C63" s="1" t="str">
        <f aca="false">IF('5. Gantt EQUIFILLES'!B67="","",'5. Gantt EQUIFILLES'!C67)</f>
        <v/>
      </c>
      <c r="D63" s="1" t="str">
        <f aca="false">IF('5. Gantt EQUIFILLES'!B67="","",'5. Gantt EQUIFILLES'!D67)</f>
        <v/>
      </c>
      <c r="E63" s="1" t="str">
        <f aca="false">IF('5. Gantt EQUIFILLES'!B67="","",'5. Gantt EQUIFILLES'!E67)</f>
        <v/>
      </c>
      <c r="F63" s="1" t="str">
        <f aca="false">IF('5. Gantt EQUIFILLES'!B67="","",'5. Gantt EQUIFILLES'!G67)</f>
        <v/>
      </c>
      <c r="G63" s="167" t="str">
        <f aca="false">IF('5. Gantt EQUIFILLES'!B67="","",'5. Gantt EQUIFILLES'!H67)</f>
        <v/>
      </c>
      <c r="H63" s="167" t="str">
        <f aca="false">IF('5. Gantt EQUIFILLES'!B67="","",'5. Gantt EQUIFILLES'!I67)</f>
        <v/>
      </c>
      <c r="I63" s="167" t="str">
        <f aca="false">IF('5. Gantt EQUIFILLES'!B67="","",'5. Gantt EQUIFILLES'!K67)</f>
        <v/>
      </c>
      <c r="J63" s="168" t="str">
        <f aca="false">IF('5. Gantt EQUIFILLES'!B67="","",'5. Gantt EQUIFILLES'!M67)</f>
        <v/>
      </c>
      <c r="K63" s="168" t="str">
        <f aca="false">IF('5. Gantt EQUIFILLES'!B67="","",'5. Gantt EQUIFILLES'!N67)</f>
        <v/>
      </c>
      <c r="L63" s="169" t="str">
        <f aca="false">IF('5. Gantt EQUIFILLES'!B67="","",'5. Gantt EQUIFILLES'!O67)</f>
        <v/>
      </c>
      <c r="M63" s="169" t="str">
        <f aca="false">IF('5. Gantt EQUIFILLES'!B67="","",'5. Gantt EQUIFILLES'!P67)</f>
        <v/>
      </c>
      <c r="N63" s="1" t="str">
        <f aca="false">IF('5. Gantt EQUIFILLES'!B67="","",'5. Gantt EQUIFILLES'!Q67)</f>
        <v/>
      </c>
      <c r="O63" s="1" t="str">
        <f aca="false">IF('5. Gantt EQUIFILLES'!B67="","",'5. Gantt EQUIFILLES'!R67)</f>
        <v/>
      </c>
      <c r="P63" s="1" t="str">
        <f aca="false">IF('5. Gantt EQUIFILLES'!B67="","",'5. Gantt EQUIFILLES'!S67)</f>
        <v/>
      </c>
      <c r="Q63" s="1" t="str">
        <f aca="false">IF('5. Gantt EQUIFILLES'!B67="","",'5. Gantt EQUIFILLES'!T67)</f>
        <v/>
      </c>
      <c r="R63" s="1" t="str">
        <f aca="false">IF('5. Gantt EQUIFILLES'!B67="","",'5. Gantt EQUIFILLES'!U67)</f>
        <v/>
      </c>
    </row>
    <row r="64" customFormat="false" ht="15" hidden="false" customHeight="true" outlineLevel="0" collapsed="false">
      <c r="A64" s="1" t="str">
        <f aca="false">IF('5. Gantt EQUIFILLES'!B68="","","EQUIFILLES")</f>
        <v/>
      </c>
      <c r="B64" s="1" t="str">
        <f aca="false">IF('5. Gantt EQUIFILLES'!B68="","",'5. Gantt EQUIFILLES'!B68)</f>
        <v/>
      </c>
      <c r="C64" s="1" t="str">
        <f aca="false">IF('5. Gantt EQUIFILLES'!B68="","",'5. Gantt EQUIFILLES'!C68)</f>
        <v/>
      </c>
      <c r="D64" s="1" t="str">
        <f aca="false">IF('5. Gantt EQUIFILLES'!B68="","",'5. Gantt EQUIFILLES'!D68)</f>
        <v/>
      </c>
      <c r="E64" s="1" t="str">
        <f aca="false">IF('5. Gantt EQUIFILLES'!B68="","",'5. Gantt EQUIFILLES'!E68)</f>
        <v/>
      </c>
      <c r="F64" s="1" t="str">
        <f aca="false">IF('5. Gantt EQUIFILLES'!B68="","",'5. Gantt EQUIFILLES'!G68)</f>
        <v/>
      </c>
      <c r="G64" s="167" t="str">
        <f aca="false">IF('5. Gantt EQUIFILLES'!B68="","",'5. Gantt EQUIFILLES'!H68)</f>
        <v/>
      </c>
      <c r="H64" s="167" t="str">
        <f aca="false">IF('5. Gantt EQUIFILLES'!B68="","",'5. Gantt EQUIFILLES'!I68)</f>
        <v/>
      </c>
      <c r="I64" s="167" t="str">
        <f aca="false">IF('5. Gantt EQUIFILLES'!B68="","",'5. Gantt EQUIFILLES'!K68)</f>
        <v/>
      </c>
      <c r="J64" s="168" t="str">
        <f aca="false">IF('5. Gantt EQUIFILLES'!B68="","",'5. Gantt EQUIFILLES'!M68)</f>
        <v/>
      </c>
      <c r="K64" s="168" t="str">
        <f aca="false">IF('5. Gantt EQUIFILLES'!B68="","",'5. Gantt EQUIFILLES'!N68)</f>
        <v/>
      </c>
      <c r="L64" s="169" t="str">
        <f aca="false">IF('5. Gantt EQUIFILLES'!B68="","",'5. Gantt EQUIFILLES'!O68)</f>
        <v/>
      </c>
      <c r="M64" s="169" t="str">
        <f aca="false">IF('5. Gantt EQUIFILLES'!B68="","",'5. Gantt EQUIFILLES'!P68)</f>
        <v/>
      </c>
      <c r="N64" s="1" t="str">
        <f aca="false">IF('5. Gantt EQUIFILLES'!B68="","",'5. Gantt EQUIFILLES'!Q68)</f>
        <v/>
      </c>
      <c r="O64" s="1" t="str">
        <f aca="false">IF('5. Gantt EQUIFILLES'!B68="","",'5. Gantt EQUIFILLES'!R68)</f>
        <v/>
      </c>
      <c r="P64" s="1" t="str">
        <f aca="false">IF('5. Gantt EQUIFILLES'!B68="","",'5. Gantt EQUIFILLES'!S68)</f>
        <v/>
      </c>
      <c r="Q64" s="1" t="str">
        <f aca="false">IF('5. Gantt EQUIFILLES'!B68="","",'5. Gantt EQUIFILLES'!T68)</f>
        <v/>
      </c>
      <c r="R64" s="1" t="str">
        <f aca="false">IF('5. Gantt EQUIFILLES'!B68="","",'5. Gantt EQUIFILLES'!U68)</f>
        <v/>
      </c>
    </row>
    <row r="65" customFormat="false" ht="15" hidden="false" customHeight="true" outlineLevel="0" collapsed="false">
      <c r="A65" s="1" t="str">
        <f aca="false">IF('5. Gantt EQUIFILLES'!B69="","","EQUIFILLES")</f>
        <v/>
      </c>
      <c r="B65" s="1" t="str">
        <f aca="false">IF('5. Gantt EQUIFILLES'!B69="","",'5. Gantt EQUIFILLES'!B69)</f>
        <v/>
      </c>
      <c r="C65" s="1" t="str">
        <f aca="false">IF('5. Gantt EQUIFILLES'!B69="","",'5. Gantt EQUIFILLES'!C69)</f>
        <v/>
      </c>
      <c r="D65" s="1" t="str">
        <f aca="false">IF('5. Gantt EQUIFILLES'!B69="","",'5. Gantt EQUIFILLES'!D69)</f>
        <v/>
      </c>
      <c r="E65" s="1" t="str">
        <f aca="false">IF('5. Gantt EQUIFILLES'!B69="","",'5. Gantt EQUIFILLES'!E69)</f>
        <v/>
      </c>
      <c r="F65" s="1" t="str">
        <f aca="false">IF('5. Gantt EQUIFILLES'!B69="","",'5. Gantt EQUIFILLES'!G69)</f>
        <v/>
      </c>
      <c r="G65" s="167" t="str">
        <f aca="false">IF('5. Gantt EQUIFILLES'!B69="","",'5. Gantt EQUIFILLES'!H69)</f>
        <v/>
      </c>
      <c r="H65" s="167" t="str">
        <f aca="false">IF('5. Gantt EQUIFILLES'!B69="","",'5. Gantt EQUIFILLES'!I69)</f>
        <v/>
      </c>
      <c r="I65" s="167" t="str">
        <f aca="false">IF('5. Gantt EQUIFILLES'!B69="","",'5. Gantt EQUIFILLES'!K69)</f>
        <v/>
      </c>
      <c r="J65" s="168" t="str">
        <f aca="false">IF('5. Gantt EQUIFILLES'!B69="","",'5. Gantt EQUIFILLES'!M69)</f>
        <v/>
      </c>
      <c r="K65" s="168" t="str">
        <f aca="false">IF('5. Gantt EQUIFILLES'!B69="","",'5. Gantt EQUIFILLES'!N69)</f>
        <v/>
      </c>
      <c r="L65" s="169" t="str">
        <f aca="false">IF('5. Gantt EQUIFILLES'!B69="","",'5. Gantt EQUIFILLES'!O69)</f>
        <v/>
      </c>
      <c r="M65" s="169" t="str">
        <f aca="false">IF('5. Gantt EQUIFILLES'!B69="","",'5. Gantt EQUIFILLES'!P69)</f>
        <v/>
      </c>
      <c r="N65" s="1" t="str">
        <f aca="false">IF('5. Gantt EQUIFILLES'!B69="","",'5. Gantt EQUIFILLES'!Q69)</f>
        <v/>
      </c>
      <c r="O65" s="1" t="str">
        <f aca="false">IF('5. Gantt EQUIFILLES'!B69="","",'5. Gantt EQUIFILLES'!R69)</f>
        <v/>
      </c>
      <c r="P65" s="1" t="str">
        <f aca="false">IF('5. Gantt EQUIFILLES'!B69="","",'5. Gantt EQUIFILLES'!S69)</f>
        <v/>
      </c>
      <c r="Q65" s="1" t="str">
        <f aca="false">IF('5. Gantt EQUIFILLES'!B69="","",'5. Gantt EQUIFILLES'!T69)</f>
        <v/>
      </c>
      <c r="R65" s="1" t="str">
        <f aca="false">IF('5. Gantt EQUIFILLES'!B69="","",'5. Gantt EQUIFILLES'!U69)</f>
        <v/>
      </c>
    </row>
    <row r="66" customFormat="false" ht="15" hidden="false" customHeight="true" outlineLevel="0" collapsed="false">
      <c r="A66" s="1" t="str">
        <f aca="false">IF('5. Gantt EQUIFILLES'!B70="","","EQUIFILLES")</f>
        <v/>
      </c>
      <c r="B66" s="1" t="str">
        <f aca="false">IF('5. Gantt EQUIFILLES'!B70="","",'5. Gantt EQUIFILLES'!B70)</f>
        <v/>
      </c>
      <c r="C66" s="1" t="str">
        <f aca="false">IF('5. Gantt EQUIFILLES'!B70="","",'5. Gantt EQUIFILLES'!C70)</f>
        <v/>
      </c>
      <c r="D66" s="1" t="str">
        <f aca="false">IF('5. Gantt EQUIFILLES'!B70="","",'5. Gantt EQUIFILLES'!D70)</f>
        <v/>
      </c>
      <c r="E66" s="1" t="str">
        <f aca="false">IF('5. Gantt EQUIFILLES'!B70="","",'5. Gantt EQUIFILLES'!E70)</f>
        <v/>
      </c>
      <c r="F66" s="1" t="str">
        <f aca="false">IF('5. Gantt EQUIFILLES'!B70="","",'5. Gantt EQUIFILLES'!G70)</f>
        <v/>
      </c>
      <c r="G66" s="167" t="str">
        <f aca="false">IF('5. Gantt EQUIFILLES'!B70="","",'5. Gantt EQUIFILLES'!H70)</f>
        <v/>
      </c>
      <c r="H66" s="167" t="str">
        <f aca="false">IF('5. Gantt EQUIFILLES'!B70="","",'5. Gantt EQUIFILLES'!I70)</f>
        <v/>
      </c>
      <c r="I66" s="167" t="str">
        <f aca="false">IF('5. Gantt EQUIFILLES'!B70="","",'5. Gantt EQUIFILLES'!K70)</f>
        <v/>
      </c>
      <c r="J66" s="168" t="str">
        <f aca="false">IF('5. Gantt EQUIFILLES'!B70="","",'5. Gantt EQUIFILLES'!M70)</f>
        <v/>
      </c>
      <c r="K66" s="168" t="str">
        <f aca="false">IF('5. Gantt EQUIFILLES'!B70="","",'5. Gantt EQUIFILLES'!N70)</f>
        <v/>
      </c>
      <c r="L66" s="169" t="str">
        <f aca="false">IF('5. Gantt EQUIFILLES'!B70="","",'5. Gantt EQUIFILLES'!O70)</f>
        <v/>
      </c>
      <c r="M66" s="169" t="str">
        <f aca="false">IF('5. Gantt EQUIFILLES'!B70="","",'5. Gantt EQUIFILLES'!P70)</f>
        <v/>
      </c>
      <c r="N66" s="1" t="str">
        <f aca="false">IF('5. Gantt EQUIFILLES'!B70="","",'5. Gantt EQUIFILLES'!Q70)</f>
        <v/>
      </c>
      <c r="O66" s="1" t="str">
        <f aca="false">IF('5. Gantt EQUIFILLES'!B70="","",'5. Gantt EQUIFILLES'!R70)</f>
        <v/>
      </c>
      <c r="P66" s="1" t="str">
        <f aca="false">IF('5. Gantt EQUIFILLES'!B70="","",'5. Gantt EQUIFILLES'!S70)</f>
        <v/>
      </c>
      <c r="Q66" s="1" t="str">
        <f aca="false">IF('5. Gantt EQUIFILLES'!B70="","",'5. Gantt EQUIFILLES'!T70)</f>
        <v/>
      </c>
      <c r="R66" s="1" t="str">
        <f aca="false">IF('5. Gantt EQUIFILLES'!B70="","",'5. Gantt EQUIFILLES'!U70)</f>
        <v/>
      </c>
    </row>
    <row r="67" customFormat="false" ht="15" hidden="false" customHeight="true" outlineLevel="0" collapsed="false">
      <c r="A67" s="1" t="str">
        <f aca="false">IF('5. Gantt EQUIFILLES'!B71="","","EQUIFILLES")</f>
        <v/>
      </c>
      <c r="B67" s="1" t="str">
        <f aca="false">IF('5. Gantt EQUIFILLES'!B71="","",'5. Gantt EQUIFILLES'!B71)</f>
        <v/>
      </c>
      <c r="C67" s="1" t="str">
        <f aca="false">IF('5. Gantt EQUIFILLES'!B71="","",'5. Gantt EQUIFILLES'!C71)</f>
        <v/>
      </c>
      <c r="D67" s="1" t="str">
        <f aca="false">IF('5. Gantt EQUIFILLES'!B71="","",'5. Gantt EQUIFILLES'!D71)</f>
        <v/>
      </c>
      <c r="E67" s="1" t="str">
        <f aca="false">IF('5. Gantt EQUIFILLES'!B71="","",'5. Gantt EQUIFILLES'!E71)</f>
        <v/>
      </c>
      <c r="F67" s="1" t="str">
        <f aca="false">IF('5. Gantt EQUIFILLES'!B71="","",'5. Gantt EQUIFILLES'!G71)</f>
        <v/>
      </c>
      <c r="G67" s="167" t="str">
        <f aca="false">IF('5. Gantt EQUIFILLES'!B71="","",'5. Gantt EQUIFILLES'!H71)</f>
        <v/>
      </c>
      <c r="H67" s="167" t="str">
        <f aca="false">IF('5. Gantt EQUIFILLES'!B71="","",'5. Gantt EQUIFILLES'!I71)</f>
        <v/>
      </c>
      <c r="I67" s="167" t="str">
        <f aca="false">IF('5. Gantt EQUIFILLES'!B71="","",'5. Gantt EQUIFILLES'!K71)</f>
        <v/>
      </c>
      <c r="J67" s="168" t="str">
        <f aca="false">IF('5. Gantt EQUIFILLES'!B71="","",'5. Gantt EQUIFILLES'!M71)</f>
        <v/>
      </c>
      <c r="K67" s="168" t="str">
        <f aca="false">IF('5. Gantt EQUIFILLES'!B71="","",'5. Gantt EQUIFILLES'!N71)</f>
        <v/>
      </c>
      <c r="L67" s="169" t="str">
        <f aca="false">IF('5. Gantt EQUIFILLES'!B71="","",'5. Gantt EQUIFILLES'!O71)</f>
        <v/>
      </c>
      <c r="M67" s="169" t="str">
        <f aca="false">IF('5. Gantt EQUIFILLES'!B71="","",'5. Gantt EQUIFILLES'!P71)</f>
        <v/>
      </c>
      <c r="N67" s="1" t="str">
        <f aca="false">IF('5. Gantt EQUIFILLES'!B71="","",'5. Gantt EQUIFILLES'!Q71)</f>
        <v/>
      </c>
      <c r="O67" s="1" t="str">
        <f aca="false">IF('5. Gantt EQUIFILLES'!B71="","",'5. Gantt EQUIFILLES'!R71)</f>
        <v/>
      </c>
      <c r="P67" s="1" t="str">
        <f aca="false">IF('5. Gantt EQUIFILLES'!B71="","",'5. Gantt EQUIFILLES'!S71)</f>
        <v/>
      </c>
      <c r="Q67" s="1" t="str">
        <f aca="false">IF('5. Gantt EQUIFILLES'!B71="","",'5. Gantt EQUIFILLES'!T71)</f>
        <v/>
      </c>
      <c r="R67" s="1" t="str">
        <f aca="false">IF('5. Gantt EQUIFILLES'!B71="","",'5. Gantt EQUIFILLES'!U71)</f>
        <v/>
      </c>
    </row>
    <row r="68" customFormat="false" ht="15" hidden="false" customHeight="true" outlineLevel="0" collapsed="false">
      <c r="A68" s="1" t="str">
        <f aca="false">IF('5. Gantt EQUIFILLES'!B72="","","EQUIFILLES")</f>
        <v/>
      </c>
      <c r="B68" s="1" t="str">
        <f aca="false">IF('5. Gantt EQUIFILLES'!B72="","",'5. Gantt EQUIFILLES'!B72)</f>
        <v/>
      </c>
      <c r="C68" s="1" t="str">
        <f aca="false">IF('5. Gantt EQUIFILLES'!B72="","",'5. Gantt EQUIFILLES'!C72)</f>
        <v/>
      </c>
      <c r="D68" s="1" t="str">
        <f aca="false">IF('5. Gantt EQUIFILLES'!B72="","",'5. Gantt EQUIFILLES'!D72)</f>
        <v/>
      </c>
      <c r="E68" s="1" t="str">
        <f aca="false">IF('5. Gantt EQUIFILLES'!B72="","",'5. Gantt EQUIFILLES'!E72)</f>
        <v/>
      </c>
      <c r="F68" s="1" t="str">
        <f aca="false">IF('5. Gantt EQUIFILLES'!B72="","",'5. Gantt EQUIFILLES'!G72)</f>
        <v/>
      </c>
      <c r="G68" s="167" t="str">
        <f aca="false">IF('5. Gantt EQUIFILLES'!B72="","",'5. Gantt EQUIFILLES'!H72)</f>
        <v/>
      </c>
      <c r="H68" s="167" t="str">
        <f aca="false">IF('5. Gantt EQUIFILLES'!B72="","",'5. Gantt EQUIFILLES'!I72)</f>
        <v/>
      </c>
      <c r="I68" s="167" t="str">
        <f aca="false">IF('5. Gantt EQUIFILLES'!B72="","",'5. Gantt EQUIFILLES'!K72)</f>
        <v/>
      </c>
      <c r="J68" s="168" t="str">
        <f aca="false">IF('5. Gantt EQUIFILLES'!B72="","",'5. Gantt EQUIFILLES'!M72)</f>
        <v/>
      </c>
      <c r="K68" s="168" t="str">
        <f aca="false">IF('5. Gantt EQUIFILLES'!B72="","",'5. Gantt EQUIFILLES'!N72)</f>
        <v/>
      </c>
      <c r="L68" s="169" t="str">
        <f aca="false">IF('5. Gantt EQUIFILLES'!B72="","",'5. Gantt EQUIFILLES'!O72)</f>
        <v/>
      </c>
      <c r="M68" s="169" t="str">
        <f aca="false">IF('5. Gantt EQUIFILLES'!B72="","",'5. Gantt EQUIFILLES'!P72)</f>
        <v/>
      </c>
      <c r="N68" s="1" t="str">
        <f aca="false">IF('5. Gantt EQUIFILLES'!B72="","",'5. Gantt EQUIFILLES'!Q72)</f>
        <v/>
      </c>
      <c r="O68" s="1" t="str">
        <f aca="false">IF('5. Gantt EQUIFILLES'!B72="","",'5. Gantt EQUIFILLES'!R72)</f>
        <v/>
      </c>
      <c r="P68" s="1" t="str">
        <f aca="false">IF('5. Gantt EQUIFILLES'!B72="","",'5. Gantt EQUIFILLES'!S72)</f>
        <v/>
      </c>
      <c r="Q68" s="1" t="str">
        <f aca="false">IF('5. Gantt EQUIFILLES'!B72="","",'5. Gantt EQUIFILLES'!T72)</f>
        <v/>
      </c>
      <c r="R68" s="1" t="str">
        <f aca="false">IF('5. Gantt EQUIFILLES'!B72="","",'5. Gantt EQUIFILLES'!U72)</f>
        <v/>
      </c>
    </row>
    <row r="69" customFormat="false" ht="15" hidden="false" customHeight="true" outlineLevel="0" collapsed="false">
      <c r="A69" s="1" t="str">
        <f aca="false">IF('5. Gantt EQUIFILLES'!B73="","","EQUIFILLES")</f>
        <v/>
      </c>
      <c r="B69" s="1" t="str">
        <f aca="false">IF('5. Gantt EQUIFILLES'!B73="","",'5. Gantt EQUIFILLES'!B73)</f>
        <v/>
      </c>
      <c r="C69" s="1" t="str">
        <f aca="false">IF('5. Gantt EQUIFILLES'!B73="","",'5. Gantt EQUIFILLES'!C73)</f>
        <v/>
      </c>
      <c r="D69" s="1" t="str">
        <f aca="false">IF('5. Gantt EQUIFILLES'!B73="","",'5. Gantt EQUIFILLES'!D73)</f>
        <v/>
      </c>
      <c r="E69" s="1" t="str">
        <f aca="false">IF('5. Gantt EQUIFILLES'!B73="","",'5. Gantt EQUIFILLES'!E73)</f>
        <v/>
      </c>
      <c r="F69" s="1" t="str">
        <f aca="false">IF('5. Gantt EQUIFILLES'!B73="","",'5. Gantt EQUIFILLES'!G73)</f>
        <v/>
      </c>
      <c r="G69" s="167" t="str">
        <f aca="false">IF('5. Gantt EQUIFILLES'!B73="","",'5. Gantt EQUIFILLES'!H73)</f>
        <v/>
      </c>
      <c r="H69" s="167" t="str">
        <f aca="false">IF('5. Gantt EQUIFILLES'!B73="","",'5. Gantt EQUIFILLES'!I73)</f>
        <v/>
      </c>
      <c r="I69" s="167" t="str">
        <f aca="false">IF('5. Gantt EQUIFILLES'!B73="","",'5. Gantt EQUIFILLES'!K73)</f>
        <v/>
      </c>
      <c r="J69" s="168" t="str">
        <f aca="false">IF('5. Gantt EQUIFILLES'!B73="","",'5. Gantt EQUIFILLES'!M73)</f>
        <v/>
      </c>
      <c r="K69" s="168" t="str">
        <f aca="false">IF('5. Gantt EQUIFILLES'!B73="","",'5. Gantt EQUIFILLES'!N73)</f>
        <v/>
      </c>
      <c r="L69" s="169" t="str">
        <f aca="false">IF('5. Gantt EQUIFILLES'!B73="","",'5. Gantt EQUIFILLES'!O73)</f>
        <v/>
      </c>
      <c r="M69" s="169" t="str">
        <f aca="false">IF('5. Gantt EQUIFILLES'!B73="","",'5. Gantt EQUIFILLES'!P73)</f>
        <v/>
      </c>
      <c r="N69" s="1" t="str">
        <f aca="false">IF('5. Gantt EQUIFILLES'!B73="","",'5. Gantt EQUIFILLES'!Q73)</f>
        <v/>
      </c>
      <c r="O69" s="1" t="str">
        <f aca="false">IF('5. Gantt EQUIFILLES'!B73="","",'5. Gantt EQUIFILLES'!R73)</f>
        <v/>
      </c>
      <c r="P69" s="1" t="str">
        <f aca="false">IF('5. Gantt EQUIFILLES'!B73="","",'5. Gantt EQUIFILLES'!S73)</f>
        <v/>
      </c>
      <c r="Q69" s="1" t="str">
        <f aca="false">IF('5. Gantt EQUIFILLES'!B73="","",'5. Gantt EQUIFILLES'!T73)</f>
        <v/>
      </c>
      <c r="R69" s="1" t="str">
        <f aca="false">IF('5. Gantt EQUIFILLES'!B73="","",'5. Gantt EQUIFILLES'!U73)</f>
        <v/>
      </c>
    </row>
    <row r="70" customFormat="false" ht="15" hidden="false" customHeight="true" outlineLevel="0" collapsed="false">
      <c r="A70" s="1" t="str">
        <f aca="false">IF('5. Gantt EQUIFILLES'!B74="","","EQUIFILLES")</f>
        <v/>
      </c>
      <c r="B70" s="1" t="str">
        <f aca="false">IF('5. Gantt EQUIFILLES'!B74="","",'5. Gantt EQUIFILLES'!B74)</f>
        <v/>
      </c>
      <c r="C70" s="1" t="str">
        <f aca="false">IF('5. Gantt EQUIFILLES'!B74="","",'5. Gantt EQUIFILLES'!C74)</f>
        <v/>
      </c>
      <c r="D70" s="1" t="str">
        <f aca="false">IF('5. Gantt EQUIFILLES'!B74="","",'5. Gantt EQUIFILLES'!D74)</f>
        <v/>
      </c>
      <c r="E70" s="1" t="str">
        <f aca="false">IF('5. Gantt EQUIFILLES'!B74="","",'5. Gantt EQUIFILLES'!E74)</f>
        <v/>
      </c>
      <c r="F70" s="1" t="str">
        <f aca="false">IF('5. Gantt EQUIFILLES'!B74="","",'5. Gantt EQUIFILLES'!G74)</f>
        <v/>
      </c>
      <c r="G70" s="167" t="str">
        <f aca="false">IF('5. Gantt EQUIFILLES'!B74="","",'5. Gantt EQUIFILLES'!H74)</f>
        <v/>
      </c>
      <c r="H70" s="167" t="str">
        <f aca="false">IF('5. Gantt EQUIFILLES'!B74="","",'5. Gantt EQUIFILLES'!I74)</f>
        <v/>
      </c>
      <c r="I70" s="167" t="str">
        <f aca="false">IF('5. Gantt EQUIFILLES'!B74="","",'5. Gantt EQUIFILLES'!K74)</f>
        <v/>
      </c>
      <c r="J70" s="168" t="str">
        <f aca="false">IF('5. Gantt EQUIFILLES'!B74="","",'5. Gantt EQUIFILLES'!M74)</f>
        <v/>
      </c>
      <c r="K70" s="168" t="str">
        <f aca="false">IF('5. Gantt EQUIFILLES'!B74="","",'5. Gantt EQUIFILLES'!N74)</f>
        <v/>
      </c>
      <c r="L70" s="169" t="str">
        <f aca="false">IF('5. Gantt EQUIFILLES'!B74="","",'5. Gantt EQUIFILLES'!O74)</f>
        <v/>
      </c>
      <c r="M70" s="169" t="str">
        <f aca="false">IF('5. Gantt EQUIFILLES'!B74="","",'5. Gantt EQUIFILLES'!P74)</f>
        <v/>
      </c>
      <c r="N70" s="1" t="str">
        <f aca="false">IF('5. Gantt EQUIFILLES'!B74="","",'5. Gantt EQUIFILLES'!Q74)</f>
        <v/>
      </c>
      <c r="O70" s="1" t="str">
        <f aca="false">IF('5. Gantt EQUIFILLES'!B74="","",'5. Gantt EQUIFILLES'!R74)</f>
        <v/>
      </c>
      <c r="P70" s="1" t="str">
        <f aca="false">IF('5. Gantt EQUIFILLES'!B74="","",'5. Gantt EQUIFILLES'!S74)</f>
        <v/>
      </c>
      <c r="Q70" s="1" t="str">
        <f aca="false">IF('5. Gantt EQUIFILLES'!B74="","",'5. Gantt EQUIFILLES'!T74)</f>
        <v/>
      </c>
      <c r="R70" s="1" t="str">
        <f aca="false">IF('5. Gantt EQUIFILLES'!B74="","",'5. Gantt EQUIFILLES'!U74)</f>
        <v/>
      </c>
    </row>
    <row r="71" customFormat="false" ht="15" hidden="false" customHeight="true" outlineLevel="0" collapsed="false">
      <c r="A71" s="1" t="str">
        <f aca="false">IF('5. Gantt EQUIFILLES'!B75="","","EQUIFILLES")</f>
        <v/>
      </c>
      <c r="B71" s="1" t="str">
        <f aca="false">IF('5. Gantt EQUIFILLES'!B75="","",'5. Gantt EQUIFILLES'!B75)</f>
        <v/>
      </c>
      <c r="C71" s="1" t="str">
        <f aca="false">IF('5. Gantt EQUIFILLES'!B75="","",'5. Gantt EQUIFILLES'!C75)</f>
        <v/>
      </c>
      <c r="D71" s="1" t="str">
        <f aca="false">IF('5. Gantt EQUIFILLES'!B75="","",'5. Gantt EQUIFILLES'!D75)</f>
        <v/>
      </c>
      <c r="E71" s="1" t="str">
        <f aca="false">IF('5. Gantt EQUIFILLES'!B75="","",'5. Gantt EQUIFILLES'!E75)</f>
        <v/>
      </c>
      <c r="F71" s="1" t="str">
        <f aca="false">IF('5. Gantt EQUIFILLES'!B75="","",'5. Gantt EQUIFILLES'!G75)</f>
        <v/>
      </c>
      <c r="G71" s="167" t="str">
        <f aca="false">IF('5. Gantt EQUIFILLES'!B75="","",'5. Gantt EQUIFILLES'!H75)</f>
        <v/>
      </c>
      <c r="H71" s="167" t="str">
        <f aca="false">IF('5. Gantt EQUIFILLES'!B75="","",'5. Gantt EQUIFILLES'!I75)</f>
        <v/>
      </c>
      <c r="I71" s="167" t="str">
        <f aca="false">IF('5. Gantt EQUIFILLES'!B75="","",'5. Gantt EQUIFILLES'!K75)</f>
        <v/>
      </c>
      <c r="J71" s="168" t="str">
        <f aca="false">IF('5. Gantt EQUIFILLES'!B75="","",'5. Gantt EQUIFILLES'!M75)</f>
        <v/>
      </c>
      <c r="K71" s="168" t="str">
        <f aca="false">IF('5. Gantt EQUIFILLES'!B75="","",'5. Gantt EQUIFILLES'!N75)</f>
        <v/>
      </c>
      <c r="L71" s="169" t="str">
        <f aca="false">IF('5. Gantt EQUIFILLES'!B75="","",'5. Gantt EQUIFILLES'!O75)</f>
        <v/>
      </c>
      <c r="M71" s="169" t="str">
        <f aca="false">IF('5. Gantt EQUIFILLES'!B75="","",'5. Gantt EQUIFILLES'!P75)</f>
        <v/>
      </c>
      <c r="N71" s="1" t="str">
        <f aca="false">IF('5. Gantt EQUIFILLES'!B75="","",'5. Gantt EQUIFILLES'!Q75)</f>
        <v/>
      </c>
      <c r="O71" s="1" t="str">
        <f aca="false">IF('5. Gantt EQUIFILLES'!B75="","",'5. Gantt EQUIFILLES'!R75)</f>
        <v/>
      </c>
      <c r="P71" s="1" t="str">
        <f aca="false">IF('5. Gantt EQUIFILLES'!B75="","",'5. Gantt EQUIFILLES'!S75)</f>
        <v/>
      </c>
      <c r="Q71" s="1" t="str">
        <f aca="false">IF('5. Gantt EQUIFILLES'!B75="","",'5. Gantt EQUIFILLES'!T75)</f>
        <v/>
      </c>
      <c r="R71" s="1" t="str">
        <f aca="false">IF('5. Gantt EQUIFILLES'!B75="","",'5. Gantt EQUIFILLES'!U75)</f>
        <v/>
      </c>
    </row>
    <row r="72" customFormat="false" ht="15" hidden="false" customHeight="true" outlineLevel="0" collapsed="false">
      <c r="A72" s="1" t="str">
        <f aca="false">IF('5. Gantt EQUIFILLES'!B76="","","EQUIFILLES")</f>
        <v/>
      </c>
      <c r="B72" s="1" t="str">
        <f aca="false">IF('5. Gantt EQUIFILLES'!B76="","",'5. Gantt EQUIFILLES'!B76)</f>
        <v/>
      </c>
      <c r="C72" s="1" t="str">
        <f aca="false">IF('5. Gantt EQUIFILLES'!B76="","",'5. Gantt EQUIFILLES'!C76)</f>
        <v/>
      </c>
      <c r="D72" s="1" t="str">
        <f aca="false">IF('5. Gantt EQUIFILLES'!B76="","",'5. Gantt EQUIFILLES'!D76)</f>
        <v/>
      </c>
      <c r="E72" s="1" t="str">
        <f aca="false">IF('5. Gantt EQUIFILLES'!B76="","",'5. Gantt EQUIFILLES'!E76)</f>
        <v/>
      </c>
      <c r="F72" s="1" t="str">
        <f aca="false">IF('5. Gantt EQUIFILLES'!B76="","",'5. Gantt EQUIFILLES'!G76)</f>
        <v/>
      </c>
      <c r="G72" s="167" t="str">
        <f aca="false">IF('5. Gantt EQUIFILLES'!B76="","",'5. Gantt EQUIFILLES'!H76)</f>
        <v/>
      </c>
      <c r="H72" s="167" t="str">
        <f aca="false">IF('5. Gantt EQUIFILLES'!B76="","",'5. Gantt EQUIFILLES'!I76)</f>
        <v/>
      </c>
      <c r="I72" s="167" t="str">
        <f aca="false">IF('5. Gantt EQUIFILLES'!B76="","",'5. Gantt EQUIFILLES'!K76)</f>
        <v/>
      </c>
      <c r="J72" s="168" t="str">
        <f aca="false">IF('5. Gantt EQUIFILLES'!B76="","",'5. Gantt EQUIFILLES'!M76)</f>
        <v/>
      </c>
      <c r="K72" s="168" t="str">
        <f aca="false">IF('5. Gantt EQUIFILLES'!B76="","",'5. Gantt EQUIFILLES'!N76)</f>
        <v/>
      </c>
      <c r="L72" s="169" t="str">
        <f aca="false">IF('5. Gantt EQUIFILLES'!B76="","",'5. Gantt EQUIFILLES'!O76)</f>
        <v/>
      </c>
      <c r="M72" s="169" t="str">
        <f aca="false">IF('5. Gantt EQUIFILLES'!B76="","",'5. Gantt EQUIFILLES'!P76)</f>
        <v/>
      </c>
      <c r="N72" s="1" t="str">
        <f aca="false">IF('5. Gantt EQUIFILLES'!B76="","",'5. Gantt EQUIFILLES'!Q76)</f>
        <v/>
      </c>
      <c r="O72" s="1" t="str">
        <f aca="false">IF('5. Gantt EQUIFILLES'!B76="","",'5. Gantt EQUIFILLES'!R76)</f>
        <v/>
      </c>
      <c r="P72" s="1" t="str">
        <f aca="false">IF('5. Gantt EQUIFILLES'!B76="","",'5. Gantt EQUIFILLES'!S76)</f>
        <v/>
      </c>
      <c r="Q72" s="1" t="str">
        <f aca="false">IF('5. Gantt EQUIFILLES'!B76="","",'5. Gantt EQUIFILLES'!T76)</f>
        <v/>
      </c>
      <c r="R72" s="1" t="str">
        <f aca="false">IF('5. Gantt EQUIFILLES'!B76="","",'5. Gantt EQUIFILLES'!U76)</f>
        <v/>
      </c>
    </row>
    <row r="73" customFormat="false" ht="15" hidden="false" customHeight="true" outlineLevel="0" collapsed="false">
      <c r="A73" s="1" t="str">
        <f aca="false">IF('5. Gantt EQUIFILLES'!B77="","","EQUIFILLES")</f>
        <v/>
      </c>
      <c r="B73" s="1" t="str">
        <f aca="false">IF('5. Gantt EQUIFILLES'!B77="","",'5. Gantt EQUIFILLES'!B77)</f>
        <v/>
      </c>
      <c r="C73" s="1" t="str">
        <f aca="false">IF('5. Gantt EQUIFILLES'!B77="","",'5. Gantt EQUIFILLES'!C77)</f>
        <v/>
      </c>
      <c r="D73" s="1" t="str">
        <f aca="false">IF('5. Gantt EQUIFILLES'!B77="","",'5. Gantt EQUIFILLES'!D77)</f>
        <v/>
      </c>
      <c r="E73" s="1" t="str">
        <f aca="false">IF('5. Gantt EQUIFILLES'!B77="","",'5. Gantt EQUIFILLES'!E77)</f>
        <v/>
      </c>
      <c r="F73" s="1" t="str">
        <f aca="false">IF('5. Gantt EQUIFILLES'!B77="","",'5. Gantt EQUIFILLES'!G77)</f>
        <v/>
      </c>
      <c r="G73" s="167" t="str">
        <f aca="false">IF('5. Gantt EQUIFILLES'!B77="","",'5. Gantt EQUIFILLES'!H77)</f>
        <v/>
      </c>
      <c r="H73" s="167" t="str">
        <f aca="false">IF('5. Gantt EQUIFILLES'!B77="","",'5. Gantt EQUIFILLES'!I77)</f>
        <v/>
      </c>
      <c r="I73" s="167" t="str">
        <f aca="false">IF('5. Gantt EQUIFILLES'!B77="","",'5. Gantt EQUIFILLES'!K77)</f>
        <v/>
      </c>
      <c r="J73" s="168" t="str">
        <f aca="false">IF('5. Gantt EQUIFILLES'!B77="","",'5. Gantt EQUIFILLES'!M77)</f>
        <v/>
      </c>
      <c r="K73" s="168" t="str">
        <f aca="false">IF('5. Gantt EQUIFILLES'!B77="","",'5. Gantt EQUIFILLES'!N77)</f>
        <v/>
      </c>
      <c r="L73" s="169" t="str">
        <f aca="false">IF('5. Gantt EQUIFILLES'!B77="","",'5. Gantt EQUIFILLES'!O77)</f>
        <v/>
      </c>
      <c r="M73" s="169" t="str">
        <f aca="false">IF('5. Gantt EQUIFILLES'!B77="","",'5. Gantt EQUIFILLES'!P77)</f>
        <v/>
      </c>
      <c r="N73" s="1" t="str">
        <f aca="false">IF('5. Gantt EQUIFILLES'!B77="","",'5. Gantt EQUIFILLES'!Q77)</f>
        <v/>
      </c>
      <c r="O73" s="1" t="str">
        <f aca="false">IF('5. Gantt EQUIFILLES'!B77="","",'5. Gantt EQUIFILLES'!R77)</f>
        <v/>
      </c>
      <c r="P73" s="1" t="str">
        <f aca="false">IF('5. Gantt EQUIFILLES'!B77="","",'5. Gantt EQUIFILLES'!S77)</f>
        <v/>
      </c>
      <c r="Q73" s="1" t="str">
        <f aca="false">IF('5. Gantt EQUIFILLES'!B77="","",'5. Gantt EQUIFILLES'!T77)</f>
        <v/>
      </c>
      <c r="R73" s="1" t="str">
        <f aca="false">IF('5. Gantt EQUIFILLES'!B77="","",'5. Gantt EQUIFILLES'!U77)</f>
        <v/>
      </c>
    </row>
    <row r="74" customFormat="false" ht="15" hidden="false" customHeight="true" outlineLevel="0" collapsed="false">
      <c r="A74" s="1" t="str">
        <f aca="false">IF('5. Gantt EQUIFILLES'!B78="","","EQUIFILLES")</f>
        <v/>
      </c>
      <c r="B74" s="1" t="str">
        <f aca="false">IF('5. Gantt EQUIFILLES'!B78="","",'5. Gantt EQUIFILLES'!B78)</f>
        <v/>
      </c>
      <c r="C74" s="1" t="str">
        <f aca="false">IF('5. Gantt EQUIFILLES'!B78="","",'5. Gantt EQUIFILLES'!C78)</f>
        <v/>
      </c>
      <c r="D74" s="1" t="str">
        <f aca="false">IF('5. Gantt EQUIFILLES'!B78="","",'5. Gantt EQUIFILLES'!D78)</f>
        <v/>
      </c>
      <c r="E74" s="1" t="str">
        <f aca="false">IF('5. Gantt EQUIFILLES'!B78="","",'5. Gantt EQUIFILLES'!E78)</f>
        <v/>
      </c>
      <c r="F74" s="1" t="str">
        <f aca="false">IF('5. Gantt EQUIFILLES'!B78="","",'5. Gantt EQUIFILLES'!G78)</f>
        <v/>
      </c>
      <c r="G74" s="167" t="str">
        <f aca="false">IF('5. Gantt EQUIFILLES'!B78="","",'5. Gantt EQUIFILLES'!H78)</f>
        <v/>
      </c>
      <c r="H74" s="167" t="str">
        <f aca="false">IF('5. Gantt EQUIFILLES'!B78="","",'5. Gantt EQUIFILLES'!I78)</f>
        <v/>
      </c>
      <c r="I74" s="167" t="str">
        <f aca="false">IF('5. Gantt EQUIFILLES'!B78="","",'5. Gantt EQUIFILLES'!K78)</f>
        <v/>
      </c>
      <c r="J74" s="168" t="str">
        <f aca="false">IF('5. Gantt EQUIFILLES'!B78="","",'5. Gantt EQUIFILLES'!M78)</f>
        <v/>
      </c>
      <c r="K74" s="168" t="str">
        <f aca="false">IF('5. Gantt EQUIFILLES'!B78="","",'5. Gantt EQUIFILLES'!N78)</f>
        <v/>
      </c>
      <c r="L74" s="169" t="str">
        <f aca="false">IF('5. Gantt EQUIFILLES'!B78="","",'5. Gantt EQUIFILLES'!O78)</f>
        <v/>
      </c>
      <c r="M74" s="169" t="str">
        <f aca="false">IF('5. Gantt EQUIFILLES'!B78="","",'5. Gantt EQUIFILLES'!P78)</f>
        <v/>
      </c>
      <c r="N74" s="1" t="str">
        <f aca="false">IF('5. Gantt EQUIFILLES'!B78="","",'5. Gantt EQUIFILLES'!Q78)</f>
        <v/>
      </c>
      <c r="O74" s="1" t="str">
        <f aca="false">IF('5. Gantt EQUIFILLES'!B78="","",'5. Gantt EQUIFILLES'!R78)</f>
        <v/>
      </c>
      <c r="P74" s="1" t="str">
        <f aca="false">IF('5. Gantt EQUIFILLES'!B78="","",'5. Gantt EQUIFILLES'!S78)</f>
        <v/>
      </c>
      <c r="Q74" s="1" t="str">
        <f aca="false">IF('5. Gantt EQUIFILLES'!B78="","",'5. Gantt EQUIFILLES'!T78)</f>
        <v/>
      </c>
      <c r="R74" s="1" t="str">
        <f aca="false">IF('5. Gantt EQUIFILLES'!B78="","",'5. Gantt EQUIFILLES'!U78)</f>
        <v/>
      </c>
    </row>
    <row r="75" customFormat="false" ht="15" hidden="false" customHeight="true" outlineLevel="0" collapsed="false">
      <c r="A75" s="1" t="str">
        <f aca="false">IF('5. Gantt EQUIFILLES'!B79="","","EQUIFILLES")</f>
        <v/>
      </c>
      <c r="B75" s="1" t="str">
        <f aca="false">IF('5. Gantt EQUIFILLES'!B79="","",'5. Gantt EQUIFILLES'!B79)</f>
        <v/>
      </c>
      <c r="C75" s="1" t="str">
        <f aca="false">IF('5. Gantt EQUIFILLES'!B79="","",'5. Gantt EQUIFILLES'!C79)</f>
        <v/>
      </c>
      <c r="D75" s="1" t="str">
        <f aca="false">IF('5. Gantt EQUIFILLES'!B79="","",'5. Gantt EQUIFILLES'!D79)</f>
        <v/>
      </c>
      <c r="E75" s="1" t="str">
        <f aca="false">IF('5. Gantt EQUIFILLES'!B79="","",'5. Gantt EQUIFILLES'!E79)</f>
        <v/>
      </c>
      <c r="F75" s="1" t="str">
        <f aca="false">IF('5. Gantt EQUIFILLES'!B79="","",'5. Gantt EQUIFILLES'!G79)</f>
        <v/>
      </c>
      <c r="G75" s="167" t="str">
        <f aca="false">IF('5. Gantt EQUIFILLES'!B79="","",'5. Gantt EQUIFILLES'!H79)</f>
        <v/>
      </c>
      <c r="H75" s="167" t="str">
        <f aca="false">IF('5. Gantt EQUIFILLES'!B79="","",'5. Gantt EQUIFILLES'!I79)</f>
        <v/>
      </c>
      <c r="I75" s="167" t="str">
        <f aca="false">IF('5. Gantt EQUIFILLES'!B79="","",'5. Gantt EQUIFILLES'!K79)</f>
        <v/>
      </c>
      <c r="J75" s="168" t="str">
        <f aca="false">IF('5. Gantt EQUIFILLES'!B79="","",'5. Gantt EQUIFILLES'!M79)</f>
        <v/>
      </c>
      <c r="K75" s="168" t="str">
        <f aca="false">IF('5. Gantt EQUIFILLES'!B79="","",'5. Gantt EQUIFILLES'!N79)</f>
        <v/>
      </c>
      <c r="L75" s="169" t="str">
        <f aca="false">IF('5. Gantt EQUIFILLES'!B79="","",'5. Gantt EQUIFILLES'!O79)</f>
        <v/>
      </c>
      <c r="M75" s="169" t="str">
        <f aca="false">IF('5. Gantt EQUIFILLES'!B79="","",'5. Gantt EQUIFILLES'!P79)</f>
        <v/>
      </c>
      <c r="N75" s="1" t="str">
        <f aca="false">IF('5. Gantt EQUIFILLES'!B79="","",'5. Gantt EQUIFILLES'!Q79)</f>
        <v/>
      </c>
      <c r="O75" s="1" t="str">
        <f aca="false">IF('5. Gantt EQUIFILLES'!B79="","",'5. Gantt EQUIFILLES'!R79)</f>
        <v/>
      </c>
      <c r="P75" s="1" t="str">
        <f aca="false">IF('5. Gantt EQUIFILLES'!B79="","",'5. Gantt EQUIFILLES'!S79)</f>
        <v/>
      </c>
      <c r="Q75" s="1" t="str">
        <f aca="false">IF('5. Gantt EQUIFILLES'!B79="","",'5. Gantt EQUIFILLES'!T79)</f>
        <v/>
      </c>
      <c r="R75" s="1" t="str">
        <f aca="false">IF('5. Gantt EQUIFILLES'!B79="","",'5. Gantt EQUIFILLES'!U79)</f>
        <v/>
      </c>
    </row>
    <row r="76" customFormat="false" ht="15" hidden="false" customHeight="true" outlineLevel="0" collapsed="false">
      <c r="A76" s="1" t="str">
        <f aca="false">IF('5. Gantt EQUIFILLES'!B80="","","EQUIFILLES")</f>
        <v/>
      </c>
      <c r="B76" s="1" t="str">
        <f aca="false">IF('5. Gantt EQUIFILLES'!B80="","",'5. Gantt EQUIFILLES'!B80)</f>
        <v/>
      </c>
      <c r="C76" s="1" t="str">
        <f aca="false">IF('5. Gantt EQUIFILLES'!B80="","",'5. Gantt EQUIFILLES'!C80)</f>
        <v/>
      </c>
      <c r="D76" s="1" t="str">
        <f aca="false">IF('5. Gantt EQUIFILLES'!B80="","",'5. Gantt EQUIFILLES'!D80)</f>
        <v/>
      </c>
      <c r="E76" s="1" t="str">
        <f aca="false">IF('5. Gantt EQUIFILLES'!B80="","",'5. Gantt EQUIFILLES'!E80)</f>
        <v/>
      </c>
      <c r="F76" s="1" t="str">
        <f aca="false">IF('5. Gantt EQUIFILLES'!B80="","",'5. Gantt EQUIFILLES'!G80)</f>
        <v/>
      </c>
      <c r="G76" s="167" t="str">
        <f aca="false">IF('5. Gantt EQUIFILLES'!B80="","",'5. Gantt EQUIFILLES'!H80)</f>
        <v/>
      </c>
      <c r="H76" s="167" t="str">
        <f aca="false">IF('5. Gantt EQUIFILLES'!B80="","",'5. Gantt EQUIFILLES'!I80)</f>
        <v/>
      </c>
      <c r="I76" s="167" t="str">
        <f aca="false">IF('5. Gantt EQUIFILLES'!B80="","",'5. Gantt EQUIFILLES'!K80)</f>
        <v/>
      </c>
      <c r="J76" s="168" t="str">
        <f aca="false">IF('5. Gantt EQUIFILLES'!B80="","",'5. Gantt EQUIFILLES'!M80)</f>
        <v/>
      </c>
      <c r="K76" s="168" t="str">
        <f aca="false">IF('5. Gantt EQUIFILLES'!B80="","",'5. Gantt EQUIFILLES'!N80)</f>
        <v/>
      </c>
      <c r="L76" s="169" t="str">
        <f aca="false">IF('5. Gantt EQUIFILLES'!B80="","",'5. Gantt EQUIFILLES'!O80)</f>
        <v/>
      </c>
      <c r="M76" s="169" t="str">
        <f aca="false">IF('5. Gantt EQUIFILLES'!B80="","",'5. Gantt EQUIFILLES'!P80)</f>
        <v/>
      </c>
      <c r="N76" s="1" t="str">
        <f aca="false">IF('5. Gantt EQUIFILLES'!B80="","",'5. Gantt EQUIFILLES'!Q80)</f>
        <v/>
      </c>
      <c r="O76" s="1" t="str">
        <f aca="false">IF('5. Gantt EQUIFILLES'!B80="","",'5. Gantt EQUIFILLES'!R80)</f>
        <v/>
      </c>
      <c r="P76" s="1" t="str">
        <f aca="false">IF('5. Gantt EQUIFILLES'!B80="","",'5. Gantt EQUIFILLES'!S80)</f>
        <v/>
      </c>
      <c r="Q76" s="1" t="str">
        <f aca="false">IF('5. Gantt EQUIFILLES'!B80="","",'5. Gantt EQUIFILLES'!T80)</f>
        <v/>
      </c>
      <c r="R76" s="1" t="str">
        <f aca="false">IF('5. Gantt EQUIFILLES'!B80="","",'5. Gantt EQUIFILLES'!U80)</f>
        <v/>
      </c>
    </row>
    <row r="77" customFormat="false" ht="15" hidden="false" customHeight="true" outlineLevel="0" collapsed="false">
      <c r="A77" s="1" t="str">
        <f aca="false">IF('5. Gantt EQUIFILLES'!B81="","","EQUIFILLES")</f>
        <v/>
      </c>
      <c r="B77" s="1" t="str">
        <f aca="false">IF('5. Gantt EQUIFILLES'!B81="","",'5. Gantt EQUIFILLES'!B81)</f>
        <v/>
      </c>
      <c r="C77" s="1" t="str">
        <f aca="false">IF('5. Gantt EQUIFILLES'!B81="","",'5. Gantt EQUIFILLES'!C81)</f>
        <v/>
      </c>
      <c r="D77" s="1" t="str">
        <f aca="false">IF('5. Gantt EQUIFILLES'!B81="","",'5. Gantt EQUIFILLES'!D81)</f>
        <v/>
      </c>
      <c r="E77" s="1" t="str">
        <f aca="false">IF('5. Gantt EQUIFILLES'!B81="","",'5. Gantt EQUIFILLES'!E81)</f>
        <v/>
      </c>
      <c r="F77" s="1" t="str">
        <f aca="false">IF('5. Gantt EQUIFILLES'!B81="","",'5. Gantt EQUIFILLES'!G81)</f>
        <v/>
      </c>
      <c r="G77" s="167" t="str">
        <f aca="false">IF('5. Gantt EQUIFILLES'!B81="","",'5. Gantt EQUIFILLES'!H81)</f>
        <v/>
      </c>
      <c r="H77" s="167" t="str">
        <f aca="false">IF('5. Gantt EQUIFILLES'!B81="","",'5. Gantt EQUIFILLES'!I81)</f>
        <v/>
      </c>
      <c r="I77" s="167" t="str">
        <f aca="false">IF('5. Gantt EQUIFILLES'!B81="","",'5. Gantt EQUIFILLES'!K81)</f>
        <v/>
      </c>
      <c r="J77" s="168" t="str">
        <f aca="false">IF('5. Gantt EQUIFILLES'!B81="","",'5. Gantt EQUIFILLES'!M81)</f>
        <v/>
      </c>
      <c r="K77" s="168" t="str">
        <f aca="false">IF('5. Gantt EQUIFILLES'!B81="","",'5. Gantt EQUIFILLES'!N81)</f>
        <v/>
      </c>
      <c r="L77" s="169" t="str">
        <f aca="false">IF('5. Gantt EQUIFILLES'!B81="","",'5. Gantt EQUIFILLES'!O81)</f>
        <v/>
      </c>
      <c r="M77" s="169" t="str">
        <f aca="false">IF('5. Gantt EQUIFILLES'!B81="","",'5. Gantt EQUIFILLES'!P81)</f>
        <v/>
      </c>
      <c r="N77" s="1" t="str">
        <f aca="false">IF('5. Gantt EQUIFILLES'!B81="","",'5. Gantt EQUIFILLES'!Q81)</f>
        <v/>
      </c>
      <c r="O77" s="1" t="str">
        <f aca="false">IF('5. Gantt EQUIFILLES'!B81="","",'5. Gantt EQUIFILLES'!R81)</f>
        <v/>
      </c>
      <c r="P77" s="1" t="str">
        <f aca="false">IF('5. Gantt EQUIFILLES'!B81="","",'5. Gantt EQUIFILLES'!S81)</f>
        <v/>
      </c>
      <c r="Q77" s="1" t="str">
        <f aca="false">IF('5. Gantt EQUIFILLES'!B81="","",'5. Gantt EQUIFILLES'!T81)</f>
        <v/>
      </c>
      <c r="R77" s="1" t="str">
        <f aca="false">IF('5. Gantt EQUIFILLES'!B81="","",'5. Gantt EQUIFILLES'!U81)</f>
        <v/>
      </c>
    </row>
    <row r="78" customFormat="false" ht="15" hidden="false" customHeight="true" outlineLevel="0" collapsed="false">
      <c r="A78" s="1" t="str">
        <f aca="false">IF('5. Gantt EQUIFILLES'!B82="","","EQUIFILLES")</f>
        <v/>
      </c>
      <c r="B78" s="1" t="str">
        <f aca="false">IF('5. Gantt EQUIFILLES'!B82="","",'5. Gantt EQUIFILLES'!B82)</f>
        <v/>
      </c>
      <c r="C78" s="1" t="str">
        <f aca="false">IF('5. Gantt EQUIFILLES'!B82="","",'5. Gantt EQUIFILLES'!C82)</f>
        <v/>
      </c>
      <c r="D78" s="1" t="str">
        <f aca="false">IF('5. Gantt EQUIFILLES'!B82="","",'5. Gantt EQUIFILLES'!D82)</f>
        <v/>
      </c>
      <c r="E78" s="1" t="str">
        <f aca="false">IF('5. Gantt EQUIFILLES'!B82="","",'5. Gantt EQUIFILLES'!E82)</f>
        <v/>
      </c>
      <c r="F78" s="1" t="str">
        <f aca="false">IF('5. Gantt EQUIFILLES'!B82="","",'5. Gantt EQUIFILLES'!G82)</f>
        <v/>
      </c>
      <c r="G78" s="167" t="str">
        <f aca="false">IF('5. Gantt EQUIFILLES'!B82="","",'5. Gantt EQUIFILLES'!H82)</f>
        <v/>
      </c>
      <c r="H78" s="167" t="str">
        <f aca="false">IF('5. Gantt EQUIFILLES'!B82="","",'5. Gantt EQUIFILLES'!I82)</f>
        <v/>
      </c>
      <c r="I78" s="167" t="str">
        <f aca="false">IF('5. Gantt EQUIFILLES'!B82="","",'5. Gantt EQUIFILLES'!K82)</f>
        <v/>
      </c>
      <c r="J78" s="168" t="str">
        <f aca="false">IF('5. Gantt EQUIFILLES'!B82="","",'5. Gantt EQUIFILLES'!M82)</f>
        <v/>
      </c>
      <c r="K78" s="168" t="str">
        <f aca="false">IF('5. Gantt EQUIFILLES'!B82="","",'5. Gantt EQUIFILLES'!N82)</f>
        <v/>
      </c>
      <c r="L78" s="169" t="str">
        <f aca="false">IF('5. Gantt EQUIFILLES'!B82="","",'5. Gantt EQUIFILLES'!O82)</f>
        <v/>
      </c>
      <c r="M78" s="169" t="str">
        <f aca="false">IF('5. Gantt EQUIFILLES'!B82="","",'5. Gantt EQUIFILLES'!P82)</f>
        <v/>
      </c>
      <c r="N78" s="1" t="str">
        <f aca="false">IF('5. Gantt EQUIFILLES'!B82="","",'5. Gantt EQUIFILLES'!Q82)</f>
        <v/>
      </c>
      <c r="O78" s="1" t="str">
        <f aca="false">IF('5. Gantt EQUIFILLES'!B82="","",'5. Gantt EQUIFILLES'!R82)</f>
        <v/>
      </c>
      <c r="P78" s="1" t="str">
        <f aca="false">IF('5. Gantt EQUIFILLES'!B82="","",'5. Gantt EQUIFILLES'!S82)</f>
        <v/>
      </c>
      <c r="Q78" s="1" t="str">
        <f aca="false">IF('5. Gantt EQUIFILLES'!B82="","",'5. Gantt EQUIFILLES'!T82)</f>
        <v/>
      </c>
      <c r="R78" s="1" t="str">
        <f aca="false">IF('5. Gantt EQUIFILLES'!B82="","",'5. Gantt EQUIFILLES'!U82)</f>
        <v/>
      </c>
    </row>
    <row r="79" customFormat="false" ht="15" hidden="false" customHeight="true" outlineLevel="0" collapsed="false">
      <c r="A79" s="1" t="str">
        <f aca="false">IF('5. Gantt EQUIFILLES'!B83="","","EQUIFILLES")</f>
        <v/>
      </c>
      <c r="B79" s="1" t="str">
        <f aca="false">IF('5. Gantt EQUIFILLES'!B83="","",'5. Gantt EQUIFILLES'!B83)</f>
        <v/>
      </c>
      <c r="C79" s="1" t="str">
        <f aca="false">IF('5. Gantt EQUIFILLES'!B83="","",'5. Gantt EQUIFILLES'!C83)</f>
        <v/>
      </c>
      <c r="D79" s="1" t="str">
        <f aca="false">IF('5. Gantt EQUIFILLES'!B83="","",'5. Gantt EQUIFILLES'!D83)</f>
        <v/>
      </c>
      <c r="E79" s="1" t="str">
        <f aca="false">IF('5. Gantt EQUIFILLES'!B83="","",'5. Gantt EQUIFILLES'!E83)</f>
        <v/>
      </c>
      <c r="F79" s="1" t="str">
        <f aca="false">IF('5. Gantt EQUIFILLES'!B83="","",'5. Gantt EQUIFILLES'!G83)</f>
        <v/>
      </c>
      <c r="G79" s="167" t="str">
        <f aca="false">IF('5. Gantt EQUIFILLES'!B83="","",'5. Gantt EQUIFILLES'!H83)</f>
        <v/>
      </c>
      <c r="H79" s="167" t="str">
        <f aca="false">IF('5. Gantt EQUIFILLES'!B83="","",'5. Gantt EQUIFILLES'!I83)</f>
        <v/>
      </c>
      <c r="I79" s="167" t="str">
        <f aca="false">IF('5. Gantt EQUIFILLES'!B83="","",'5. Gantt EQUIFILLES'!K83)</f>
        <v/>
      </c>
      <c r="J79" s="168" t="str">
        <f aca="false">IF('5. Gantt EQUIFILLES'!B83="","",'5. Gantt EQUIFILLES'!M83)</f>
        <v/>
      </c>
      <c r="K79" s="168" t="str">
        <f aca="false">IF('5. Gantt EQUIFILLES'!B83="","",'5. Gantt EQUIFILLES'!N83)</f>
        <v/>
      </c>
      <c r="L79" s="169" t="str">
        <f aca="false">IF('5. Gantt EQUIFILLES'!B83="","",'5. Gantt EQUIFILLES'!O83)</f>
        <v/>
      </c>
      <c r="M79" s="169" t="str">
        <f aca="false">IF('5. Gantt EQUIFILLES'!B83="","",'5. Gantt EQUIFILLES'!P83)</f>
        <v/>
      </c>
      <c r="N79" s="1" t="str">
        <f aca="false">IF('5. Gantt EQUIFILLES'!B83="","",'5. Gantt EQUIFILLES'!Q83)</f>
        <v/>
      </c>
      <c r="O79" s="1" t="str">
        <f aca="false">IF('5. Gantt EQUIFILLES'!B83="","",'5. Gantt EQUIFILLES'!R83)</f>
        <v/>
      </c>
      <c r="P79" s="1" t="str">
        <f aca="false">IF('5. Gantt EQUIFILLES'!B83="","",'5. Gantt EQUIFILLES'!S83)</f>
        <v/>
      </c>
      <c r="Q79" s="1" t="str">
        <f aca="false">IF('5. Gantt EQUIFILLES'!B83="","",'5. Gantt EQUIFILLES'!T83)</f>
        <v/>
      </c>
      <c r="R79" s="1" t="str">
        <f aca="false">IF('5. Gantt EQUIFILLES'!B83="","",'5. Gantt EQUIFILLES'!U83)</f>
        <v/>
      </c>
    </row>
    <row r="80" customFormat="false" ht="15" hidden="false" customHeight="true" outlineLevel="0" collapsed="false">
      <c r="A80" s="1" t="str">
        <f aca="false">IF('5. Gantt EQUIFILLES'!B84="","","EQUIFILLES")</f>
        <v/>
      </c>
      <c r="B80" s="1" t="str">
        <f aca="false">IF('5. Gantt EQUIFILLES'!B84="","",'5. Gantt EQUIFILLES'!B84)</f>
        <v/>
      </c>
      <c r="C80" s="1" t="str">
        <f aca="false">IF('5. Gantt EQUIFILLES'!B84="","",'5. Gantt EQUIFILLES'!C84)</f>
        <v/>
      </c>
      <c r="D80" s="1" t="str">
        <f aca="false">IF('5. Gantt EQUIFILLES'!B84="","",'5. Gantt EQUIFILLES'!D84)</f>
        <v/>
      </c>
      <c r="E80" s="1" t="str">
        <f aca="false">IF('5. Gantt EQUIFILLES'!B84="","",'5. Gantt EQUIFILLES'!E84)</f>
        <v/>
      </c>
      <c r="F80" s="1" t="str">
        <f aca="false">IF('5. Gantt EQUIFILLES'!B84="","",'5. Gantt EQUIFILLES'!G84)</f>
        <v/>
      </c>
      <c r="G80" s="167" t="str">
        <f aca="false">IF('5. Gantt EQUIFILLES'!B84="","",'5. Gantt EQUIFILLES'!H84)</f>
        <v/>
      </c>
      <c r="H80" s="167" t="str">
        <f aca="false">IF('5. Gantt EQUIFILLES'!B84="","",'5. Gantt EQUIFILLES'!I84)</f>
        <v/>
      </c>
      <c r="I80" s="167" t="str">
        <f aca="false">IF('5. Gantt EQUIFILLES'!B84="","",'5. Gantt EQUIFILLES'!K84)</f>
        <v/>
      </c>
      <c r="J80" s="168" t="str">
        <f aca="false">IF('5. Gantt EQUIFILLES'!B84="","",'5. Gantt EQUIFILLES'!M84)</f>
        <v/>
      </c>
      <c r="K80" s="168" t="str">
        <f aca="false">IF('5. Gantt EQUIFILLES'!B84="","",'5. Gantt EQUIFILLES'!N84)</f>
        <v/>
      </c>
      <c r="L80" s="169" t="str">
        <f aca="false">IF('5. Gantt EQUIFILLES'!B84="","",'5. Gantt EQUIFILLES'!O84)</f>
        <v/>
      </c>
      <c r="M80" s="169" t="str">
        <f aca="false">IF('5. Gantt EQUIFILLES'!B84="","",'5. Gantt EQUIFILLES'!P84)</f>
        <v/>
      </c>
      <c r="N80" s="1" t="str">
        <f aca="false">IF('5. Gantt EQUIFILLES'!B84="","",'5. Gantt EQUIFILLES'!Q84)</f>
        <v/>
      </c>
      <c r="O80" s="1" t="str">
        <f aca="false">IF('5. Gantt EQUIFILLES'!B84="","",'5. Gantt EQUIFILLES'!R84)</f>
        <v/>
      </c>
      <c r="P80" s="1" t="str">
        <f aca="false">IF('5. Gantt EQUIFILLES'!B84="","",'5. Gantt EQUIFILLES'!S84)</f>
        <v/>
      </c>
      <c r="Q80" s="1" t="str">
        <f aca="false">IF('5. Gantt EQUIFILLES'!B84="","",'5. Gantt EQUIFILLES'!T84)</f>
        <v/>
      </c>
      <c r="R80" s="1" t="str">
        <f aca="false">IF('5. Gantt EQUIFILLES'!B84="","",'5. Gantt EQUIFILLES'!U84)</f>
        <v/>
      </c>
    </row>
    <row r="81" customFormat="false" ht="15" hidden="false" customHeight="true" outlineLevel="0" collapsed="false">
      <c r="A81" s="1" t="str">
        <f aca="false">IF('5. Gantt EQUIFILLES'!B85="","","EQUIFILLES")</f>
        <v/>
      </c>
      <c r="B81" s="1" t="str">
        <f aca="false">IF('5. Gantt EQUIFILLES'!B85="","",'5. Gantt EQUIFILLES'!B85)</f>
        <v/>
      </c>
      <c r="C81" s="1" t="str">
        <f aca="false">IF('5. Gantt EQUIFILLES'!B85="","",'5. Gantt EQUIFILLES'!C85)</f>
        <v/>
      </c>
      <c r="D81" s="1" t="str">
        <f aca="false">IF('5. Gantt EQUIFILLES'!B85="","",'5. Gantt EQUIFILLES'!D85)</f>
        <v/>
      </c>
      <c r="E81" s="1" t="str">
        <f aca="false">IF('5. Gantt EQUIFILLES'!B85="","",'5. Gantt EQUIFILLES'!E85)</f>
        <v/>
      </c>
      <c r="F81" s="1" t="str">
        <f aca="false">IF('5. Gantt EQUIFILLES'!B85="","",'5. Gantt EQUIFILLES'!G85)</f>
        <v/>
      </c>
      <c r="G81" s="167" t="str">
        <f aca="false">IF('5. Gantt EQUIFILLES'!B85="","",'5. Gantt EQUIFILLES'!H85)</f>
        <v/>
      </c>
      <c r="H81" s="167" t="str">
        <f aca="false">IF('5. Gantt EQUIFILLES'!B85="","",'5. Gantt EQUIFILLES'!I85)</f>
        <v/>
      </c>
      <c r="I81" s="167" t="str">
        <f aca="false">IF('5. Gantt EQUIFILLES'!B85="","",'5. Gantt EQUIFILLES'!K85)</f>
        <v/>
      </c>
      <c r="J81" s="168" t="str">
        <f aca="false">IF('5. Gantt EQUIFILLES'!B85="","",'5. Gantt EQUIFILLES'!M85)</f>
        <v/>
      </c>
      <c r="K81" s="168" t="str">
        <f aca="false">IF('5. Gantt EQUIFILLES'!B85="","",'5. Gantt EQUIFILLES'!N85)</f>
        <v/>
      </c>
      <c r="L81" s="169" t="str">
        <f aca="false">IF('5. Gantt EQUIFILLES'!B85="","",'5. Gantt EQUIFILLES'!O85)</f>
        <v/>
      </c>
      <c r="M81" s="169" t="str">
        <f aca="false">IF('5. Gantt EQUIFILLES'!B85="","",'5. Gantt EQUIFILLES'!P85)</f>
        <v/>
      </c>
      <c r="N81" s="1" t="str">
        <f aca="false">IF('5. Gantt EQUIFILLES'!B85="","",'5. Gantt EQUIFILLES'!Q85)</f>
        <v/>
      </c>
      <c r="O81" s="1" t="str">
        <f aca="false">IF('5. Gantt EQUIFILLES'!B85="","",'5. Gantt EQUIFILLES'!R85)</f>
        <v/>
      </c>
      <c r="P81" s="1" t="str">
        <f aca="false">IF('5. Gantt EQUIFILLES'!B85="","",'5. Gantt EQUIFILLES'!S85)</f>
        <v/>
      </c>
      <c r="Q81" s="1" t="str">
        <f aca="false">IF('5. Gantt EQUIFILLES'!B85="","",'5. Gantt EQUIFILLES'!T85)</f>
        <v/>
      </c>
      <c r="R81" s="1" t="str">
        <f aca="false">IF('5. Gantt EQUIFILLES'!B85="","",'5. Gantt EQUIFILLES'!U85)</f>
        <v/>
      </c>
    </row>
    <row r="82" customFormat="false" ht="15" hidden="false" customHeight="true" outlineLevel="0" collapsed="false">
      <c r="A82" s="1" t="str">
        <f aca="false">IF('5. Gantt EQUIFILLES'!B86="","","EQUIFILLES")</f>
        <v/>
      </c>
      <c r="B82" s="1" t="str">
        <f aca="false">IF('5. Gantt EQUIFILLES'!B86="","",'5. Gantt EQUIFILLES'!B86)</f>
        <v/>
      </c>
      <c r="C82" s="1" t="str">
        <f aca="false">IF('5. Gantt EQUIFILLES'!B86="","",'5. Gantt EQUIFILLES'!C86)</f>
        <v/>
      </c>
      <c r="D82" s="1" t="str">
        <f aca="false">IF('5. Gantt EQUIFILLES'!B86="","",'5. Gantt EQUIFILLES'!D86)</f>
        <v/>
      </c>
      <c r="E82" s="1" t="str">
        <f aca="false">IF('5. Gantt EQUIFILLES'!B86="","",'5. Gantt EQUIFILLES'!E86)</f>
        <v/>
      </c>
      <c r="F82" s="1" t="str">
        <f aca="false">IF('5. Gantt EQUIFILLES'!B86="","",'5. Gantt EQUIFILLES'!G86)</f>
        <v/>
      </c>
      <c r="G82" s="167" t="str">
        <f aca="false">IF('5. Gantt EQUIFILLES'!B86="","",'5. Gantt EQUIFILLES'!H86)</f>
        <v/>
      </c>
      <c r="H82" s="167" t="str">
        <f aca="false">IF('5. Gantt EQUIFILLES'!B86="","",'5. Gantt EQUIFILLES'!I86)</f>
        <v/>
      </c>
      <c r="I82" s="167" t="str">
        <f aca="false">IF('5. Gantt EQUIFILLES'!B86="","",'5. Gantt EQUIFILLES'!K86)</f>
        <v/>
      </c>
      <c r="J82" s="168" t="str">
        <f aca="false">IF('5. Gantt EQUIFILLES'!B86="","",'5. Gantt EQUIFILLES'!M86)</f>
        <v/>
      </c>
      <c r="K82" s="168" t="str">
        <f aca="false">IF('5. Gantt EQUIFILLES'!B86="","",'5. Gantt EQUIFILLES'!N86)</f>
        <v/>
      </c>
      <c r="L82" s="169" t="str">
        <f aca="false">IF('5. Gantt EQUIFILLES'!B86="","",'5. Gantt EQUIFILLES'!O86)</f>
        <v/>
      </c>
      <c r="M82" s="169" t="str">
        <f aca="false">IF('5. Gantt EQUIFILLES'!B86="","",'5. Gantt EQUIFILLES'!P86)</f>
        <v/>
      </c>
      <c r="N82" s="1" t="str">
        <f aca="false">IF('5. Gantt EQUIFILLES'!B86="","",'5. Gantt EQUIFILLES'!Q86)</f>
        <v/>
      </c>
      <c r="O82" s="1" t="str">
        <f aca="false">IF('5. Gantt EQUIFILLES'!B86="","",'5. Gantt EQUIFILLES'!R86)</f>
        <v/>
      </c>
      <c r="P82" s="1" t="str">
        <f aca="false">IF('5. Gantt EQUIFILLES'!B86="","",'5. Gantt EQUIFILLES'!S86)</f>
        <v/>
      </c>
      <c r="Q82" s="1" t="str">
        <f aca="false">IF('5. Gantt EQUIFILLES'!B86="","",'5. Gantt EQUIFILLES'!T86)</f>
        <v/>
      </c>
      <c r="R82" s="1" t="str">
        <f aca="false">IF('5. Gantt EQUIFILLES'!B86="","",'5. Gantt EQUIFILLES'!U86)</f>
        <v/>
      </c>
    </row>
    <row r="83" customFormat="false" ht="15" hidden="false" customHeight="true" outlineLevel="0" collapsed="false">
      <c r="A83" s="1" t="str">
        <f aca="false">IF('5. Gantt EQUIFILLES'!B87="","","EQUIFILLES")</f>
        <v/>
      </c>
      <c r="B83" s="1" t="str">
        <f aca="false">IF('5. Gantt EQUIFILLES'!B87="","",'5. Gantt EQUIFILLES'!B87)</f>
        <v/>
      </c>
      <c r="C83" s="1" t="str">
        <f aca="false">IF('5. Gantt EQUIFILLES'!B87="","",'5. Gantt EQUIFILLES'!C87)</f>
        <v/>
      </c>
      <c r="D83" s="1" t="str">
        <f aca="false">IF('5. Gantt EQUIFILLES'!B87="","",'5. Gantt EQUIFILLES'!D87)</f>
        <v/>
      </c>
      <c r="E83" s="1" t="str">
        <f aca="false">IF('5. Gantt EQUIFILLES'!B87="","",'5. Gantt EQUIFILLES'!E87)</f>
        <v/>
      </c>
      <c r="F83" s="1" t="str">
        <f aca="false">IF('5. Gantt EQUIFILLES'!B87="","",'5. Gantt EQUIFILLES'!G87)</f>
        <v/>
      </c>
      <c r="G83" s="167" t="str">
        <f aca="false">IF('5. Gantt EQUIFILLES'!B87="","",'5. Gantt EQUIFILLES'!H87)</f>
        <v/>
      </c>
      <c r="H83" s="167" t="str">
        <f aca="false">IF('5. Gantt EQUIFILLES'!B87="","",'5. Gantt EQUIFILLES'!I87)</f>
        <v/>
      </c>
      <c r="I83" s="167" t="str">
        <f aca="false">IF('5. Gantt EQUIFILLES'!B87="","",'5. Gantt EQUIFILLES'!K87)</f>
        <v/>
      </c>
      <c r="J83" s="168" t="str">
        <f aca="false">IF('5. Gantt EQUIFILLES'!B87="","",'5. Gantt EQUIFILLES'!M87)</f>
        <v/>
      </c>
      <c r="K83" s="168" t="str">
        <f aca="false">IF('5. Gantt EQUIFILLES'!B87="","",'5. Gantt EQUIFILLES'!N87)</f>
        <v/>
      </c>
      <c r="L83" s="169" t="str">
        <f aca="false">IF('5. Gantt EQUIFILLES'!B87="","",'5. Gantt EQUIFILLES'!O87)</f>
        <v/>
      </c>
      <c r="M83" s="169" t="str">
        <f aca="false">IF('5. Gantt EQUIFILLES'!B87="","",'5. Gantt EQUIFILLES'!P87)</f>
        <v/>
      </c>
      <c r="N83" s="1" t="str">
        <f aca="false">IF('5. Gantt EQUIFILLES'!B87="","",'5. Gantt EQUIFILLES'!Q87)</f>
        <v/>
      </c>
      <c r="O83" s="1" t="str">
        <f aca="false">IF('5. Gantt EQUIFILLES'!B87="","",'5. Gantt EQUIFILLES'!R87)</f>
        <v/>
      </c>
      <c r="P83" s="1" t="str">
        <f aca="false">IF('5. Gantt EQUIFILLES'!B87="","",'5. Gantt EQUIFILLES'!S87)</f>
        <v/>
      </c>
      <c r="Q83" s="1" t="str">
        <f aca="false">IF('5. Gantt EQUIFILLES'!B87="","",'5. Gantt EQUIFILLES'!T87)</f>
        <v/>
      </c>
      <c r="R83" s="1" t="str">
        <f aca="false">IF('5. Gantt EQUIFILLES'!B87="","",'5. Gantt EQUIFILLES'!U87)</f>
        <v/>
      </c>
    </row>
    <row r="84" customFormat="false" ht="15" hidden="false" customHeight="true" outlineLevel="0" collapsed="false">
      <c r="A84" s="1" t="str">
        <f aca="false">IF('5. Gantt EQUIFILLES'!B88="","","EQUIFILLES")</f>
        <v/>
      </c>
      <c r="B84" s="1" t="str">
        <f aca="false">IF('5. Gantt EQUIFILLES'!B88="","",'5. Gantt EQUIFILLES'!B88)</f>
        <v/>
      </c>
      <c r="C84" s="1" t="str">
        <f aca="false">IF('5. Gantt EQUIFILLES'!B88="","",'5. Gantt EQUIFILLES'!C88)</f>
        <v/>
      </c>
      <c r="D84" s="1" t="str">
        <f aca="false">IF('5. Gantt EQUIFILLES'!B88="","",'5. Gantt EQUIFILLES'!D88)</f>
        <v/>
      </c>
      <c r="E84" s="1" t="str">
        <f aca="false">IF('5. Gantt EQUIFILLES'!B88="","",'5. Gantt EQUIFILLES'!E88)</f>
        <v/>
      </c>
      <c r="F84" s="1" t="str">
        <f aca="false">IF('5. Gantt EQUIFILLES'!B88="","",'5. Gantt EQUIFILLES'!G88)</f>
        <v/>
      </c>
      <c r="G84" s="167" t="str">
        <f aca="false">IF('5. Gantt EQUIFILLES'!B88="","",'5. Gantt EQUIFILLES'!H88)</f>
        <v/>
      </c>
      <c r="H84" s="167" t="str">
        <f aca="false">IF('5. Gantt EQUIFILLES'!B88="","",'5. Gantt EQUIFILLES'!I88)</f>
        <v/>
      </c>
      <c r="I84" s="167" t="str">
        <f aca="false">IF('5. Gantt EQUIFILLES'!B88="","",'5. Gantt EQUIFILLES'!K88)</f>
        <v/>
      </c>
      <c r="J84" s="168" t="str">
        <f aca="false">IF('5. Gantt EQUIFILLES'!B88="","",'5. Gantt EQUIFILLES'!M88)</f>
        <v/>
      </c>
      <c r="K84" s="168" t="str">
        <f aca="false">IF('5. Gantt EQUIFILLES'!B88="","",'5. Gantt EQUIFILLES'!N88)</f>
        <v/>
      </c>
      <c r="L84" s="169" t="str">
        <f aca="false">IF('5. Gantt EQUIFILLES'!B88="","",'5. Gantt EQUIFILLES'!O88)</f>
        <v/>
      </c>
      <c r="M84" s="169" t="str">
        <f aca="false">IF('5. Gantt EQUIFILLES'!B88="","",'5. Gantt EQUIFILLES'!P88)</f>
        <v/>
      </c>
      <c r="N84" s="1" t="str">
        <f aca="false">IF('5. Gantt EQUIFILLES'!B88="","",'5. Gantt EQUIFILLES'!Q88)</f>
        <v/>
      </c>
      <c r="O84" s="1" t="str">
        <f aca="false">IF('5. Gantt EQUIFILLES'!B88="","",'5. Gantt EQUIFILLES'!R88)</f>
        <v/>
      </c>
      <c r="P84" s="1" t="str">
        <f aca="false">IF('5. Gantt EQUIFILLES'!B88="","",'5. Gantt EQUIFILLES'!S88)</f>
        <v/>
      </c>
      <c r="Q84" s="1" t="str">
        <f aca="false">IF('5. Gantt EQUIFILLES'!B88="","",'5. Gantt EQUIFILLES'!T88)</f>
        <v/>
      </c>
      <c r="R84" s="1" t="str">
        <f aca="false">IF('5. Gantt EQUIFILLES'!B88="","",'5. Gantt EQUIFILLES'!U88)</f>
        <v/>
      </c>
    </row>
    <row r="85" customFormat="false" ht="15" hidden="false" customHeight="true" outlineLevel="0" collapsed="false">
      <c r="A85" s="1" t="str">
        <f aca="false">IF('5. Gantt EQUIFILLES'!B89="","","EQUIFILLES")</f>
        <v/>
      </c>
      <c r="B85" s="1" t="str">
        <f aca="false">IF('5. Gantt EQUIFILLES'!B89="","",'5. Gantt EQUIFILLES'!B89)</f>
        <v/>
      </c>
      <c r="C85" s="1" t="str">
        <f aca="false">IF('5. Gantt EQUIFILLES'!B89="","",'5. Gantt EQUIFILLES'!C89)</f>
        <v/>
      </c>
      <c r="D85" s="1" t="str">
        <f aca="false">IF('5. Gantt EQUIFILLES'!B89="","",'5. Gantt EQUIFILLES'!D89)</f>
        <v/>
      </c>
      <c r="E85" s="1" t="str">
        <f aca="false">IF('5. Gantt EQUIFILLES'!B89="","",'5. Gantt EQUIFILLES'!E89)</f>
        <v/>
      </c>
      <c r="F85" s="1" t="str">
        <f aca="false">IF('5. Gantt EQUIFILLES'!B89="","",'5. Gantt EQUIFILLES'!G89)</f>
        <v/>
      </c>
      <c r="G85" s="167" t="str">
        <f aca="false">IF('5. Gantt EQUIFILLES'!B89="","",'5. Gantt EQUIFILLES'!H89)</f>
        <v/>
      </c>
      <c r="H85" s="167" t="str">
        <f aca="false">IF('5. Gantt EQUIFILLES'!B89="","",'5. Gantt EQUIFILLES'!I89)</f>
        <v/>
      </c>
      <c r="I85" s="167" t="str">
        <f aca="false">IF('5. Gantt EQUIFILLES'!B89="","",'5. Gantt EQUIFILLES'!K89)</f>
        <v/>
      </c>
      <c r="J85" s="168" t="str">
        <f aca="false">IF('5. Gantt EQUIFILLES'!B89="","",'5. Gantt EQUIFILLES'!M89)</f>
        <v/>
      </c>
      <c r="K85" s="168" t="str">
        <f aca="false">IF('5. Gantt EQUIFILLES'!B89="","",'5. Gantt EQUIFILLES'!N89)</f>
        <v/>
      </c>
      <c r="L85" s="169" t="str">
        <f aca="false">IF('5. Gantt EQUIFILLES'!B89="","",'5. Gantt EQUIFILLES'!O89)</f>
        <v/>
      </c>
      <c r="M85" s="169" t="str">
        <f aca="false">IF('5. Gantt EQUIFILLES'!B89="","",'5. Gantt EQUIFILLES'!P89)</f>
        <v/>
      </c>
      <c r="N85" s="1" t="str">
        <f aca="false">IF('5. Gantt EQUIFILLES'!B89="","",'5. Gantt EQUIFILLES'!Q89)</f>
        <v/>
      </c>
      <c r="O85" s="1" t="str">
        <f aca="false">IF('5. Gantt EQUIFILLES'!B89="","",'5. Gantt EQUIFILLES'!R89)</f>
        <v/>
      </c>
      <c r="P85" s="1" t="str">
        <f aca="false">IF('5. Gantt EQUIFILLES'!B89="","",'5. Gantt EQUIFILLES'!S89)</f>
        <v/>
      </c>
      <c r="Q85" s="1" t="str">
        <f aca="false">IF('5. Gantt EQUIFILLES'!B89="","",'5. Gantt EQUIFILLES'!T89)</f>
        <v/>
      </c>
      <c r="R85" s="1" t="str">
        <f aca="false">IF('5. Gantt EQUIFILLES'!B89="","",'5. Gantt EQUIFILLES'!U89)</f>
        <v/>
      </c>
    </row>
    <row r="86" customFormat="false" ht="15" hidden="false" customHeight="true" outlineLevel="0" collapsed="false">
      <c r="A86" s="1" t="str">
        <f aca="false">IF('5. Gantt EQUIFILLES'!B90="","","EQUIFILLES")</f>
        <v/>
      </c>
      <c r="B86" s="1" t="str">
        <f aca="false">IF('5. Gantt EQUIFILLES'!B90="","",'5. Gantt EQUIFILLES'!B90)</f>
        <v/>
      </c>
      <c r="C86" s="1" t="str">
        <f aca="false">IF('5. Gantt EQUIFILLES'!B90="","",'5. Gantt EQUIFILLES'!C90)</f>
        <v/>
      </c>
      <c r="D86" s="1" t="str">
        <f aca="false">IF('5. Gantt EQUIFILLES'!B90="","",'5. Gantt EQUIFILLES'!D90)</f>
        <v/>
      </c>
      <c r="E86" s="1" t="str">
        <f aca="false">IF('5. Gantt EQUIFILLES'!B90="","",'5. Gantt EQUIFILLES'!E90)</f>
        <v/>
      </c>
      <c r="F86" s="1" t="str">
        <f aca="false">IF('5. Gantt EQUIFILLES'!B90="","",'5. Gantt EQUIFILLES'!G90)</f>
        <v/>
      </c>
      <c r="G86" s="167" t="str">
        <f aca="false">IF('5. Gantt EQUIFILLES'!B90="","",'5. Gantt EQUIFILLES'!H90)</f>
        <v/>
      </c>
      <c r="H86" s="167" t="str">
        <f aca="false">IF('5. Gantt EQUIFILLES'!B90="","",'5. Gantt EQUIFILLES'!I90)</f>
        <v/>
      </c>
      <c r="I86" s="167" t="str">
        <f aca="false">IF('5. Gantt EQUIFILLES'!B90="","",'5. Gantt EQUIFILLES'!K90)</f>
        <v/>
      </c>
      <c r="J86" s="168" t="str">
        <f aca="false">IF('5. Gantt EQUIFILLES'!B90="","",'5. Gantt EQUIFILLES'!M90)</f>
        <v/>
      </c>
      <c r="K86" s="168" t="str">
        <f aca="false">IF('5. Gantt EQUIFILLES'!B90="","",'5. Gantt EQUIFILLES'!N90)</f>
        <v/>
      </c>
      <c r="L86" s="169" t="str">
        <f aca="false">IF('5. Gantt EQUIFILLES'!B90="","",'5. Gantt EQUIFILLES'!O90)</f>
        <v/>
      </c>
      <c r="M86" s="169" t="str">
        <f aca="false">IF('5. Gantt EQUIFILLES'!B90="","",'5. Gantt EQUIFILLES'!P90)</f>
        <v/>
      </c>
      <c r="N86" s="1" t="str">
        <f aca="false">IF('5. Gantt EQUIFILLES'!B90="","",'5. Gantt EQUIFILLES'!Q90)</f>
        <v/>
      </c>
      <c r="O86" s="1" t="str">
        <f aca="false">IF('5. Gantt EQUIFILLES'!B90="","",'5. Gantt EQUIFILLES'!R90)</f>
        <v/>
      </c>
      <c r="P86" s="1" t="str">
        <f aca="false">IF('5. Gantt EQUIFILLES'!B90="","",'5. Gantt EQUIFILLES'!S90)</f>
        <v/>
      </c>
      <c r="Q86" s="1" t="str">
        <f aca="false">IF('5. Gantt EQUIFILLES'!B90="","",'5. Gantt EQUIFILLES'!T90)</f>
        <v/>
      </c>
      <c r="R86" s="1" t="str">
        <f aca="false">IF('5. Gantt EQUIFILLES'!B90="","",'5. Gantt EQUIFILLES'!U90)</f>
        <v/>
      </c>
    </row>
    <row r="87" customFormat="false" ht="15" hidden="false" customHeight="true" outlineLevel="0" collapsed="false">
      <c r="A87" s="1" t="str">
        <f aca="false">IF('5. Gantt EQUIFILLES'!B91="","","EQUIFILLES")</f>
        <v/>
      </c>
      <c r="B87" s="1" t="str">
        <f aca="false">IF('5. Gantt EQUIFILLES'!B91="","",'5. Gantt EQUIFILLES'!B91)</f>
        <v/>
      </c>
      <c r="C87" s="1" t="str">
        <f aca="false">IF('5. Gantt EQUIFILLES'!B91="","",'5. Gantt EQUIFILLES'!C91)</f>
        <v/>
      </c>
      <c r="D87" s="1" t="str">
        <f aca="false">IF('5. Gantt EQUIFILLES'!B91="","",'5. Gantt EQUIFILLES'!D91)</f>
        <v/>
      </c>
      <c r="E87" s="1" t="str">
        <f aca="false">IF('5. Gantt EQUIFILLES'!B91="","",'5. Gantt EQUIFILLES'!E91)</f>
        <v/>
      </c>
      <c r="F87" s="1" t="str">
        <f aca="false">IF('5. Gantt EQUIFILLES'!B91="","",'5. Gantt EQUIFILLES'!G91)</f>
        <v/>
      </c>
      <c r="G87" s="167" t="str">
        <f aca="false">IF('5. Gantt EQUIFILLES'!B91="","",'5. Gantt EQUIFILLES'!H91)</f>
        <v/>
      </c>
      <c r="H87" s="167" t="str">
        <f aca="false">IF('5. Gantt EQUIFILLES'!B91="","",'5. Gantt EQUIFILLES'!I91)</f>
        <v/>
      </c>
      <c r="I87" s="167" t="str">
        <f aca="false">IF('5. Gantt EQUIFILLES'!B91="","",'5. Gantt EQUIFILLES'!K91)</f>
        <v/>
      </c>
      <c r="J87" s="168" t="str">
        <f aca="false">IF('5. Gantt EQUIFILLES'!B91="","",'5. Gantt EQUIFILLES'!M91)</f>
        <v/>
      </c>
      <c r="K87" s="168" t="str">
        <f aca="false">IF('5. Gantt EQUIFILLES'!B91="","",'5. Gantt EQUIFILLES'!N91)</f>
        <v/>
      </c>
      <c r="L87" s="169" t="str">
        <f aca="false">IF('5. Gantt EQUIFILLES'!B91="","",'5. Gantt EQUIFILLES'!O91)</f>
        <v/>
      </c>
      <c r="M87" s="169" t="str">
        <f aca="false">IF('5. Gantt EQUIFILLES'!B91="","",'5. Gantt EQUIFILLES'!P91)</f>
        <v/>
      </c>
      <c r="N87" s="1" t="str">
        <f aca="false">IF('5. Gantt EQUIFILLES'!B91="","",'5. Gantt EQUIFILLES'!Q91)</f>
        <v/>
      </c>
      <c r="O87" s="1" t="str">
        <f aca="false">IF('5. Gantt EQUIFILLES'!B91="","",'5. Gantt EQUIFILLES'!R91)</f>
        <v/>
      </c>
      <c r="P87" s="1" t="str">
        <f aca="false">IF('5. Gantt EQUIFILLES'!B91="","",'5. Gantt EQUIFILLES'!S91)</f>
        <v/>
      </c>
      <c r="Q87" s="1" t="str">
        <f aca="false">IF('5. Gantt EQUIFILLES'!B91="","",'5. Gantt EQUIFILLES'!T91)</f>
        <v/>
      </c>
      <c r="R87" s="1" t="str">
        <f aca="false">IF('5. Gantt EQUIFILLES'!B91="","",'5. Gantt EQUIFILLES'!U91)</f>
        <v/>
      </c>
    </row>
    <row r="88" customFormat="false" ht="15" hidden="false" customHeight="true" outlineLevel="0" collapsed="false">
      <c r="A88" s="1" t="str">
        <f aca="false">IF('5. Gantt EQUIFILLES'!B92="","","EQUIFILLES")</f>
        <v/>
      </c>
      <c r="B88" s="1" t="str">
        <f aca="false">IF('5. Gantt EQUIFILLES'!B92="","",'5. Gantt EQUIFILLES'!B92)</f>
        <v/>
      </c>
      <c r="C88" s="1" t="str">
        <f aca="false">IF('5. Gantt EQUIFILLES'!B92="","",'5. Gantt EQUIFILLES'!C92)</f>
        <v/>
      </c>
      <c r="D88" s="1" t="str">
        <f aca="false">IF('5. Gantt EQUIFILLES'!B92="","",'5. Gantt EQUIFILLES'!D92)</f>
        <v/>
      </c>
      <c r="E88" s="1" t="str">
        <f aca="false">IF('5. Gantt EQUIFILLES'!B92="","",'5. Gantt EQUIFILLES'!E92)</f>
        <v/>
      </c>
      <c r="F88" s="1" t="str">
        <f aca="false">IF('5. Gantt EQUIFILLES'!B92="","",'5. Gantt EQUIFILLES'!G92)</f>
        <v/>
      </c>
      <c r="G88" s="167" t="str">
        <f aca="false">IF('5. Gantt EQUIFILLES'!B92="","",'5. Gantt EQUIFILLES'!H92)</f>
        <v/>
      </c>
      <c r="H88" s="167" t="str">
        <f aca="false">IF('5. Gantt EQUIFILLES'!B92="","",'5. Gantt EQUIFILLES'!I92)</f>
        <v/>
      </c>
      <c r="I88" s="167" t="str">
        <f aca="false">IF('5. Gantt EQUIFILLES'!B92="","",'5. Gantt EQUIFILLES'!K92)</f>
        <v/>
      </c>
      <c r="J88" s="168" t="str">
        <f aca="false">IF('5. Gantt EQUIFILLES'!B92="","",'5. Gantt EQUIFILLES'!M92)</f>
        <v/>
      </c>
      <c r="K88" s="168" t="str">
        <f aca="false">IF('5. Gantt EQUIFILLES'!B92="","",'5. Gantt EQUIFILLES'!N92)</f>
        <v/>
      </c>
      <c r="L88" s="169" t="str">
        <f aca="false">IF('5. Gantt EQUIFILLES'!B92="","",'5. Gantt EQUIFILLES'!O92)</f>
        <v/>
      </c>
      <c r="M88" s="169" t="str">
        <f aca="false">IF('5. Gantt EQUIFILLES'!B92="","",'5. Gantt EQUIFILLES'!P92)</f>
        <v/>
      </c>
      <c r="N88" s="1" t="str">
        <f aca="false">IF('5. Gantt EQUIFILLES'!B92="","",'5. Gantt EQUIFILLES'!Q92)</f>
        <v/>
      </c>
      <c r="O88" s="1" t="str">
        <f aca="false">IF('5. Gantt EQUIFILLES'!B92="","",'5. Gantt EQUIFILLES'!R92)</f>
        <v/>
      </c>
      <c r="P88" s="1" t="str">
        <f aca="false">IF('5. Gantt EQUIFILLES'!B92="","",'5. Gantt EQUIFILLES'!S92)</f>
        <v/>
      </c>
      <c r="Q88" s="1" t="str">
        <f aca="false">IF('5. Gantt EQUIFILLES'!B92="","",'5. Gantt EQUIFILLES'!T92)</f>
        <v/>
      </c>
      <c r="R88" s="1" t="str">
        <f aca="false">IF('5. Gantt EQUIFILLES'!B92="","",'5. Gantt EQUIFILLES'!U92)</f>
        <v/>
      </c>
    </row>
    <row r="89" customFormat="false" ht="15" hidden="false" customHeight="true" outlineLevel="0" collapsed="false">
      <c r="A89" s="1" t="str">
        <f aca="false">IF('5. Gantt EQUIFILLES'!B93="","","EQUIFILLES")</f>
        <v/>
      </c>
      <c r="B89" s="1" t="str">
        <f aca="false">IF('5. Gantt EQUIFILLES'!B93="","",'5. Gantt EQUIFILLES'!B93)</f>
        <v/>
      </c>
      <c r="C89" s="1" t="str">
        <f aca="false">IF('5. Gantt EQUIFILLES'!B93="","",'5. Gantt EQUIFILLES'!C93)</f>
        <v/>
      </c>
      <c r="D89" s="1" t="str">
        <f aca="false">IF('5. Gantt EQUIFILLES'!B93="","",'5. Gantt EQUIFILLES'!D93)</f>
        <v/>
      </c>
      <c r="E89" s="1" t="str">
        <f aca="false">IF('5. Gantt EQUIFILLES'!B93="","",'5. Gantt EQUIFILLES'!E93)</f>
        <v/>
      </c>
      <c r="F89" s="1" t="str">
        <f aca="false">IF('5. Gantt EQUIFILLES'!B93="","",'5. Gantt EQUIFILLES'!G93)</f>
        <v/>
      </c>
      <c r="G89" s="167" t="str">
        <f aca="false">IF('5. Gantt EQUIFILLES'!B93="","",'5. Gantt EQUIFILLES'!H93)</f>
        <v/>
      </c>
      <c r="H89" s="167" t="str">
        <f aca="false">IF('5. Gantt EQUIFILLES'!B93="","",'5. Gantt EQUIFILLES'!I93)</f>
        <v/>
      </c>
      <c r="I89" s="167" t="str">
        <f aca="false">IF('5. Gantt EQUIFILLES'!B93="","",'5. Gantt EQUIFILLES'!K93)</f>
        <v/>
      </c>
      <c r="J89" s="168" t="str">
        <f aca="false">IF('5. Gantt EQUIFILLES'!B93="","",'5. Gantt EQUIFILLES'!M93)</f>
        <v/>
      </c>
      <c r="K89" s="168" t="str">
        <f aca="false">IF('5. Gantt EQUIFILLES'!B93="","",'5. Gantt EQUIFILLES'!N93)</f>
        <v/>
      </c>
      <c r="L89" s="169" t="str">
        <f aca="false">IF('5. Gantt EQUIFILLES'!B93="","",'5. Gantt EQUIFILLES'!O93)</f>
        <v/>
      </c>
      <c r="M89" s="169" t="str">
        <f aca="false">IF('5. Gantt EQUIFILLES'!B93="","",'5. Gantt EQUIFILLES'!P93)</f>
        <v/>
      </c>
      <c r="N89" s="1" t="str">
        <f aca="false">IF('5. Gantt EQUIFILLES'!B93="","",'5. Gantt EQUIFILLES'!Q93)</f>
        <v/>
      </c>
      <c r="O89" s="1" t="str">
        <f aca="false">IF('5. Gantt EQUIFILLES'!B93="","",'5. Gantt EQUIFILLES'!R93)</f>
        <v/>
      </c>
      <c r="P89" s="1" t="str">
        <f aca="false">IF('5. Gantt EQUIFILLES'!B93="","",'5. Gantt EQUIFILLES'!S93)</f>
        <v/>
      </c>
      <c r="Q89" s="1" t="str">
        <f aca="false">IF('5. Gantt EQUIFILLES'!B93="","",'5. Gantt EQUIFILLES'!T93)</f>
        <v/>
      </c>
      <c r="R89" s="1" t="str">
        <f aca="false">IF('5. Gantt EQUIFILLES'!B93="","",'5. Gantt EQUIFILLES'!U93)</f>
        <v/>
      </c>
    </row>
    <row r="90" customFormat="false" ht="15" hidden="false" customHeight="true" outlineLevel="0" collapsed="false">
      <c r="A90" s="1" t="str">
        <f aca="false">IF('5. Gantt EQUIFILLES'!B94="","","EQUIFILLES")</f>
        <v/>
      </c>
      <c r="B90" s="1" t="str">
        <f aca="false">IF('5. Gantt EQUIFILLES'!B94="","",'5. Gantt EQUIFILLES'!B94)</f>
        <v/>
      </c>
      <c r="C90" s="1" t="str">
        <f aca="false">IF('5. Gantt EQUIFILLES'!B94="","",'5. Gantt EQUIFILLES'!C94)</f>
        <v/>
      </c>
      <c r="D90" s="1" t="str">
        <f aca="false">IF('5. Gantt EQUIFILLES'!B94="","",'5. Gantt EQUIFILLES'!D94)</f>
        <v/>
      </c>
      <c r="E90" s="1" t="str">
        <f aca="false">IF('5. Gantt EQUIFILLES'!B94="","",'5. Gantt EQUIFILLES'!E94)</f>
        <v/>
      </c>
      <c r="F90" s="1" t="str">
        <f aca="false">IF('5. Gantt EQUIFILLES'!B94="","",'5. Gantt EQUIFILLES'!G94)</f>
        <v/>
      </c>
      <c r="G90" s="167" t="str">
        <f aca="false">IF('5. Gantt EQUIFILLES'!B94="","",'5. Gantt EQUIFILLES'!H94)</f>
        <v/>
      </c>
      <c r="H90" s="167" t="str">
        <f aca="false">IF('5. Gantt EQUIFILLES'!B94="","",'5. Gantt EQUIFILLES'!I94)</f>
        <v/>
      </c>
      <c r="I90" s="167" t="str">
        <f aca="false">IF('5. Gantt EQUIFILLES'!B94="","",'5. Gantt EQUIFILLES'!K94)</f>
        <v/>
      </c>
      <c r="J90" s="168" t="str">
        <f aca="false">IF('5. Gantt EQUIFILLES'!B94="","",'5. Gantt EQUIFILLES'!M94)</f>
        <v/>
      </c>
      <c r="K90" s="168" t="str">
        <f aca="false">IF('5. Gantt EQUIFILLES'!B94="","",'5. Gantt EQUIFILLES'!N94)</f>
        <v/>
      </c>
      <c r="L90" s="169" t="str">
        <f aca="false">IF('5. Gantt EQUIFILLES'!B94="","",'5. Gantt EQUIFILLES'!O94)</f>
        <v/>
      </c>
      <c r="M90" s="169" t="str">
        <f aca="false">IF('5. Gantt EQUIFILLES'!B94="","",'5. Gantt EQUIFILLES'!P94)</f>
        <v/>
      </c>
      <c r="N90" s="1" t="str">
        <f aca="false">IF('5. Gantt EQUIFILLES'!B94="","",'5. Gantt EQUIFILLES'!Q94)</f>
        <v/>
      </c>
      <c r="O90" s="1" t="str">
        <f aca="false">IF('5. Gantt EQUIFILLES'!B94="","",'5. Gantt EQUIFILLES'!R94)</f>
        <v/>
      </c>
      <c r="P90" s="1" t="str">
        <f aca="false">IF('5. Gantt EQUIFILLES'!B94="","",'5. Gantt EQUIFILLES'!S94)</f>
        <v/>
      </c>
      <c r="Q90" s="1" t="str">
        <f aca="false">IF('5. Gantt EQUIFILLES'!B94="","",'5. Gantt EQUIFILLES'!T94)</f>
        <v/>
      </c>
      <c r="R90" s="1" t="str">
        <f aca="false">IF('5. Gantt EQUIFILLES'!B94="","",'5. Gantt EQUIFILLES'!U94)</f>
        <v/>
      </c>
    </row>
    <row r="91" customFormat="false" ht="15" hidden="false" customHeight="true" outlineLevel="0" collapsed="false">
      <c r="A91" s="1" t="str">
        <f aca="false">IF('5. Gantt EQUIFILLES'!B95="","","EQUIFILLES")</f>
        <v/>
      </c>
      <c r="B91" s="1" t="str">
        <f aca="false">IF('5. Gantt EQUIFILLES'!B95="","",'5. Gantt EQUIFILLES'!B95)</f>
        <v/>
      </c>
      <c r="C91" s="1" t="str">
        <f aca="false">IF('5. Gantt EQUIFILLES'!B95="","",'5. Gantt EQUIFILLES'!C95)</f>
        <v/>
      </c>
      <c r="D91" s="1" t="str">
        <f aca="false">IF('5. Gantt EQUIFILLES'!B95="","",'5. Gantt EQUIFILLES'!D95)</f>
        <v/>
      </c>
      <c r="E91" s="1" t="str">
        <f aca="false">IF('5. Gantt EQUIFILLES'!B95="","",'5. Gantt EQUIFILLES'!E95)</f>
        <v/>
      </c>
      <c r="F91" s="1" t="str">
        <f aca="false">IF('5. Gantt EQUIFILLES'!B95="","",'5. Gantt EQUIFILLES'!G95)</f>
        <v/>
      </c>
      <c r="G91" s="167" t="str">
        <f aca="false">IF('5. Gantt EQUIFILLES'!B95="","",'5. Gantt EQUIFILLES'!H95)</f>
        <v/>
      </c>
      <c r="H91" s="167" t="str">
        <f aca="false">IF('5. Gantt EQUIFILLES'!B95="","",'5. Gantt EQUIFILLES'!I95)</f>
        <v/>
      </c>
      <c r="I91" s="167" t="str">
        <f aca="false">IF('5. Gantt EQUIFILLES'!B95="","",'5. Gantt EQUIFILLES'!K95)</f>
        <v/>
      </c>
      <c r="J91" s="168" t="str">
        <f aca="false">IF('5. Gantt EQUIFILLES'!B95="","",'5. Gantt EQUIFILLES'!M95)</f>
        <v/>
      </c>
      <c r="K91" s="168" t="str">
        <f aca="false">IF('5. Gantt EQUIFILLES'!B95="","",'5. Gantt EQUIFILLES'!N95)</f>
        <v/>
      </c>
      <c r="L91" s="169" t="str">
        <f aca="false">IF('5. Gantt EQUIFILLES'!B95="","",'5. Gantt EQUIFILLES'!O95)</f>
        <v/>
      </c>
      <c r="M91" s="169" t="str">
        <f aca="false">IF('5. Gantt EQUIFILLES'!B95="","",'5. Gantt EQUIFILLES'!P95)</f>
        <v/>
      </c>
      <c r="N91" s="1" t="str">
        <f aca="false">IF('5. Gantt EQUIFILLES'!B95="","",'5. Gantt EQUIFILLES'!Q95)</f>
        <v/>
      </c>
      <c r="O91" s="1" t="str">
        <f aca="false">IF('5. Gantt EQUIFILLES'!B95="","",'5. Gantt EQUIFILLES'!R95)</f>
        <v/>
      </c>
      <c r="P91" s="1" t="str">
        <f aca="false">IF('5. Gantt EQUIFILLES'!B95="","",'5. Gantt EQUIFILLES'!S95)</f>
        <v/>
      </c>
      <c r="Q91" s="1" t="str">
        <f aca="false">IF('5. Gantt EQUIFILLES'!B95="","",'5. Gantt EQUIFILLES'!T95)</f>
        <v/>
      </c>
      <c r="R91" s="1" t="str">
        <f aca="false">IF('5. Gantt EQUIFILLES'!B95="","",'5. Gantt EQUIFILLES'!U95)</f>
        <v/>
      </c>
    </row>
    <row r="92" customFormat="false" ht="15" hidden="false" customHeight="true" outlineLevel="0" collapsed="false">
      <c r="A92" s="1" t="str">
        <f aca="false">IF('5. Gantt EQUIFILLES'!B96="","","EQUIFILLES")</f>
        <v/>
      </c>
      <c r="B92" s="1" t="str">
        <f aca="false">IF('5. Gantt EQUIFILLES'!B96="","",'5. Gantt EQUIFILLES'!B96)</f>
        <v/>
      </c>
      <c r="C92" s="1" t="str">
        <f aca="false">IF('5. Gantt EQUIFILLES'!B96="","",'5. Gantt EQUIFILLES'!C96)</f>
        <v/>
      </c>
      <c r="D92" s="1" t="str">
        <f aca="false">IF('5. Gantt EQUIFILLES'!B96="","",'5. Gantt EQUIFILLES'!D96)</f>
        <v/>
      </c>
      <c r="E92" s="1" t="str">
        <f aca="false">IF('5. Gantt EQUIFILLES'!B96="","",'5. Gantt EQUIFILLES'!E96)</f>
        <v/>
      </c>
      <c r="F92" s="1" t="str">
        <f aca="false">IF('5. Gantt EQUIFILLES'!B96="","",'5. Gantt EQUIFILLES'!G96)</f>
        <v/>
      </c>
      <c r="G92" s="167" t="str">
        <f aca="false">IF('5. Gantt EQUIFILLES'!B96="","",'5. Gantt EQUIFILLES'!H96)</f>
        <v/>
      </c>
      <c r="H92" s="167" t="str">
        <f aca="false">IF('5. Gantt EQUIFILLES'!B96="","",'5. Gantt EQUIFILLES'!I96)</f>
        <v/>
      </c>
      <c r="I92" s="167" t="str">
        <f aca="false">IF('5. Gantt EQUIFILLES'!B96="","",'5. Gantt EQUIFILLES'!K96)</f>
        <v/>
      </c>
      <c r="J92" s="168" t="str">
        <f aca="false">IF('5. Gantt EQUIFILLES'!B96="","",'5. Gantt EQUIFILLES'!M96)</f>
        <v/>
      </c>
      <c r="K92" s="168" t="str">
        <f aca="false">IF('5. Gantt EQUIFILLES'!B96="","",'5. Gantt EQUIFILLES'!N96)</f>
        <v/>
      </c>
      <c r="L92" s="169" t="str">
        <f aca="false">IF('5. Gantt EQUIFILLES'!B96="","",'5. Gantt EQUIFILLES'!O96)</f>
        <v/>
      </c>
      <c r="M92" s="169" t="str">
        <f aca="false">IF('5. Gantt EQUIFILLES'!B96="","",'5. Gantt EQUIFILLES'!P96)</f>
        <v/>
      </c>
      <c r="N92" s="1" t="str">
        <f aca="false">IF('5. Gantt EQUIFILLES'!B96="","",'5. Gantt EQUIFILLES'!Q96)</f>
        <v/>
      </c>
      <c r="O92" s="1" t="str">
        <f aca="false">IF('5. Gantt EQUIFILLES'!B96="","",'5. Gantt EQUIFILLES'!R96)</f>
        <v/>
      </c>
      <c r="P92" s="1" t="str">
        <f aca="false">IF('5. Gantt EQUIFILLES'!B96="","",'5. Gantt EQUIFILLES'!S96)</f>
        <v/>
      </c>
      <c r="Q92" s="1" t="str">
        <f aca="false">IF('5. Gantt EQUIFILLES'!B96="","",'5. Gantt EQUIFILLES'!T96)</f>
        <v/>
      </c>
      <c r="R92" s="1" t="str">
        <f aca="false">IF('5. Gantt EQUIFILLES'!B96="","",'5. Gantt EQUIFILLES'!U96)</f>
        <v/>
      </c>
    </row>
    <row r="93" customFormat="false" ht="15" hidden="false" customHeight="true" outlineLevel="0" collapsed="false">
      <c r="A93" s="1" t="str">
        <f aca="false">IF('5. Gantt EQUIFILLES'!B97="","","EQUIFILLES")</f>
        <v/>
      </c>
      <c r="B93" s="1" t="str">
        <f aca="false">IF('5. Gantt EQUIFILLES'!B97="","",'5. Gantt EQUIFILLES'!B97)</f>
        <v/>
      </c>
      <c r="C93" s="1" t="str">
        <f aca="false">IF('5. Gantt EQUIFILLES'!B97="","",'5. Gantt EQUIFILLES'!C97)</f>
        <v/>
      </c>
      <c r="D93" s="1" t="str">
        <f aca="false">IF('5. Gantt EQUIFILLES'!B97="","",'5. Gantt EQUIFILLES'!D97)</f>
        <v/>
      </c>
      <c r="E93" s="1" t="str">
        <f aca="false">IF('5. Gantt EQUIFILLES'!B97="","",'5. Gantt EQUIFILLES'!E97)</f>
        <v/>
      </c>
      <c r="F93" s="1" t="str">
        <f aca="false">IF('5. Gantt EQUIFILLES'!B97="","",'5. Gantt EQUIFILLES'!G97)</f>
        <v/>
      </c>
      <c r="G93" s="167" t="str">
        <f aca="false">IF('5. Gantt EQUIFILLES'!B97="","",'5. Gantt EQUIFILLES'!H97)</f>
        <v/>
      </c>
      <c r="H93" s="167" t="str">
        <f aca="false">IF('5. Gantt EQUIFILLES'!B97="","",'5. Gantt EQUIFILLES'!I97)</f>
        <v/>
      </c>
      <c r="I93" s="167" t="str">
        <f aca="false">IF('5. Gantt EQUIFILLES'!B97="","",'5. Gantt EQUIFILLES'!K97)</f>
        <v/>
      </c>
      <c r="J93" s="168" t="str">
        <f aca="false">IF('5. Gantt EQUIFILLES'!B97="","",'5. Gantt EQUIFILLES'!M97)</f>
        <v/>
      </c>
      <c r="K93" s="168" t="str">
        <f aca="false">IF('5. Gantt EQUIFILLES'!B97="","",'5. Gantt EQUIFILLES'!N97)</f>
        <v/>
      </c>
      <c r="L93" s="169" t="str">
        <f aca="false">IF('5. Gantt EQUIFILLES'!B97="","",'5. Gantt EQUIFILLES'!O97)</f>
        <v/>
      </c>
      <c r="M93" s="169" t="str">
        <f aca="false">IF('5. Gantt EQUIFILLES'!B97="","",'5. Gantt EQUIFILLES'!P97)</f>
        <v/>
      </c>
      <c r="N93" s="1" t="str">
        <f aca="false">IF('5. Gantt EQUIFILLES'!B97="","",'5. Gantt EQUIFILLES'!Q97)</f>
        <v/>
      </c>
      <c r="O93" s="1" t="str">
        <f aca="false">IF('5. Gantt EQUIFILLES'!B97="","",'5. Gantt EQUIFILLES'!R97)</f>
        <v/>
      </c>
      <c r="P93" s="1" t="str">
        <f aca="false">IF('5. Gantt EQUIFILLES'!B97="","",'5. Gantt EQUIFILLES'!S97)</f>
        <v/>
      </c>
      <c r="Q93" s="1" t="str">
        <f aca="false">IF('5. Gantt EQUIFILLES'!B97="","",'5. Gantt EQUIFILLES'!T97)</f>
        <v/>
      </c>
      <c r="R93" s="1" t="str">
        <f aca="false">IF('5. Gantt EQUIFILLES'!B97="","",'5. Gantt EQUIFILLES'!U97)</f>
        <v/>
      </c>
    </row>
    <row r="94" customFormat="false" ht="15" hidden="false" customHeight="true" outlineLevel="0" collapsed="false">
      <c r="A94" s="1" t="str">
        <f aca="false">IF('5. Gantt EQUIFILLES'!B98="","","EQUIFILLES")</f>
        <v/>
      </c>
      <c r="B94" s="1" t="str">
        <f aca="false">IF('5. Gantt EQUIFILLES'!B98="","",'5. Gantt EQUIFILLES'!B98)</f>
        <v/>
      </c>
      <c r="C94" s="1" t="str">
        <f aca="false">IF('5. Gantt EQUIFILLES'!B98="","",'5. Gantt EQUIFILLES'!C98)</f>
        <v/>
      </c>
      <c r="D94" s="1" t="str">
        <f aca="false">IF('5. Gantt EQUIFILLES'!B98="","",'5. Gantt EQUIFILLES'!D98)</f>
        <v/>
      </c>
      <c r="E94" s="1" t="str">
        <f aca="false">IF('5. Gantt EQUIFILLES'!B98="","",'5. Gantt EQUIFILLES'!E98)</f>
        <v/>
      </c>
      <c r="F94" s="1" t="str">
        <f aca="false">IF('5. Gantt EQUIFILLES'!B98="","",'5. Gantt EQUIFILLES'!G98)</f>
        <v/>
      </c>
      <c r="G94" s="167" t="str">
        <f aca="false">IF('5. Gantt EQUIFILLES'!B98="","",'5. Gantt EQUIFILLES'!H98)</f>
        <v/>
      </c>
      <c r="H94" s="167" t="str">
        <f aca="false">IF('5. Gantt EQUIFILLES'!B98="","",'5. Gantt EQUIFILLES'!I98)</f>
        <v/>
      </c>
      <c r="I94" s="167" t="str">
        <f aca="false">IF('5. Gantt EQUIFILLES'!B98="","",'5. Gantt EQUIFILLES'!K98)</f>
        <v/>
      </c>
      <c r="J94" s="168" t="str">
        <f aca="false">IF('5. Gantt EQUIFILLES'!B98="","",'5. Gantt EQUIFILLES'!M98)</f>
        <v/>
      </c>
      <c r="K94" s="168" t="str">
        <f aca="false">IF('5. Gantt EQUIFILLES'!B98="","",'5. Gantt EQUIFILLES'!N98)</f>
        <v/>
      </c>
      <c r="L94" s="169" t="str">
        <f aca="false">IF('5. Gantt EQUIFILLES'!B98="","",'5. Gantt EQUIFILLES'!O98)</f>
        <v/>
      </c>
      <c r="M94" s="169" t="str">
        <f aca="false">IF('5. Gantt EQUIFILLES'!B98="","",'5. Gantt EQUIFILLES'!P98)</f>
        <v/>
      </c>
      <c r="N94" s="1" t="str">
        <f aca="false">IF('5. Gantt EQUIFILLES'!B98="","",'5. Gantt EQUIFILLES'!Q98)</f>
        <v/>
      </c>
      <c r="O94" s="1" t="str">
        <f aca="false">IF('5. Gantt EQUIFILLES'!B98="","",'5. Gantt EQUIFILLES'!R98)</f>
        <v/>
      </c>
      <c r="P94" s="1" t="str">
        <f aca="false">IF('5. Gantt EQUIFILLES'!B98="","",'5. Gantt EQUIFILLES'!S98)</f>
        <v/>
      </c>
      <c r="Q94" s="1" t="str">
        <f aca="false">IF('5. Gantt EQUIFILLES'!B98="","",'5. Gantt EQUIFILLES'!T98)</f>
        <v/>
      </c>
      <c r="R94" s="1" t="str">
        <f aca="false">IF('5. Gantt EQUIFILLES'!B98="","",'5. Gantt EQUIFILLES'!U98)</f>
        <v/>
      </c>
    </row>
    <row r="95" customFormat="false" ht="15" hidden="false" customHeight="true" outlineLevel="0" collapsed="false">
      <c r="A95" s="1" t="str">
        <f aca="false">IF('5. Gantt EQUIFILLES'!B99="","","EQUIFILLES")</f>
        <v/>
      </c>
      <c r="B95" s="1" t="str">
        <f aca="false">IF('5. Gantt EQUIFILLES'!B99="","",'5. Gantt EQUIFILLES'!B99)</f>
        <v/>
      </c>
      <c r="C95" s="1" t="str">
        <f aca="false">IF('5. Gantt EQUIFILLES'!B99="","",'5. Gantt EQUIFILLES'!C99)</f>
        <v/>
      </c>
      <c r="D95" s="1" t="str">
        <f aca="false">IF('5. Gantt EQUIFILLES'!B99="","",'5. Gantt EQUIFILLES'!D99)</f>
        <v/>
      </c>
      <c r="E95" s="1" t="str">
        <f aca="false">IF('5. Gantt EQUIFILLES'!B99="","",'5. Gantt EQUIFILLES'!E99)</f>
        <v/>
      </c>
      <c r="F95" s="1" t="str">
        <f aca="false">IF('5. Gantt EQUIFILLES'!B99="","",'5. Gantt EQUIFILLES'!G99)</f>
        <v/>
      </c>
      <c r="G95" s="167" t="str">
        <f aca="false">IF('5. Gantt EQUIFILLES'!B99="","",'5. Gantt EQUIFILLES'!H99)</f>
        <v/>
      </c>
      <c r="H95" s="167" t="str">
        <f aca="false">IF('5. Gantt EQUIFILLES'!B99="","",'5. Gantt EQUIFILLES'!I99)</f>
        <v/>
      </c>
      <c r="I95" s="167" t="str">
        <f aca="false">IF('5. Gantt EQUIFILLES'!B99="","",'5. Gantt EQUIFILLES'!K99)</f>
        <v/>
      </c>
      <c r="J95" s="168" t="str">
        <f aca="false">IF('5. Gantt EQUIFILLES'!B99="","",'5. Gantt EQUIFILLES'!M99)</f>
        <v/>
      </c>
      <c r="K95" s="168" t="str">
        <f aca="false">IF('5. Gantt EQUIFILLES'!B99="","",'5. Gantt EQUIFILLES'!N99)</f>
        <v/>
      </c>
      <c r="L95" s="169" t="str">
        <f aca="false">IF('5. Gantt EQUIFILLES'!B99="","",'5. Gantt EQUIFILLES'!O99)</f>
        <v/>
      </c>
      <c r="M95" s="169" t="str">
        <f aca="false">IF('5. Gantt EQUIFILLES'!B99="","",'5. Gantt EQUIFILLES'!P99)</f>
        <v/>
      </c>
      <c r="N95" s="1" t="str">
        <f aca="false">IF('5. Gantt EQUIFILLES'!B99="","",'5. Gantt EQUIFILLES'!Q99)</f>
        <v/>
      </c>
      <c r="O95" s="1" t="str">
        <f aca="false">IF('5. Gantt EQUIFILLES'!B99="","",'5. Gantt EQUIFILLES'!R99)</f>
        <v/>
      </c>
      <c r="P95" s="1" t="str">
        <f aca="false">IF('5. Gantt EQUIFILLES'!B99="","",'5. Gantt EQUIFILLES'!S99)</f>
        <v/>
      </c>
      <c r="Q95" s="1" t="str">
        <f aca="false">IF('5. Gantt EQUIFILLES'!B99="","",'5. Gantt EQUIFILLES'!T99)</f>
        <v/>
      </c>
      <c r="R95" s="1" t="str">
        <f aca="false">IF('5. Gantt EQUIFILLES'!B99="","",'5. Gantt EQUIFILLES'!U99)</f>
        <v/>
      </c>
    </row>
    <row r="96" customFormat="false" ht="15" hidden="false" customHeight="true" outlineLevel="0" collapsed="false">
      <c r="A96" s="1" t="str">
        <f aca="false">IF('5. Gantt EQUIFILLES'!B100="","","EQUIFILLES")</f>
        <v/>
      </c>
      <c r="B96" s="1" t="str">
        <f aca="false">IF('5. Gantt EQUIFILLES'!B100="","",'5. Gantt EQUIFILLES'!B100)</f>
        <v/>
      </c>
      <c r="C96" s="1" t="str">
        <f aca="false">IF('5. Gantt EQUIFILLES'!B100="","",'5. Gantt EQUIFILLES'!C100)</f>
        <v/>
      </c>
      <c r="D96" s="1" t="str">
        <f aca="false">IF('5. Gantt EQUIFILLES'!B100="","",'5. Gantt EQUIFILLES'!D100)</f>
        <v/>
      </c>
      <c r="E96" s="1" t="str">
        <f aca="false">IF('5. Gantt EQUIFILLES'!B100="","",'5. Gantt EQUIFILLES'!E100)</f>
        <v/>
      </c>
      <c r="F96" s="1" t="str">
        <f aca="false">IF('5. Gantt EQUIFILLES'!B100="","",'5. Gantt EQUIFILLES'!G100)</f>
        <v/>
      </c>
      <c r="G96" s="167" t="str">
        <f aca="false">IF('5. Gantt EQUIFILLES'!B100="","",'5. Gantt EQUIFILLES'!H100)</f>
        <v/>
      </c>
      <c r="H96" s="167" t="str">
        <f aca="false">IF('5. Gantt EQUIFILLES'!B100="","",'5. Gantt EQUIFILLES'!I100)</f>
        <v/>
      </c>
      <c r="I96" s="167" t="str">
        <f aca="false">IF('5. Gantt EQUIFILLES'!B100="","",'5. Gantt EQUIFILLES'!K100)</f>
        <v/>
      </c>
      <c r="J96" s="168" t="str">
        <f aca="false">IF('5. Gantt EQUIFILLES'!B100="","",'5. Gantt EQUIFILLES'!M100)</f>
        <v/>
      </c>
      <c r="K96" s="168" t="str">
        <f aca="false">IF('5. Gantt EQUIFILLES'!B100="","",'5. Gantt EQUIFILLES'!N100)</f>
        <v/>
      </c>
      <c r="L96" s="169" t="str">
        <f aca="false">IF('5. Gantt EQUIFILLES'!B100="","",'5. Gantt EQUIFILLES'!O100)</f>
        <v/>
      </c>
      <c r="M96" s="169" t="str">
        <f aca="false">IF('5. Gantt EQUIFILLES'!B100="","",'5. Gantt EQUIFILLES'!P100)</f>
        <v/>
      </c>
      <c r="N96" s="1" t="str">
        <f aca="false">IF('5. Gantt EQUIFILLES'!B100="","",'5. Gantt EQUIFILLES'!Q100)</f>
        <v/>
      </c>
      <c r="O96" s="1" t="str">
        <f aca="false">IF('5. Gantt EQUIFILLES'!B100="","",'5. Gantt EQUIFILLES'!R100)</f>
        <v/>
      </c>
      <c r="P96" s="1" t="str">
        <f aca="false">IF('5. Gantt EQUIFILLES'!B100="","",'5. Gantt EQUIFILLES'!S100)</f>
        <v/>
      </c>
      <c r="Q96" s="1" t="str">
        <f aca="false">IF('5. Gantt EQUIFILLES'!B100="","",'5. Gantt EQUIFILLES'!T100)</f>
        <v/>
      </c>
      <c r="R96" s="1" t="str">
        <f aca="false">IF('5. Gantt EQUIFILLES'!B100="","",'5. Gantt EQUIFILLES'!U100)</f>
        <v/>
      </c>
    </row>
    <row r="97" customFormat="false" ht="15" hidden="false" customHeight="true" outlineLevel="0" collapsed="false">
      <c r="A97" s="1" t="str">
        <f aca="false">IF('5. Gantt EQUIFILLES'!B101="","","EQUIFILLES")</f>
        <v/>
      </c>
      <c r="B97" s="1" t="str">
        <f aca="false">IF('5. Gantt EQUIFILLES'!B101="","",'5. Gantt EQUIFILLES'!B101)</f>
        <v/>
      </c>
      <c r="C97" s="1" t="str">
        <f aca="false">IF('5. Gantt EQUIFILLES'!B101="","",'5. Gantt EQUIFILLES'!C101)</f>
        <v/>
      </c>
      <c r="D97" s="1" t="str">
        <f aca="false">IF('5. Gantt EQUIFILLES'!B101="","",'5. Gantt EQUIFILLES'!D101)</f>
        <v/>
      </c>
      <c r="E97" s="1" t="str">
        <f aca="false">IF('5. Gantt EQUIFILLES'!B101="","",'5. Gantt EQUIFILLES'!E101)</f>
        <v/>
      </c>
      <c r="F97" s="1" t="str">
        <f aca="false">IF('5. Gantt EQUIFILLES'!B101="","",'5. Gantt EQUIFILLES'!G101)</f>
        <v/>
      </c>
      <c r="G97" s="167" t="str">
        <f aca="false">IF('5. Gantt EQUIFILLES'!B101="","",'5. Gantt EQUIFILLES'!H101)</f>
        <v/>
      </c>
      <c r="H97" s="167" t="str">
        <f aca="false">IF('5. Gantt EQUIFILLES'!B101="","",'5. Gantt EQUIFILLES'!I101)</f>
        <v/>
      </c>
      <c r="I97" s="167" t="str">
        <f aca="false">IF('5. Gantt EQUIFILLES'!B101="","",'5. Gantt EQUIFILLES'!K101)</f>
        <v/>
      </c>
      <c r="J97" s="168" t="str">
        <f aca="false">IF('5. Gantt EQUIFILLES'!B101="","",'5. Gantt EQUIFILLES'!M101)</f>
        <v/>
      </c>
      <c r="K97" s="168" t="str">
        <f aca="false">IF('5. Gantt EQUIFILLES'!B101="","",'5. Gantt EQUIFILLES'!N101)</f>
        <v/>
      </c>
      <c r="L97" s="169" t="str">
        <f aca="false">IF('5. Gantt EQUIFILLES'!B101="","",'5. Gantt EQUIFILLES'!O101)</f>
        <v/>
      </c>
      <c r="M97" s="169" t="str">
        <f aca="false">IF('5. Gantt EQUIFILLES'!B101="","",'5. Gantt EQUIFILLES'!P101)</f>
        <v/>
      </c>
      <c r="N97" s="1" t="str">
        <f aca="false">IF('5. Gantt EQUIFILLES'!B101="","",'5. Gantt EQUIFILLES'!Q101)</f>
        <v/>
      </c>
      <c r="O97" s="1" t="str">
        <f aca="false">IF('5. Gantt EQUIFILLES'!B101="","",'5. Gantt EQUIFILLES'!R101)</f>
        <v/>
      </c>
      <c r="P97" s="1" t="str">
        <f aca="false">IF('5. Gantt EQUIFILLES'!B101="","",'5. Gantt EQUIFILLES'!S101)</f>
        <v/>
      </c>
      <c r="Q97" s="1" t="str">
        <f aca="false">IF('5. Gantt EQUIFILLES'!B101="","",'5. Gantt EQUIFILLES'!T101)</f>
        <v/>
      </c>
      <c r="R97" s="1" t="str">
        <f aca="false">IF('5. Gantt EQUIFILLES'!B101="","",'5. Gantt EQUIFILLES'!U101)</f>
        <v/>
      </c>
    </row>
    <row r="98" customFormat="false" ht="15" hidden="false" customHeight="true" outlineLevel="0" collapsed="false">
      <c r="A98" s="1" t="str">
        <f aca="false">IF('5. Gantt EQUIFILLES'!B102="","","EQUIFILLES")</f>
        <v/>
      </c>
      <c r="B98" s="1" t="str">
        <f aca="false">IF('5. Gantt EQUIFILLES'!B102="","",'5. Gantt EQUIFILLES'!B102)</f>
        <v/>
      </c>
      <c r="C98" s="1" t="str">
        <f aca="false">IF('5. Gantt EQUIFILLES'!B102="","",'5. Gantt EQUIFILLES'!C102)</f>
        <v/>
      </c>
      <c r="D98" s="1" t="str">
        <f aca="false">IF('5. Gantt EQUIFILLES'!B102="","",'5. Gantt EQUIFILLES'!D102)</f>
        <v/>
      </c>
      <c r="E98" s="1" t="str">
        <f aca="false">IF('5. Gantt EQUIFILLES'!B102="","",'5. Gantt EQUIFILLES'!E102)</f>
        <v/>
      </c>
      <c r="F98" s="1" t="str">
        <f aca="false">IF('5. Gantt EQUIFILLES'!B102="","",'5. Gantt EQUIFILLES'!G102)</f>
        <v/>
      </c>
      <c r="G98" s="167" t="str">
        <f aca="false">IF('5. Gantt EQUIFILLES'!B102="","",'5. Gantt EQUIFILLES'!H102)</f>
        <v/>
      </c>
      <c r="H98" s="167" t="str">
        <f aca="false">IF('5. Gantt EQUIFILLES'!B102="","",'5. Gantt EQUIFILLES'!I102)</f>
        <v/>
      </c>
      <c r="I98" s="167" t="str">
        <f aca="false">IF('5. Gantt EQUIFILLES'!B102="","",'5. Gantt EQUIFILLES'!K102)</f>
        <v/>
      </c>
      <c r="J98" s="168" t="str">
        <f aca="false">IF('5. Gantt EQUIFILLES'!B102="","",'5. Gantt EQUIFILLES'!M102)</f>
        <v/>
      </c>
      <c r="K98" s="168" t="str">
        <f aca="false">IF('5. Gantt EQUIFILLES'!B102="","",'5. Gantt EQUIFILLES'!N102)</f>
        <v/>
      </c>
      <c r="L98" s="169" t="str">
        <f aca="false">IF('5. Gantt EQUIFILLES'!B102="","",'5. Gantt EQUIFILLES'!O102)</f>
        <v/>
      </c>
      <c r="M98" s="169" t="str">
        <f aca="false">IF('5. Gantt EQUIFILLES'!B102="","",'5. Gantt EQUIFILLES'!P102)</f>
        <v/>
      </c>
      <c r="N98" s="1" t="str">
        <f aca="false">IF('5. Gantt EQUIFILLES'!B102="","",'5. Gantt EQUIFILLES'!Q102)</f>
        <v/>
      </c>
      <c r="O98" s="1" t="str">
        <f aca="false">IF('5. Gantt EQUIFILLES'!B102="","",'5. Gantt EQUIFILLES'!R102)</f>
        <v/>
      </c>
      <c r="P98" s="1" t="str">
        <f aca="false">IF('5. Gantt EQUIFILLES'!B102="","",'5. Gantt EQUIFILLES'!S102)</f>
        <v/>
      </c>
      <c r="Q98" s="1" t="str">
        <f aca="false">IF('5. Gantt EQUIFILLES'!B102="","",'5. Gantt EQUIFILLES'!T102)</f>
        <v/>
      </c>
      <c r="R98" s="1" t="str">
        <f aca="false">IF('5. Gantt EQUIFILLES'!B102="","",'5. Gantt EQUIFILLES'!U102)</f>
        <v/>
      </c>
    </row>
    <row r="99" customFormat="false" ht="15" hidden="false" customHeight="true" outlineLevel="0" collapsed="false">
      <c r="A99" s="1" t="str">
        <f aca="false">IF('5. Gantt EQUIFILLES'!B103="","","EQUIFILLES")</f>
        <v/>
      </c>
      <c r="B99" s="1" t="str">
        <f aca="false">IF('5. Gantt EQUIFILLES'!B103="","",'5. Gantt EQUIFILLES'!B103)</f>
        <v/>
      </c>
      <c r="C99" s="1" t="str">
        <f aca="false">IF('5. Gantt EQUIFILLES'!B103="","",'5. Gantt EQUIFILLES'!C103)</f>
        <v/>
      </c>
      <c r="D99" s="1" t="str">
        <f aca="false">IF('5. Gantt EQUIFILLES'!B103="","",'5. Gantt EQUIFILLES'!D103)</f>
        <v/>
      </c>
      <c r="E99" s="1" t="str">
        <f aca="false">IF('5. Gantt EQUIFILLES'!B103="","",'5. Gantt EQUIFILLES'!E103)</f>
        <v/>
      </c>
      <c r="F99" s="1" t="str">
        <f aca="false">IF('5. Gantt EQUIFILLES'!B103="","",'5. Gantt EQUIFILLES'!G103)</f>
        <v/>
      </c>
      <c r="G99" s="167" t="str">
        <f aca="false">IF('5. Gantt EQUIFILLES'!B103="","",'5. Gantt EQUIFILLES'!H103)</f>
        <v/>
      </c>
      <c r="H99" s="167" t="str">
        <f aca="false">IF('5. Gantt EQUIFILLES'!B103="","",'5. Gantt EQUIFILLES'!I103)</f>
        <v/>
      </c>
      <c r="I99" s="167" t="str">
        <f aca="false">IF('5. Gantt EQUIFILLES'!B103="","",'5. Gantt EQUIFILLES'!K103)</f>
        <v/>
      </c>
      <c r="J99" s="168" t="str">
        <f aca="false">IF('5. Gantt EQUIFILLES'!B103="","",'5. Gantt EQUIFILLES'!M103)</f>
        <v/>
      </c>
      <c r="K99" s="168" t="str">
        <f aca="false">IF('5. Gantt EQUIFILLES'!B103="","",'5. Gantt EQUIFILLES'!N103)</f>
        <v/>
      </c>
      <c r="L99" s="169" t="str">
        <f aca="false">IF('5. Gantt EQUIFILLES'!B103="","",'5. Gantt EQUIFILLES'!O103)</f>
        <v/>
      </c>
      <c r="M99" s="169" t="str">
        <f aca="false">IF('5. Gantt EQUIFILLES'!B103="","",'5. Gantt EQUIFILLES'!P103)</f>
        <v/>
      </c>
      <c r="N99" s="1" t="str">
        <f aca="false">IF('5. Gantt EQUIFILLES'!B103="","",'5. Gantt EQUIFILLES'!Q103)</f>
        <v/>
      </c>
      <c r="O99" s="1" t="str">
        <f aca="false">IF('5. Gantt EQUIFILLES'!B103="","",'5. Gantt EQUIFILLES'!R103)</f>
        <v/>
      </c>
      <c r="P99" s="1" t="str">
        <f aca="false">IF('5. Gantt EQUIFILLES'!B103="","",'5. Gantt EQUIFILLES'!S103)</f>
        <v/>
      </c>
      <c r="Q99" s="1" t="str">
        <f aca="false">IF('5. Gantt EQUIFILLES'!B103="","",'5. Gantt EQUIFILLES'!T103)</f>
        <v/>
      </c>
      <c r="R99" s="1" t="str">
        <f aca="false">IF('5. Gantt EQUIFILLES'!B103="","",'5. Gantt EQUIFILLES'!U103)</f>
        <v/>
      </c>
    </row>
    <row r="100" customFormat="false" ht="15" hidden="false" customHeight="true" outlineLevel="0" collapsed="false">
      <c r="A100" s="1" t="str">
        <f aca="false">IF('5. Gantt EQUIFILLES'!B104="","","EQUIFILLES")</f>
        <v/>
      </c>
      <c r="B100" s="1" t="str">
        <f aca="false">IF('5. Gantt EQUIFILLES'!B104="","",'5. Gantt EQUIFILLES'!B104)</f>
        <v/>
      </c>
      <c r="C100" s="1" t="str">
        <f aca="false">IF('5. Gantt EQUIFILLES'!B104="","",'5. Gantt EQUIFILLES'!C104)</f>
        <v/>
      </c>
      <c r="D100" s="1" t="str">
        <f aca="false">IF('5. Gantt EQUIFILLES'!B104="","",'5. Gantt EQUIFILLES'!D104)</f>
        <v/>
      </c>
      <c r="E100" s="1" t="str">
        <f aca="false">IF('5. Gantt EQUIFILLES'!B104="","",'5. Gantt EQUIFILLES'!E104)</f>
        <v/>
      </c>
      <c r="F100" s="1" t="str">
        <f aca="false">IF('5. Gantt EQUIFILLES'!B104="","",'5. Gantt EQUIFILLES'!G104)</f>
        <v/>
      </c>
      <c r="G100" s="167" t="str">
        <f aca="false">IF('5. Gantt EQUIFILLES'!B104="","",'5. Gantt EQUIFILLES'!H104)</f>
        <v/>
      </c>
      <c r="H100" s="167" t="str">
        <f aca="false">IF('5. Gantt EQUIFILLES'!B104="","",'5. Gantt EQUIFILLES'!I104)</f>
        <v/>
      </c>
      <c r="I100" s="167" t="str">
        <f aca="false">IF('5. Gantt EQUIFILLES'!B104="","",'5. Gantt EQUIFILLES'!K104)</f>
        <v/>
      </c>
      <c r="J100" s="168" t="str">
        <f aca="false">IF('5. Gantt EQUIFILLES'!B104="","",'5. Gantt EQUIFILLES'!M104)</f>
        <v/>
      </c>
      <c r="K100" s="168" t="str">
        <f aca="false">IF('5. Gantt EQUIFILLES'!B104="","",'5. Gantt EQUIFILLES'!N104)</f>
        <v/>
      </c>
      <c r="L100" s="169" t="str">
        <f aca="false">IF('5. Gantt EQUIFILLES'!B104="","",'5. Gantt EQUIFILLES'!O104)</f>
        <v/>
      </c>
      <c r="M100" s="169" t="str">
        <f aca="false">IF('5. Gantt EQUIFILLES'!B104="","",'5. Gantt EQUIFILLES'!P104)</f>
        <v/>
      </c>
      <c r="N100" s="1" t="str">
        <f aca="false">IF('5. Gantt EQUIFILLES'!B104="","",'5. Gantt EQUIFILLES'!Q104)</f>
        <v/>
      </c>
      <c r="O100" s="1" t="str">
        <f aca="false">IF('5. Gantt EQUIFILLES'!B104="","",'5. Gantt EQUIFILLES'!R104)</f>
        <v/>
      </c>
      <c r="P100" s="1" t="str">
        <f aca="false">IF('5. Gantt EQUIFILLES'!B104="","",'5. Gantt EQUIFILLES'!S104)</f>
        <v/>
      </c>
      <c r="Q100" s="1" t="str">
        <f aca="false">IF('5. Gantt EQUIFILLES'!B104="","",'5. Gantt EQUIFILLES'!T104)</f>
        <v/>
      </c>
      <c r="R100" s="1" t="str">
        <f aca="false">IF('5. Gantt EQUIFILLES'!B104="","",'5. Gantt EQUIFILLES'!U104)</f>
        <v/>
      </c>
    </row>
    <row r="101" customFormat="false" ht="15" hidden="false" customHeight="true" outlineLevel="0" collapsed="false">
      <c r="A101" s="1" t="str">
        <f aca="false">IF('5. Gantt EQUIFILLES'!B105="","","EQUIFILLES")</f>
        <v/>
      </c>
      <c r="B101" s="1" t="str">
        <f aca="false">IF('5. Gantt EQUIFILLES'!B105="","",'5. Gantt EQUIFILLES'!B105)</f>
        <v/>
      </c>
      <c r="C101" s="1" t="str">
        <f aca="false">IF('5. Gantt EQUIFILLES'!B105="","",'5. Gantt EQUIFILLES'!C105)</f>
        <v/>
      </c>
      <c r="D101" s="1" t="str">
        <f aca="false">IF('5. Gantt EQUIFILLES'!B105="","",'5. Gantt EQUIFILLES'!D105)</f>
        <v/>
      </c>
      <c r="E101" s="1" t="str">
        <f aca="false">IF('5. Gantt EQUIFILLES'!B105="","",'5. Gantt EQUIFILLES'!E105)</f>
        <v/>
      </c>
      <c r="F101" s="1" t="str">
        <f aca="false">IF('5. Gantt EQUIFILLES'!B105="","",'5. Gantt EQUIFILLES'!G105)</f>
        <v/>
      </c>
      <c r="G101" s="167" t="str">
        <f aca="false">IF('5. Gantt EQUIFILLES'!B105="","",'5. Gantt EQUIFILLES'!H105)</f>
        <v/>
      </c>
      <c r="H101" s="167" t="str">
        <f aca="false">IF('5. Gantt EQUIFILLES'!B105="","",'5. Gantt EQUIFILLES'!I105)</f>
        <v/>
      </c>
      <c r="I101" s="167" t="str">
        <f aca="false">IF('5. Gantt EQUIFILLES'!B105="","",'5. Gantt EQUIFILLES'!K105)</f>
        <v/>
      </c>
      <c r="J101" s="168" t="str">
        <f aca="false">IF('5. Gantt EQUIFILLES'!B105="","",'5. Gantt EQUIFILLES'!M105)</f>
        <v/>
      </c>
      <c r="K101" s="168" t="str">
        <f aca="false">IF('5. Gantt EQUIFILLES'!B105="","",'5. Gantt EQUIFILLES'!N105)</f>
        <v/>
      </c>
      <c r="L101" s="169" t="str">
        <f aca="false">IF('5. Gantt EQUIFILLES'!B105="","",'5. Gantt EQUIFILLES'!O105)</f>
        <v/>
      </c>
      <c r="M101" s="169" t="str">
        <f aca="false">IF('5. Gantt EQUIFILLES'!B105="","",'5. Gantt EQUIFILLES'!P105)</f>
        <v/>
      </c>
      <c r="N101" s="1" t="str">
        <f aca="false">IF('5. Gantt EQUIFILLES'!B105="","",'5. Gantt EQUIFILLES'!Q105)</f>
        <v/>
      </c>
      <c r="O101" s="1" t="str">
        <f aca="false">IF('5. Gantt EQUIFILLES'!B105="","",'5. Gantt EQUIFILLES'!R105)</f>
        <v/>
      </c>
      <c r="P101" s="1" t="str">
        <f aca="false">IF('5. Gantt EQUIFILLES'!B105="","",'5. Gantt EQUIFILLES'!S105)</f>
        <v/>
      </c>
      <c r="Q101" s="1" t="str">
        <f aca="false">IF('5. Gantt EQUIFILLES'!B105="","",'5. Gantt EQUIFILLES'!T105)</f>
        <v/>
      </c>
      <c r="R101" s="1" t="str">
        <f aca="false">IF('5. Gantt EQUIFILLES'!B105="","",'5. Gantt EQUIFILLES'!U105)</f>
        <v/>
      </c>
    </row>
    <row r="102" customFormat="false" ht="15" hidden="false" customHeight="true" outlineLevel="0" collapsed="false">
      <c r="A102" s="1" t="str">
        <f aca="false">IF('5. Gantt EQUIFILLES'!B106="","","EQUIFILLES")</f>
        <v/>
      </c>
      <c r="B102" s="1" t="str">
        <f aca="false">IF('5. Gantt EQUIFILLES'!B106="","",'5. Gantt EQUIFILLES'!B106)</f>
        <v/>
      </c>
      <c r="C102" s="1" t="str">
        <f aca="false">IF('5. Gantt EQUIFILLES'!B106="","",'5. Gantt EQUIFILLES'!C106)</f>
        <v/>
      </c>
      <c r="D102" s="1" t="str">
        <f aca="false">IF('5. Gantt EQUIFILLES'!B106="","",'5. Gantt EQUIFILLES'!D106)</f>
        <v/>
      </c>
      <c r="E102" s="1" t="str">
        <f aca="false">IF('5. Gantt EQUIFILLES'!B106="","",'5. Gantt EQUIFILLES'!E106)</f>
        <v/>
      </c>
      <c r="F102" s="1" t="str">
        <f aca="false">IF('5. Gantt EQUIFILLES'!B106="","",'5. Gantt EQUIFILLES'!G106)</f>
        <v/>
      </c>
      <c r="G102" s="167" t="str">
        <f aca="false">IF('5. Gantt EQUIFILLES'!B106="","",'5. Gantt EQUIFILLES'!H106)</f>
        <v/>
      </c>
      <c r="H102" s="167" t="str">
        <f aca="false">IF('5. Gantt EQUIFILLES'!B106="","",'5. Gantt EQUIFILLES'!I106)</f>
        <v/>
      </c>
      <c r="I102" s="167" t="str">
        <f aca="false">IF('5. Gantt EQUIFILLES'!B106="","",'5. Gantt EQUIFILLES'!K106)</f>
        <v/>
      </c>
      <c r="J102" s="168" t="str">
        <f aca="false">IF('5. Gantt EQUIFILLES'!B106="","",'5. Gantt EQUIFILLES'!M106)</f>
        <v/>
      </c>
      <c r="K102" s="168" t="str">
        <f aca="false">IF('5. Gantt EQUIFILLES'!B106="","",'5. Gantt EQUIFILLES'!N106)</f>
        <v/>
      </c>
      <c r="L102" s="169" t="str">
        <f aca="false">IF('5. Gantt EQUIFILLES'!B106="","",'5. Gantt EQUIFILLES'!O106)</f>
        <v/>
      </c>
      <c r="M102" s="169" t="str">
        <f aca="false">IF('5. Gantt EQUIFILLES'!B106="","",'5. Gantt EQUIFILLES'!P106)</f>
        <v/>
      </c>
      <c r="N102" s="1" t="str">
        <f aca="false">IF('5. Gantt EQUIFILLES'!B106="","",'5. Gantt EQUIFILLES'!Q106)</f>
        <v/>
      </c>
      <c r="O102" s="1" t="str">
        <f aca="false">IF('5. Gantt EQUIFILLES'!B106="","",'5. Gantt EQUIFILLES'!R106)</f>
        <v/>
      </c>
      <c r="P102" s="1" t="str">
        <f aca="false">IF('5. Gantt EQUIFILLES'!B106="","",'5. Gantt EQUIFILLES'!S106)</f>
        <v/>
      </c>
      <c r="Q102" s="1" t="str">
        <f aca="false">IF('5. Gantt EQUIFILLES'!B106="","",'5. Gantt EQUIFILLES'!T106)</f>
        <v/>
      </c>
      <c r="R102" s="1" t="str">
        <f aca="false">IF('5. Gantt EQUIFILLES'!B106="","",'5. Gantt EQUIFILLES'!U106)</f>
        <v/>
      </c>
    </row>
    <row r="103" customFormat="false" ht="15" hidden="false" customHeight="true" outlineLevel="0" collapsed="false">
      <c r="A103" s="1" t="str">
        <f aca="false">IF('5. Gantt EQUIFILLES'!B107="","","EQUIFILLES")</f>
        <v/>
      </c>
      <c r="B103" s="1" t="str">
        <f aca="false">IF('5. Gantt EQUIFILLES'!B107="","",'5. Gantt EQUIFILLES'!B107)</f>
        <v/>
      </c>
      <c r="C103" s="1" t="str">
        <f aca="false">IF('5. Gantt EQUIFILLES'!B107="","",'5. Gantt EQUIFILLES'!C107)</f>
        <v/>
      </c>
      <c r="D103" s="1" t="str">
        <f aca="false">IF('5. Gantt EQUIFILLES'!B107="","",'5. Gantt EQUIFILLES'!D107)</f>
        <v/>
      </c>
      <c r="E103" s="1" t="str">
        <f aca="false">IF('5. Gantt EQUIFILLES'!B107="","",'5. Gantt EQUIFILLES'!E107)</f>
        <v/>
      </c>
      <c r="F103" s="1" t="str">
        <f aca="false">IF('5. Gantt EQUIFILLES'!B107="","",'5. Gantt EQUIFILLES'!G107)</f>
        <v/>
      </c>
      <c r="G103" s="167" t="str">
        <f aca="false">IF('5. Gantt EQUIFILLES'!B107="","",'5. Gantt EQUIFILLES'!H107)</f>
        <v/>
      </c>
      <c r="H103" s="167" t="str">
        <f aca="false">IF('5. Gantt EQUIFILLES'!B107="","",'5. Gantt EQUIFILLES'!I107)</f>
        <v/>
      </c>
      <c r="I103" s="167" t="str">
        <f aca="false">IF('5. Gantt EQUIFILLES'!B107="","",'5. Gantt EQUIFILLES'!K107)</f>
        <v/>
      </c>
      <c r="J103" s="168" t="str">
        <f aca="false">IF('5. Gantt EQUIFILLES'!B107="","",'5. Gantt EQUIFILLES'!M107)</f>
        <v/>
      </c>
      <c r="K103" s="168" t="str">
        <f aca="false">IF('5. Gantt EQUIFILLES'!B107="","",'5. Gantt EQUIFILLES'!N107)</f>
        <v/>
      </c>
      <c r="L103" s="169" t="str">
        <f aca="false">IF('5. Gantt EQUIFILLES'!B107="","",'5. Gantt EQUIFILLES'!O107)</f>
        <v/>
      </c>
      <c r="M103" s="169" t="str">
        <f aca="false">IF('5. Gantt EQUIFILLES'!B107="","",'5. Gantt EQUIFILLES'!P107)</f>
        <v/>
      </c>
      <c r="N103" s="1" t="str">
        <f aca="false">IF('5. Gantt EQUIFILLES'!B107="","",'5. Gantt EQUIFILLES'!Q107)</f>
        <v/>
      </c>
      <c r="O103" s="1" t="str">
        <f aca="false">IF('5. Gantt EQUIFILLES'!B107="","",'5. Gantt EQUIFILLES'!R107)</f>
        <v/>
      </c>
      <c r="P103" s="1" t="str">
        <f aca="false">IF('5. Gantt EQUIFILLES'!B107="","",'5. Gantt EQUIFILLES'!S107)</f>
        <v/>
      </c>
      <c r="Q103" s="1" t="str">
        <f aca="false">IF('5. Gantt EQUIFILLES'!B107="","",'5. Gantt EQUIFILLES'!T107)</f>
        <v/>
      </c>
      <c r="R103" s="1" t="str">
        <f aca="false">IF('5. Gantt EQUIFILLES'!B107="","",'5. Gantt EQUIFILLES'!U107)</f>
        <v/>
      </c>
    </row>
    <row r="104" customFormat="false" ht="15" hidden="false" customHeight="true" outlineLevel="0" collapsed="false">
      <c r="A104" s="1" t="str">
        <f aca="false">IF('5. Gantt EQUIFILLES'!B108="","","EQUIFILLES")</f>
        <v/>
      </c>
      <c r="B104" s="1" t="str">
        <f aca="false">IF('5. Gantt EQUIFILLES'!B108="","",'5. Gantt EQUIFILLES'!B108)</f>
        <v/>
      </c>
      <c r="C104" s="1" t="str">
        <f aca="false">IF('5. Gantt EQUIFILLES'!B108="","",'5. Gantt EQUIFILLES'!C108)</f>
        <v/>
      </c>
      <c r="D104" s="1" t="str">
        <f aca="false">IF('5. Gantt EQUIFILLES'!B108="","",'5. Gantt EQUIFILLES'!D108)</f>
        <v/>
      </c>
      <c r="E104" s="1" t="str">
        <f aca="false">IF('5. Gantt EQUIFILLES'!B108="","",'5. Gantt EQUIFILLES'!E108)</f>
        <v/>
      </c>
      <c r="F104" s="1" t="str">
        <f aca="false">IF('5. Gantt EQUIFILLES'!B108="","",'5. Gantt EQUIFILLES'!G108)</f>
        <v/>
      </c>
      <c r="G104" s="167" t="str">
        <f aca="false">IF('5. Gantt EQUIFILLES'!B108="","",'5. Gantt EQUIFILLES'!H108)</f>
        <v/>
      </c>
      <c r="H104" s="167" t="str">
        <f aca="false">IF('5. Gantt EQUIFILLES'!B108="","",'5. Gantt EQUIFILLES'!I108)</f>
        <v/>
      </c>
      <c r="I104" s="167" t="str">
        <f aca="false">IF('5. Gantt EQUIFILLES'!B108="","",'5. Gantt EQUIFILLES'!K108)</f>
        <v/>
      </c>
      <c r="J104" s="168" t="str">
        <f aca="false">IF('5. Gantt EQUIFILLES'!B108="","",'5. Gantt EQUIFILLES'!M108)</f>
        <v/>
      </c>
      <c r="K104" s="168" t="str">
        <f aca="false">IF('5. Gantt EQUIFILLES'!B108="","",'5. Gantt EQUIFILLES'!N108)</f>
        <v/>
      </c>
      <c r="L104" s="169" t="str">
        <f aca="false">IF('5. Gantt EQUIFILLES'!B108="","",'5. Gantt EQUIFILLES'!O108)</f>
        <v/>
      </c>
      <c r="M104" s="169" t="str">
        <f aca="false">IF('5. Gantt EQUIFILLES'!B108="","",'5. Gantt EQUIFILLES'!P108)</f>
        <v/>
      </c>
      <c r="N104" s="1" t="str">
        <f aca="false">IF('5. Gantt EQUIFILLES'!B108="","",'5. Gantt EQUIFILLES'!Q108)</f>
        <v/>
      </c>
      <c r="O104" s="1" t="str">
        <f aca="false">IF('5. Gantt EQUIFILLES'!B108="","",'5. Gantt EQUIFILLES'!R108)</f>
        <v/>
      </c>
      <c r="P104" s="1" t="str">
        <f aca="false">IF('5. Gantt EQUIFILLES'!B108="","",'5. Gantt EQUIFILLES'!S108)</f>
        <v/>
      </c>
      <c r="Q104" s="1" t="str">
        <f aca="false">IF('5. Gantt EQUIFILLES'!B108="","",'5. Gantt EQUIFILLES'!T108)</f>
        <v/>
      </c>
      <c r="R104" s="1" t="str">
        <f aca="false">IF('5. Gantt EQUIFILLES'!B108="","",'5. Gantt EQUIFILLES'!U108)</f>
        <v/>
      </c>
    </row>
    <row r="105" customFormat="false" ht="15" hidden="false" customHeight="true" outlineLevel="0" collapsed="false">
      <c r="A105" s="1" t="str">
        <f aca="false">IF('5. Gantt EQUIFILLES'!B109="","","EQUIFILLES")</f>
        <v/>
      </c>
      <c r="B105" s="1" t="str">
        <f aca="false">IF('5. Gantt EQUIFILLES'!B109="","",'5. Gantt EQUIFILLES'!B109)</f>
        <v/>
      </c>
      <c r="C105" s="1" t="str">
        <f aca="false">IF('5. Gantt EQUIFILLES'!B109="","",'5. Gantt EQUIFILLES'!C109)</f>
        <v/>
      </c>
      <c r="D105" s="1" t="str">
        <f aca="false">IF('5. Gantt EQUIFILLES'!B109="","",'5. Gantt EQUIFILLES'!D109)</f>
        <v/>
      </c>
      <c r="E105" s="1" t="str">
        <f aca="false">IF('5. Gantt EQUIFILLES'!B109="","",'5. Gantt EQUIFILLES'!E109)</f>
        <v/>
      </c>
      <c r="F105" s="1" t="str">
        <f aca="false">IF('5. Gantt EQUIFILLES'!B109="","",'5. Gantt EQUIFILLES'!G109)</f>
        <v/>
      </c>
      <c r="G105" s="167" t="str">
        <f aca="false">IF('5. Gantt EQUIFILLES'!B109="","",'5. Gantt EQUIFILLES'!H109)</f>
        <v/>
      </c>
      <c r="H105" s="167" t="str">
        <f aca="false">IF('5. Gantt EQUIFILLES'!B109="","",'5. Gantt EQUIFILLES'!I109)</f>
        <v/>
      </c>
      <c r="I105" s="167" t="str">
        <f aca="false">IF('5. Gantt EQUIFILLES'!B109="","",'5. Gantt EQUIFILLES'!K109)</f>
        <v/>
      </c>
      <c r="J105" s="168" t="str">
        <f aca="false">IF('5. Gantt EQUIFILLES'!B109="","",'5. Gantt EQUIFILLES'!M109)</f>
        <v/>
      </c>
      <c r="K105" s="168" t="str">
        <f aca="false">IF('5. Gantt EQUIFILLES'!B109="","",'5. Gantt EQUIFILLES'!N109)</f>
        <v/>
      </c>
      <c r="L105" s="169" t="str">
        <f aca="false">IF('5. Gantt EQUIFILLES'!B109="","",'5. Gantt EQUIFILLES'!O109)</f>
        <v/>
      </c>
      <c r="M105" s="169" t="str">
        <f aca="false">IF('5. Gantt EQUIFILLES'!B109="","",'5. Gantt EQUIFILLES'!P109)</f>
        <v/>
      </c>
      <c r="N105" s="1" t="str">
        <f aca="false">IF('5. Gantt EQUIFILLES'!B109="","",'5. Gantt EQUIFILLES'!Q109)</f>
        <v/>
      </c>
      <c r="O105" s="1" t="str">
        <f aca="false">IF('5. Gantt EQUIFILLES'!B109="","",'5. Gantt EQUIFILLES'!R109)</f>
        <v/>
      </c>
      <c r="P105" s="1" t="str">
        <f aca="false">IF('5. Gantt EQUIFILLES'!B109="","",'5. Gantt EQUIFILLES'!S109)</f>
        <v/>
      </c>
      <c r="Q105" s="1" t="str">
        <f aca="false">IF('5. Gantt EQUIFILLES'!B109="","",'5. Gantt EQUIFILLES'!T109)</f>
        <v/>
      </c>
      <c r="R105" s="1" t="str">
        <f aca="false">IF('5. Gantt EQUIFILLES'!B109="","",'5. Gantt EQUIFILLES'!U109)</f>
        <v/>
      </c>
    </row>
    <row r="106" customFormat="false" ht="15" hidden="false" customHeight="true" outlineLevel="0" collapsed="false">
      <c r="A106" s="1" t="str">
        <f aca="false">IF('5. Gantt EQUIFILLES'!B110="","","EQUIFILLES")</f>
        <v/>
      </c>
      <c r="B106" s="1" t="str">
        <f aca="false">IF('5. Gantt EQUIFILLES'!B110="","",'5. Gantt EQUIFILLES'!B110)</f>
        <v/>
      </c>
      <c r="C106" s="1" t="str">
        <f aca="false">IF('5. Gantt EQUIFILLES'!B110="","",'5. Gantt EQUIFILLES'!C110)</f>
        <v/>
      </c>
      <c r="D106" s="1" t="str">
        <f aca="false">IF('5. Gantt EQUIFILLES'!B110="","",'5. Gantt EQUIFILLES'!D110)</f>
        <v/>
      </c>
      <c r="E106" s="1" t="str">
        <f aca="false">IF('5. Gantt EQUIFILLES'!B110="","",'5. Gantt EQUIFILLES'!E110)</f>
        <v/>
      </c>
      <c r="F106" s="1" t="str">
        <f aca="false">IF('5. Gantt EQUIFILLES'!B110="","",'5. Gantt EQUIFILLES'!G110)</f>
        <v/>
      </c>
      <c r="G106" s="167" t="str">
        <f aca="false">IF('5. Gantt EQUIFILLES'!B110="","",'5. Gantt EQUIFILLES'!H110)</f>
        <v/>
      </c>
      <c r="H106" s="167" t="str">
        <f aca="false">IF('5. Gantt EQUIFILLES'!B110="","",'5. Gantt EQUIFILLES'!I110)</f>
        <v/>
      </c>
      <c r="I106" s="167" t="str">
        <f aca="false">IF('5. Gantt EQUIFILLES'!B110="","",'5. Gantt EQUIFILLES'!K110)</f>
        <v/>
      </c>
      <c r="J106" s="168" t="str">
        <f aca="false">IF('5. Gantt EQUIFILLES'!B110="","",'5. Gantt EQUIFILLES'!M110)</f>
        <v/>
      </c>
      <c r="K106" s="168" t="str">
        <f aca="false">IF('5. Gantt EQUIFILLES'!B110="","",'5. Gantt EQUIFILLES'!N110)</f>
        <v/>
      </c>
      <c r="L106" s="169" t="str">
        <f aca="false">IF('5. Gantt EQUIFILLES'!B110="","",'5. Gantt EQUIFILLES'!O110)</f>
        <v/>
      </c>
      <c r="M106" s="169" t="str">
        <f aca="false">IF('5. Gantt EQUIFILLES'!B110="","",'5. Gantt EQUIFILLES'!P110)</f>
        <v/>
      </c>
      <c r="N106" s="1" t="str">
        <f aca="false">IF('5. Gantt EQUIFILLES'!B110="","",'5. Gantt EQUIFILLES'!Q110)</f>
        <v/>
      </c>
      <c r="O106" s="1" t="str">
        <f aca="false">IF('5. Gantt EQUIFILLES'!B110="","",'5. Gantt EQUIFILLES'!R110)</f>
        <v/>
      </c>
      <c r="P106" s="1" t="str">
        <f aca="false">IF('5. Gantt EQUIFILLES'!B110="","",'5. Gantt EQUIFILLES'!S110)</f>
        <v/>
      </c>
      <c r="Q106" s="1" t="str">
        <f aca="false">IF('5. Gantt EQUIFILLES'!B110="","",'5. Gantt EQUIFILLES'!T110)</f>
        <v/>
      </c>
      <c r="R106" s="1" t="str">
        <f aca="false">IF('5. Gantt EQUIFILLES'!B110="","",'5. Gantt EQUIFILLES'!U110)</f>
        <v/>
      </c>
    </row>
    <row r="107" customFormat="false" ht="15" hidden="false" customHeight="true" outlineLevel="0" collapsed="false">
      <c r="A107" s="1" t="str">
        <f aca="false">IF('5. Gantt EQUIFILLES'!B111="","","EQUIFILLES")</f>
        <v/>
      </c>
      <c r="B107" s="1" t="str">
        <f aca="false">IF('5. Gantt EQUIFILLES'!B111="","",'5. Gantt EQUIFILLES'!B111)</f>
        <v/>
      </c>
      <c r="C107" s="1" t="str">
        <f aca="false">IF('5. Gantt EQUIFILLES'!B111="","",'5. Gantt EQUIFILLES'!C111)</f>
        <v/>
      </c>
      <c r="D107" s="1" t="str">
        <f aca="false">IF('5. Gantt EQUIFILLES'!B111="","",'5. Gantt EQUIFILLES'!D111)</f>
        <v/>
      </c>
      <c r="E107" s="1" t="str">
        <f aca="false">IF('5. Gantt EQUIFILLES'!B111="","",'5. Gantt EQUIFILLES'!E111)</f>
        <v/>
      </c>
      <c r="F107" s="1" t="str">
        <f aca="false">IF('5. Gantt EQUIFILLES'!B111="","",'5. Gantt EQUIFILLES'!G111)</f>
        <v/>
      </c>
      <c r="G107" s="167" t="str">
        <f aca="false">IF('5. Gantt EQUIFILLES'!B111="","",'5. Gantt EQUIFILLES'!H111)</f>
        <v/>
      </c>
      <c r="H107" s="167" t="str">
        <f aca="false">IF('5. Gantt EQUIFILLES'!B111="","",'5. Gantt EQUIFILLES'!I111)</f>
        <v/>
      </c>
      <c r="I107" s="167" t="str">
        <f aca="false">IF('5. Gantt EQUIFILLES'!B111="","",'5. Gantt EQUIFILLES'!K111)</f>
        <v/>
      </c>
      <c r="J107" s="168" t="str">
        <f aca="false">IF('5. Gantt EQUIFILLES'!B111="","",'5. Gantt EQUIFILLES'!M111)</f>
        <v/>
      </c>
      <c r="K107" s="168" t="str">
        <f aca="false">IF('5. Gantt EQUIFILLES'!B111="","",'5. Gantt EQUIFILLES'!N111)</f>
        <v/>
      </c>
      <c r="L107" s="169" t="str">
        <f aca="false">IF('5. Gantt EQUIFILLES'!B111="","",'5. Gantt EQUIFILLES'!O111)</f>
        <v/>
      </c>
      <c r="M107" s="169" t="str">
        <f aca="false">IF('5. Gantt EQUIFILLES'!B111="","",'5. Gantt EQUIFILLES'!P111)</f>
        <v/>
      </c>
      <c r="N107" s="1" t="str">
        <f aca="false">IF('5. Gantt EQUIFILLES'!B111="","",'5. Gantt EQUIFILLES'!Q111)</f>
        <v/>
      </c>
      <c r="O107" s="1" t="str">
        <f aca="false">IF('5. Gantt EQUIFILLES'!B111="","",'5. Gantt EQUIFILLES'!R111)</f>
        <v/>
      </c>
      <c r="P107" s="1" t="str">
        <f aca="false">IF('5. Gantt EQUIFILLES'!B111="","",'5. Gantt EQUIFILLES'!S111)</f>
        <v/>
      </c>
      <c r="Q107" s="1" t="str">
        <f aca="false">IF('5. Gantt EQUIFILLES'!B111="","",'5. Gantt EQUIFILLES'!T111)</f>
        <v/>
      </c>
      <c r="R107" s="1" t="str">
        <f aca="false">IF('5. Gantt EQUIFILLES'!B111="","",'5. Gantt EQUIFILLES'!U111)</f>
        <v/>
      </c>
    </row>
    <row r="108" customFormat="false" ht="15" hidden="false" customHeight="true" outlineLevel="0" collapsed="false">
      <c r="A108" s="1" t="str">
        <f aca="false">IF('5. Gantt EQUIFILLES'!B112="","","EQUIFILLES")</f>
        <v/>
      </c>
      <c r="B108" s="1" t="str">
        <f aca="false">IF('5. Gantt EQUIFILLES'!B112="","",'5. Gantt EQUIFILLES'!B112)</f>
        <v/>
      </c>
      <c r="C108" s="1" t="str">
        <f aca="false">IF('5. Gantt EQUIFILLES'!B112="","",'5. Gantt EQUIFILLES'!C112)</f>
        <v/>
      </c>
      <c r="D108" s="1" t="str">
        <f aca="false">IF('5. Gantt EQUIFILLES'!B112="","",'5. Gantt EQUIFILLES'!D112)</f>
        <v/>
      </c>
      <c r="E108" s="1" t="str">
        <f aca="false">IF('5. Gantt EQUIFILLES'!B112="","",'5. Gantt EQUIFILLES'!E112)</f>
        <v/>
      </c>
      <c r="F108" s="1" t="str">
        <f aca="false">IF('5. Gantt EQUIFILLES'!B112="","",'5. Gantt EQUIFILLES'!G112)</f>
        <v/>
      </c>
      <c r="G108" s="167" t="str">
        <f aca="false">IF('5. Gantt EQUIFILLES'!B112="","",'5. Gantt EQUIFILLES'!H112)</f>
        <v/>
      </c>
      <c r="H108" s="167" t="str">
        <f aca="false">IF('5. Gantt EQUIFILLES'!B112="","",'5. Gantt EQUIFILLES'!I112)</f>
        <v/>
      </c>
      <c r="I108" s="167" t="str">
        <f aca="false">IF('5. Gantt EQUIFILLES'!B112="","",'5. Gantt EQUIFILLES'!K112)</f>
        <v/>
      </c>
      <c r="J108" s="168" t="str">
        <f aca="false">IF('5. Gantt EQUIFILLES'!B112="","",'5. Gantt EQUIFILLES'!M112)</f>
        <v/>
      </c>
      <c r="K108" s="168" t="str">
        <f aca="false">IF('5. Gantt EQUIFILLES'!B112="","",'5. Gantt EQUIFILLES'!N112)</f>
        <v/>
      </c>
      <c r="L108" s="169" t="str">
        <f aca="false">IF('5. Gantt EQUIFILLES'!B112="","",'5. Gantt EQUIFILLES'!O112)</f>
        <v/>
      </c>
      <c r="M108" s="169" t="str">
        <f aca="false">IF('5. Gantt EQUIFILLES'!B112="","",'5. Gantt EQUIFILLES'!P112)</f>
        <v/>
      </c>
      <c r="N108" s="1" t="str">
        <f aca="false">IF('5. Gantt EQUIFILLES'!B112="","",'5. Gantt EQUIFILLES'!Q112)</f>
        <v/>
      </c>
      <c r="O108" s="1" t="str">
        <f aca="false">IF('5. Gantt EQUIFILLES'!B112="","",'5. Gantt EQUIFILLES'!R112)</f>
        <v/>
      </c>
      <c r="P108" s="1" t="str">
        <f aca="false">IF('5. Gantt EQUIFILLES'!B112="","",'5. Gantt EQUIFILLES'!S112)</f>
        <v/>
      </c>
      <c r="Q108" s="1" t="str">
        <f aca="false">IF('5. Gantt EQUIFILLES'!B112="","",'5. Gantt EQUIFILLES'!T112)</f>
        <v/>
      </c>
      <c r="R108" s="1" t="str">
        <f aca="false">IF('5. Gantt EQUIFILLES'!B112="","",'5. Gantt EQUIFILLES'!U112)</f>
        <v/>
      </c>
    </row>
    <row r="109" customFormat="false" ht="15" hidden="false" customHeight="true" outlineLevel="0" collapsed="false">
      <c r="A109" s="1" t="str">
        <f aca="false">IF('5. Gantt EQUIFILLES'!B113="","","EQUIFILLES")</f>
        <v/>
      </c>
      <c r="B109" s="1" t="str">
        <f aca="false">IF('5. Gantt EQUIFILLES'!B113="","",'5. Gantt EQUIFILLES'!B113)</f>
        <v/>
      </c>
      <c r="C109" s="1" t="str">
        <f aca="false">IF('5. Gantt EQUIFILLES'!B113="","",'5. Gantt EQUIFILLES'!C113)</f>
        <v/>
      </c>
      <c r="D109" s="1" t="str">
        <f aca="false">IF('5. Gantt EQUIFILLES'!B113="","",'5. Gantt EQUIFILLES'!D113)</f>
        <v/>
      </c>
      <c r="E109" s="1" t="str">
        <f aca="false">IF('5. Gantt EQUIFILLES'!B113="","",'5. Gantt EQUIFILLES'!E113)</f>
        <v/>
      </c>
      <c r="F109" s="1" t="str">
        <f aca="false">IF('5. Gantt EQUIFILLES'!B113="","",'5. Gantt EQUIFILLES'!G113)</f>
        <v/>
      </c>
      <c r="G109" s="167" t="str">
        <f aca="false">IF('5. Gantt EQUIFILLES'!B113="","",'5. Gantt EQUIFILLES'!H113)</f>
        <v/>
      </c>
      <c r="H109" s="167" t="str">
        <f aca="false">IF('5. Gantt EQUIFILLES'!B113="","",'5. Gantt EQUIFILLES'!I113)</f>
        <v/>
      </c>
      <c r="I109" s="167" t="str">
        <f aca="false">IF('5. Gantt EQUIFILLES'!B113="","",'5. Gantt EQUIFILLES'!K113)</f>
        <v/>
      </c>
      <c r="J109" s="168" t="str">
        <f aca="false">IF('5. Gantt EQUIFILLES'!B113="","",'5. Gantt EQUIFILLES'!M113)</f>
        <v/>
      </c>
      <c r="K109" s="168" t="str">
        <f aca="false">IF('5. Gantt EQUIFILLES'!B113="","",'5. Gantt EQUIFILLES'!N113)</f>
        <v/>
      </c>
      <c r="L109" s="169" t="str">
        <f aca="false">IF('5. Gantt EQUIFILLES'!B113="","",'5. Gantt EQUIFILLES'!O113)</f>
        <v/>
      </c>
      <c r="M109" s="169" t="str">
        <f aca="false">IF('5. Gantt EQUIFILLES'!B113="","",'5. Gantt EQUIFILLES'!P113)</f>
        <v/>
      </c>
      <c r="N109" s="1" t="str">
        <f aca="false">IF('5. Gantt EQUIFILLES'!B113="","",'5. Gantt EQUIFILLES'!Q113)</f>
        <v/>
      </c>
      <c r="O109" s="1" t="str">
        <f aca="false">IF('5. Gantt EQUIFILLES'!B113="","",'5. Gantt EQUIFILLES'!R113)</f>
        <v/>
      </c>
      <c r="P109" s="1" t="str">
        <f aca="false">IF('5. Gantt EQUIFILLES'!B113="","",'5. Gantt EQUIFILLES'!S113)</f>
        <v/>
      </c>
      <c r="Q109" s="1" t="str">
        <f aca="false">IF('5. Gantt EQUIFILLES'!B113="","",'5. Gantt EQUIFILLES'!T113)</f>
        <v/>
      </c>
      <c r="R109" s="1" t="str">
        <f aca="false">IF('5. Gantt EQUIFILLES'!B113="","",'5. Gantt EQUIFILLES'!U113)</f>
        <v/>
      </c>
    </row>
    <row r="110" customFormat="false" ht="15" hidden="false" customHeight="true" outlineLevel="0" collapsed="false">
      <c r="A110" s="1" t="str">
        <f aca="false">IF('5. Gantt EQUIFILLES'!B114="","","EQUIFILLES")</f>
        <v/>
      </c>
      <c r="B110" s="1" t="str">
        <f aca="false">IF('5. Gantt EQUIFILLES'!B114="","",'5. Gantt EQUIFILLES'!B114)</f>
        <v/>
      </c>
      <c r="C110" s="1" t="str">
        <f aca="false">IF('5. Gantt EQUIFILLES'!B114="","",'5. Gantt EQUIFILLES'!C114)</f>
        <v/>
      </c>
      <c r="D110" s="1" t="str">
        <f aca="false">IF('5. Gantt EQUIFILLES'!B114="","",'5. Gantt EQUIFILLES'!D114)</f>
        <v/>
      </c>
      <c r="E110" s="1" t="str">
        <f aca="false">IF('5. Gantt EQUIFILLES'!B114="","",'5. Gantt EQUIFILLES'!E114)</f>
        <v/>
      </c>
      <c r="F110" s="1" t="str">
        <f aca="false">IF('5. Gantt EQUIFILLES'!B114="","",'5. Gantt EQUIFILLES'!G114)</f>
        <v/>
      </c>
      <c r="G110" s="167" t="str">
        <f aca="false">IF('5. Gantt EQUIFILLES'!B114="","",'5. Gantt EQUIFILLES'!H114)</f>
        <v/>
      </c>
      <c r="H110" s="167" t="str">
        <f aca="false">IF('5. Gantt EQUIFILLES'!B114="","",'5. Gantt EQUIFILLES'!I114)</f>
        <v/>
      </c>
      <c r="I110" s="167" t="str">
        <f aca="false">IF('5. Gantt EQUIFILLES'!B114="","",'5. Gantt EQUIFILLES'!K114)</f>
        <v/>
      </c>
      <c r="J110" s="168" t="str">
        <f aca="false">IF('5. Gantt EQUIFILLES'!B114="","",'5. Gantt EQUIFILLES'!M114)</f>
        <v/>
      </c>
      <c r="K110" s="168" t="str">
        <f aca="false">IF('5. Gantt EQUIFILLES'!B114="","",'5. Gantt EQUIFILLES'!N114)</f>
        <v/>
      </c>
      <c r="L110" s="169" t="str">
        <f aca="false">IF('5. Gantt EQUIFILLES'!B114="","",'5. Gantt EQUIFILLES'!O114)</f>
        <v/>
      </c>
      <c r="M110" s="169" t="str">
        <f aca="false">IF('5. Gantt EQUIFILLES'!B114="","",'5. Gantt EQUIFILLES'!P114)</f>
        <v/>
      </c>
      <c r="N110" s="1" t="str">
        <f aca="false">IF('5. Gantt EQUIFILLES'!B114="","",'5. Gantt EQUIFILLES'!Q114)</f>
        <v/>
      </c>
      <c r="O110" s="1" t="str">
        <f aca="false">IF('5. Gantt EQUIFILLES'!B114="","",'5. Gantt EQUIFILLES'!R114)</f>
        <v/>
      </c>
      <c r="P110" s="1" t="str">
        <f aca="false">IF('5. Gantt EQUIFILLES'!B114="","",'5. Gantt EQUIFILLES'!S114)</f>
        <v/>
      </c>
      <c r="Q110" s="1" t="str">
        <f aca="false">IF('5. Gantt EQUIFILLES'!B114="","",'5. Gantt EQUIFILLES'!T114)</f>
        <v/>
      </c>
      <c r="R110" s="1" t="str">
        <f aca="false">IF('5. Gantt EQUIFILLES'!B114="","",'5. Gantt EQUIFILLES'!U114)</f>
        <v/>
      </c>
    </row>
    <row r="111" customFormat="false" ht="15" hidden="false" customHeight="true" outlineLevel="0" collapsed="false">
      <c r="A111" s="1" t="str">
        <f aca="false">IF('5. Gantt EQUIFILLES'!B115="","","EQUIFILLES")</f>
        <v/>
      </c>
      <c r="B111" s="1" t="str">
        <f aca="false">IF('5. Gantt EQUIFILLES'!B115="","",'5. Gantt EQUIFILLES'!B115)</f>
        <v/>
      </c>
      <c r="C111" s="1" t="str">
        <f aca="false">IF('5. Gantt EQUIFILLES'!B115="","",'5. Gantt EQUIFILLES'!C115)</f>
        <v/>
      </c>
      <c r="D111" s="1" t="str">
        <f aca="false">IF('5. Gantt EQUIFILLES'!B115="","",'5. Gantt EQUIFILLES'!D115)</f>
        <v/>
      </c>
      <c r="E111" s="1" t="str">
        <f aca="false">IF('5. Gantt EQUIFILLES'!B115="","",'5. Gantt EQUIFILLES'!E115)</f>
        <v/>
      </c>
      <c r="F111" s="1" t="str">
        <f aca="false">IF('5. Gantt EQUIFILLES'!B115="","",'5. Gantt EQUIFILLES'!G115)</f>
        <v/>
      </c>
      <c r="G111" s="167" t="str">
        <f aca="false">IF('5. Gantt EQUIFILLES'!B115="","",'5. Gantt EQUIFILLES'!H115)</f>
        <v/>
      </c>
      <c r="H111" s="167" t="str">
        <f aca="false">IF('5. Gantt EQUIFILLES'!B115="","",'5. Gantt EQUIFILLES'!I115)</f>
        <v/>
      </c>
      <c r="I111" s="167" t="str">
        <f aca="false">IF('5. Gantt EQUIFILLES'!B115="","",'5. Gantt EQUIFILLES'!K115)</f>
        <v/>
      </c>
      <c r="J111" s="168" t="str">
        <f aca="false">IF('5. Gantt EQUIFILLES'!B115="","",'5. Gantt EQUIFILLES'!M115)</f>
        <v/>
      </c>
      <c r="K111" s="168" t="str">
        <f aca="false">IF('5. Gantt EQUIFILLES'!B115="","",'5. Gantt EQUIFILLES'!N115)</f>
        <v/>
      </c>
      <c r="L111" s="169" t="str">
        <f aca="false">IF('5. Gantt EQUIFILLES'!B115="","",'5. Gantt EQUIFILLES'!O115)</f>
        <v/>
      </c>
      <c r="M111" s="169" t="str">
        <f aca="false">IF('5. Gantt EQUIFILLES'!B115="","",'5. Gantt EQUIFILLES'!P115)</f>
        <v/>
      </c>
      <c r="N111" s="1" t="str">
        <f aca="false">IF('5. Gantt EQUIFILLES'!B115="","",'5. Gantt EQUIFILLES'!Q115)</f>
        <v/>
      </c>
      <c r="O111" s="1" t="str">
        <f aca="false">IF('5. Gantt EQUIFILLES'!B115="","",'5. Gantt EQUIFILLES'!R115)</f>
        <v/>
      </c>
      <c r="P111" s="1" t="str">
        <f aca="false">IF('5. Gantt EQUIFILLES'!B115="","",'5. Gantt EQUIFILLES'!S115)</f>
        <v/>
      </c>
      <c r="Q111" s="1" t="str">
        <f aca="false">IF('5. Gantt EQUIFILLES'!B115="","",'5. Gantt EQUIFILLES'!T115)</f>
        <v/>
      </c>
      <c r="R111" s="1" t="str">
        <f aca="false">IF('5. Gantt EQUIFILLES'!B115="","",'5. Gantt EQUIFILLES'!U115)</f>
        <v/>
      </c>
    </row>
    <row r="112" customFormat="false" ht="15" hidden="false" customHeight="true" outlineLevel="0" collapsed="false">
      <c r="A112" s="1" t="str">
        <f aca="false">IF('5. Gantt EQUIFILLES'!B116="","","EQUIFILLES")</f>
        <v/>
      </c>
      <c r="B112" s="1" t="str">
        <f aca="false">IF('5. Gantt EQUIFILLES'!B116="","",'5. Gantt EQUIFILLES'!B116)</f>
        <v/>
      </c>
      <c r="C112" s="1" t="str">
        <f aca="false">IF('5. Gantt EQUIFILLES'!B116="","",'5. Gantt EQUIFILLES'!C116)</f>
        <v/>
      </c>
      <c r="D112" s="1" t="str">
        <f aca="false">IF('5. Gantt EQUIFILLES'!B116="","",'5. Gantt EQUIFILLES'!D116)</f>
        <v/>
      </c>
      <c r="E112" s="1" t="str">
        <f aca="false">IF('5. Gantt EQUIFILLES'!B116="","",'5. Gantt EQUIFILLES'!E116)</f>
        <v/>
      </c>
      <c r="F112" s="1" t="str">
        <f aca="false">IF('5. Gantt EQUIFILLES'!B116="","",'5. Gantt EQUIFILLES'!G116)</f>
        <v/>
      </c>
      <c r="G112" s="167" t="str">
        <f aca="false">IF('5. Gantt EQUIFILLES'!B116="","",'5. Gantt EQUIFILLES'!H116)</f>
        <v/>
      </c>
      <c r="H112" s="167" t="str">
        <f aca="false">IF('5. Gantt EQUIFILLES'!B116="","",'5. Gantt EQUIFILLES'!I116)</f>
        <v/>
      </c>
      <c r="I112" s="167" t="str">
        <f aca="false">IF('5. Gantt EQUIFILLES'!B116="","",'5. Gantt EQUIFILLES'!K116)</f>
        <v/>
      </c>
      <c r="J112" s="168" t="str">
        <f aca="false">IF('5. Gantt EQUIFILLES'!B116="","",'5. Gantt EQUIFILLES'!M116)</f>
        <v/>
      </c>
      <c r="K112" s="168" t="str">
        <f aca="false">IF('5. Gantt EQUIFILLES'!B116="","",'5. Gantt EQUIFILLES'!N116)</f>
        <v/>
      </c>
      <c r="L112" s="169" t="str">
        <f aca="false">IF('5. Gantt EQUIFILLES'!B116="","",'5. Gantt EQUIFILLES'!O116)</f>
        <v/>
      </c>
      <c r="M112" s="169" t="str">
        <f aca="false">IF('5. Gantt EQUIFILLES'!B116="","",'5. Gantt EQUIFILLES'!P116)</f>
        <v/>
      </c>
      <c r="N112" s="1" t="str">
        <f aca="false">IF('5. Gantt EQUIFILLES'!B116="","",'5. Gantt EQUIFILLES'!Q116)</f>
        <v/>
      </c>
      <c r="O112" s="1" t="str">
        <f aca="false">IF('5. Gantt EQUIFILLES'!B116="","",'5. Gantt EQUIFILLES'!R116)</f>
        <v/>
      </c>
      <c r="P112" s="1" t="str">
        <f aca="false">IF('5. Gantt EQUIFILLES'!B116="","",'5. Gantt EQUIFILLES'!S116)</f>
        <v/>
      </c>
      <c r="Q112" s="1" t="str">
        <f aca="false">IF('5. Gantt EQUIFILLES'!B116="","",'5. Gantt EQUIFILLES'!T116)</f>
        <v/>
      </c>
      <c r="R112" s="1" t="str">
        <f aca="false">IF('5. Gantt EQUIFILLES'!B116="","",'5. Gantt EQUIFILLES'!U116)</f>
        <v/>
      </c>
    </row>
    <row r="113" customFormat="false" ht="15" hidden="false" customHeight="true" outlineLevel="0" collapsed="false">
      <c r="A113" s="1" t="str">
        <f aca="false">IF('5. Gantt EQUIFILLES'!B117="","","EQUIFILLES")</f>
        <v/>
      </c>
      <c r="B113" s="1" t="str">
        <f aca="false">IF('5. Gantt EQUIFILLES'!B117="","",'5. Gantt EQUIFILLES'!B117)</f>
        <v/>
      </c>
      <c r="C113" s="1" t="str">
        <f aca="false">IF('5. Gantt EQUIFILLES'!B117="","",'5. Gantt EQUIFILLES'!C117)</f>
        <v/>
      </c>
      <c r="D113" s="1" t="str">
        <f aca="false">IF('5. Gantt EQUIFILLES'!B117="","",'5. Gantt EQUIFILLES'!D117)</f>
        <v/>
      </c>
      <c r="E113" s="1" t="str">
        <f aca="false">IF('5. Gantt EQUIFILLES'!B117="","",'5. Gantt EQUIFILLES'!E117)</f>
        <v/>
      </c>
      <c r="F113" s="1" t="str">
        <f aca="false">IF('5. Gantt EQUIFILLES'!B117="","",'5. Gantt EQUIFILLES'!G117)</f>
        <v/>
      </c>
      <c r="G113" s="167" t="str">
        <f aca="false">IF('5. Gantt EQUIFILLES'!B117="","",'5. Gantt EQUIFILLES'!H117)</f>
        <v/>
      </c>
      <c r="H113" s="167" t="str">
        <f aca="false">IF('5. Gantt EQUIFILLES'!B117="","",'5. Gantt EQUIFILLES'!I117)</f>
        <v/>
      </c>
      <c r="I113" s="167" t="str">
        <f aca="false">IF('5. Gantt EQUIFILLES'!B117="","",'5. Gantt EQUIFILLES'!K117)</f>
        <v/>
      </c>
      <c r="J113" s="168" t="str">
        <f aca="false">IF('5. Gantt EQUIFILLES'!B117="","",'5. Gantt EQUIFILLES'!M117)</f>
        <v/>
      </c>
      <c r="K113" s="168" t="str">
        <f aca="false">IF('5. Gantt EQUIFILLES'!B117="","",'5. Gantt EQUIFILLES'!N117)</f>
        <v/>
      </c>
      <c r="L113" s="169" t="str">
        <f aca="false">IF('5. Gantt EQUIFILLES'!B117="","",'5. Gantt EQUIFILLES'!O117)</f>
        <v/>
      </c>
      <c r="M113" s="169" t="str">
        <f aca="false">IF('5. Gantt EQUIFILLES'!B117="","",'5. Gantt EQUIFILLES'!P117)</f>
        <v/>
      </c>
      <c r="N113" s="1" t="str">
        <f aca="false">IF('5. Gantt EQUIFILLES'!B117="","",'5. Gantt EQUIFILLES'!Q117)</f>
        <v/>
      </c>
      <c r="O113" s="1" t="str">
        <f aca="false">IF('5. Gantt EQUIFILLES'!B117="","",'5. Gantt EQUIFILLES'!R117)</f>
        <v/>
      </c>
      <c r="P113" s="1" t="str">
        <f aca="false">IF('5. Gantt EQUIFILLES'!B117="","",'5. Gantt EQUIFILLES'!S117)</f>
        <v/>
      </c>
      <c r="Q113" s="1" t="str">
        <f aca="false">IF('5. Gantt EQUIFILLES'!B117="","",'5. Gantt EQUIFILLES'!T117)</f>
        <v/>
      </c>
      <c r="R113" s="1" t="str">
        <f aca="false">IF('5. Gantt EQUIFILLES'!B117="","",'5. Gantt EQUIFILLES'!U117)</f>
        <v/>
      </c>
    </row>
    <row r="114" customFormat="false" ht="15" hidden="false" customHeight="true" outlineLevel="0" collapsed="false">
      <c r="A114" s="1" t="str">
        <f aca="false">IF('5. Gantt EQUIFILLES'!B118="","","EQUIFILLES")</f>
        <v/>
      </c>
      <c r="B114" s="1" t="str">
        <f aca="false">IF('5. Gantt EQUIFILLES'!B118="","",'5. Gantt EQUIFILLES'!B118)</f>
        <v/>
      </c>
      <c r="C114" s="1" t="str">
        <f aca="false">IF('5. Gantt EQUIFILLES'!B118="","",'5. Gantt EQUIFILLES'!C118)</f>
        <v/>
      </c>
      <c r="D114" s="1" t="str">
        <f aca="false">IF('5. Gantt EQUIFILLES'!B118="","",'5. Gantt EQUIFILLES'!D118)</f>
        <v/>
      </c>
      <c r="E114" s="1" t="str">
        <f aca="false">IF('5. Gantt EQUIFILLES'!B118="","",'5. Gantt EQUIFILLES'!E118)</f>
        <v/>
      </c>
      <c r="F114" s="1" t="str">
        <f aca="false">IF('5. Gantt EQUIFILLES'!B118="","",'5. Gantt EQUIFILLES'!G118)</f>
        <v/>
      </c>
      <c r="G114" s="167" t="str">
        <f aca="false">IF('5. Gantt EQUIFILLES'!B118="","",'5. Gantt EQUIFILLES'!H118)</f>
        <v/>
      </c>
      <c r="H114" s="167" t="str">
        <f aca="false">IF('5. Gantt EQUIFILLES'!B118="","",'5. Gantt EQUIFILLES'!I118)</f>
        <v/>
      </c>
      <c r="I114" s="167" t="str">
        <f aca="false">IF('5. Gantt EQUIFILLES'!B118="","",'5. Gantt EQUIFILLES'!K118)</f>
        <v/>
      </c>
      <c r="J114" s="168" t="str">
        <f aca="false">IF('5. Gantt EQUIFILLES'!B118="","",'5. Gantt EQUIFILLES'!M118)</f>
        <v/>
      </c>
      <c r="K114" s="168" t="str">
        <f aca="false">IF('5. Gantt EQUIFILLES'!B118="","",'5. Gantt EQUIFILLES'!N118)</f>
        <v/>
      </c>
      <c r="L114" s="169" t="str">
        <f aca="false">IF('5. Gantt EQUIFILLES'!B118="","",'5. Gantt EQUIFILLES'!O118)</f>
        <v/>
      </c>
      <c r="M114" s="169" t="str">
        <f aca="false">IF('5. Gantt EQUIFILLES'!B118="","",'5. Gantt EQUIFILLES'!P118)</f>
        <v/>
      </c>
      <c r="N114" s="1" t="str">
        <f aca="false">IF('5. Gantt EQUIFILLES'!B118="","",'5. Gantt EQUIFILLES'!Q118)</f>
        <v/>
      </c>
      <c r="O114" s="1" t="str">
        <f aca="false">IF('5. Gantt EQUIFILLES'!B118="","",'5. Gantt EQUIFILLES'!R118)</f>
        <v/>
      </c>
      <c r="P114" s="1" t="str">
        <f aca="false">IF('5. Gantt EQUIFILLES'!B118="","",'5. Gantt EQUIFILLES'!S118)</f>
        <v/>
      </c>
      <c r="Q114" s="1" t="str">
        <f aca="false">IF('5. Gantt EQUIFILLES'!B118="","",'5. Gantt EQUIFILLES'!T118)</f>
        <v/>
      </c>
      <c r="R114" s="1" t="str">
        <f aca="false">IF('5. Gantt EQUIFILLES'!B118="","",'5. Gantt EQUIFILLES'!U118)</f>
        <v/>
      </c>
    </row>
    <row r="115" customFormat="false" ht="15" hidden="false" customHeight="true" outlineLevel="0" collapsed="false">
      <c r="A115" s="1" t="str">
        <f aca="false">IF('5. Gantt EQUIFILLES'!B119="","","EQUIFILLES")</f>
        <v/>
      </c>
      <c r="B115" s="1" t="str">
        <f aca="false">IF('5. Gantt EQUIFILLES'!B119="","",'5. Gantt EQUIFILLES'!B119)</f>
        <v/>
      </c>
      <c r="C115" s="1" t="str">
        <f aca="false">IF('5. Gantt EQUIFILLES'!B119="","",'5. Gantt EQUIFILLES'!C119)</f>
        <v/>
      </c>
      <c r="D115" s="1" t="str">
        <f aca="false">IF('5. Gantt EQUIFILLES'!B119="","",'5. Gantt EQUIFILLES'!D119)</f>
        <v/>
      </c>
      <c r="E115" s="1" t="str">
        <f aca="false">IF('5. Gantt EQUIFILLES'!B119="","",'5. Gantt EQUIFILLES'!E119)</f>
        <v/>
      </c>
      <c r="F115" s="1" t="str">
        <f aca="false">IF('5. Gantt EQUIFILLES'!B119="","",'5. Gantt EQUIFILLES'!G119)</f>
        <v/>
      </c>
      <c r="G115" s="167" t="str">
        <f aca="false">IF('5. Gantt EQUIFILLES'!B119="","",'5. Gantt EQUIFILLES'!H119)</f>
        <v/>
      </c>
      <c r="H115" s="167" t="str">
        <f aca="false">IF('5. Gantt EQUIFILLES'!B119="","",'5. Gantt EQUIFILLES'!I119)</f>
        <v/>
      </c>
      <c r="I115" s="167" t="str">
        <f aca="false">IF('5. Gantt EQUIFILLES'!B119="","",'5. Gantt EQUIFILLES'!K119)</f>
        <v/>
      </c>
      <c r="J115" s="168" t="str">
        <f aca="false">IF('5. Gantt EQUIFILLES'!B119="","",'5. Gantt EQUIFILLES'!M119)</f>
        <v/>
      </c>
      <c r="K115" s="168" t="str">
        <f aca="false">IF('5. Gantt EQUIFILLES'!B119="","",'5. Gantt EQUIFILLES'!N119)</f>
        <v/>
      </c>
      <c r="L115" s="169" t="str">
        <f aca="false">IF('5. Gantt EQUIFILLES'!B119="","",'5. Gantt EQUIFILLES'!O119)</f>
        <v/>
      </c>
      <c r="M115" s="169" t="str">
        <f aca="false">IF('5. Gantt EQUIFILLES'!B119="","",'5. Gantt EQUIFILLES'!P119)</f>
        <v/>
      </c>
      <c r="N115" s="1" t="str">
        <f aca="false">IF('5. Gantt EQUIFILLES'!B119="","",'5. Gantt EQUIFILLES'!Q119)</f>
        <v/>
      </c>
      <c r="O115" s="1" t="str">
        <f aca="false">IF('5. Gantt EQUIFILLES'!B119="","",'5. Gantt EQUIFILLES'!R119)</f>
        <v/>
      </c>
      <c r="P115" s="1" t="str">
        <f aca="false">IF('5. Gantt EQUIFILLES'!B119="","",'5. Gantt EQUIFILLES'!S119)</f>
        <v/>
      </c>
      <c r="Q115" s="1" t="str">
        <f aca="false">IF('5. Gantt EQUIFILLES'!B119="","",'5. Gantt EQUIFILLES'!T119)</f>
        <v/>
      </c>
      <c r="R115" s="1" t="str">
        <f aca="false">IF('5. Gantt EQUIFILLES'!B119="","",'5. Gantt EQUIFILLES'!U119)</f>
        <v/>
      </c>
    </row>
    <row r="116" customFormat="false" ht="15" hidden="false" customHeight="true" outlineLevel="0" collapsed="false">
      <c r="A116" s="1" t="str">
        <f aca="false">IF('5. Gantt EQUIFILLES'!B120="","","EQUIFILLES")</f>
        <v/>
      </c>
      <c r="B116" s="1" t="str">
        <f aca="false">IF('5. Gantt EQUIFILLES'!B120="","",'5. Gantt EQUIFILLES'!B120)</f>
        <v/>
      </c>
      <c r="C116" s="1" t="str">
        <f aca="false">IF('5. Gantt EQUIFILLES'!B120="","",'5. Gantt EQUIFILLES'!C120)</f>
        <v/>
      </c>
      <c r="D116" s="1" t="str">
        <f aca="false">IF('5. Gantt EQUIFILLES'!B120="","",'5. Gantt EQUIFILLES'!D120)</f>
        <v/>
      </c>
      <c r="E116" s="1" t="str">
        <f aca="false">IF('5. Gantt EQUIFILLES'!B120="","",'5. Gantt EQUIFILLES'!E120)</f>
        <v/>
      </c>
      <c r="F116" s="1" t="str">
        <f aca="false">IF('5. Gantt EQUIFILLES'!B120="","",'5. Gantt EQUIFILLES'!G120)</f>
        <v/>
      </c>
      <c r="G116" s="167" t="str">
        <f aca="false">IF('5. Gantt EQUIFILLES'!B120="","",'5. Gantt EQUIFILLES'!H120)</f>
        <v/>
      </c>
      <c r="H116" s="167" t="str">
        <f aca="false">IF('5. Gantt EQUIFILLES'!B120="","",'5. Gantt EQUIFILLES'!I120)</f>
        <v/>
      </c>
      <c r="I116" s="167" t="str">
        <f aca="false">IF('5. Gantt EQUIFILLES'!B120="","",'5. Gantt EQUIFILLES'!K120)</f>
        <v/>
      </c>
      <c r="J116" s="168" t="str">
        <f aca="false">IF('5. Gantt EQUIFILLES'!B120="","",'5. Gantt EQUIFILLES'!M120)</f>
        <v/>
      </c>
      <c r="K116" s="168" t="str">
        <f aca="false">IF('5. Gantt EQUIFILLES'!B120="","",'5. Gantt EQUIFILLES'!N120)</f>
        <v/>
      </c>
      <c r="L116" s="169" t="str">
        <f aca="false">IF('5. Gantt EQUIFILLES'!B120="","",'5. Gantt EQUIFILLES'!O120)</f>
        <v/>
      </c>
      <c r="M116" s="169" t="str">
        <f aca="false">IF('5. Gantt EQUIFILLES'!B120="","",'5. Gantt EQUIFILLES'!P120)</f>
        <v/>
      </c>
      <c r="N116" s="1" t="str">
        <f aca="false">IF('5. Gantt EQUIFILLES'!B120="","",'5. Gantt EQUIFILLES'!Q120)</f>
        <v/>
      </c>
      <c r="O116" s="1" t="str">
        <f aca="false">IF('5. Gantt EQUIFILLES'!B120="","",'5. Gantt EQUIFILLES'!R120)</f>
        <v/>
      </c>
      <c r="P116" s="1" t="str">
        <f aca="false">IF('5. Gantt EQUIFILLES'!B120="","",'5. Gantt EQUIFILLES'!S120)</f>
        <v/>
      </c>
      <c r="Q116" s="1" t="str">
        <f aca="false">IF('5. Gantt EQUIFILLES'!B120="","",'5. Gantt EQUIFILLES'!T120)</f>
        <v/>
      </c>
      <c r="R116" s="1" t="str">
        <f aca="false">IF('5. Gantt EQUIFILLES'!B120="","",'5. Gantt EQUIFILLES'!U120)</f>
        <v/>
      </c>
    </row>
    <row r="117" customFormat="false" ht="15" hidden="false" customHeight="true" outlineLevel="0" collapsed="false">
      <c r="A117" s="1" t="str">
        <f aca="false">IF('5. Gantt EQUIFILLES'!B121="","","EQUIFILLES")</f>
        <v/>
      </c>
      <c r="B117" s="1" t="str">
        <f aca="false">IF('5. Gantt EQUIFILLES'!B121="","",'5. Gantt EQUIFILLES'!B121)</f>
        <v/>
      </c>
      <c r="C117" s="1" t="str">
        <f aca="false">IF('5. Gantt EQUIFILLES'!B121="","",'5. Gantt EQUIFILLES'!C121)</f>
        <v/>
      </c>
      <c r="D117" s="1" t="str">
        <f aca="false">IF('5. Gantt EQUIFILLES'!B121="","",'5. Gantt EQUIFILLES'!D121)</f>
        <v/>
      </c>
      <c r="E117" s="1" t="str">
        <f aca="false">IF('5. Gantt EQUIFILLES'!B121="","",'5. Gantt EQUIFILLES'!E121)</f>
        <v/>
      </c>
      <c r="F117" s="1" t="str">
        <f aca="false">IF('5. Gantt EQUIFILLES'!B121="","",'5. Gantt EQUIFILLES'!G121)</f>
        <v/>
      </c>
      <c r="G117" s="167" t="str">
        <f aca="false">IF('5. Gantt EQUIFILLES'!B121="","",'5. Gantt EQUIFILLES'!H121)</f>
        <v/>
      </c>
      <c r="H117" s="167" t="str">
        <f aca="false">IF('5. Gantt EQUIFILLES'!B121="","",'5. Gantt EQUIFILLES'!I121)</f>
        <v/>
      </c>
      <c r="I117" s="167" t="str">
        <f aca="false">IF('5. Gantt EQUIFILLES'!B121="","",'5. Gantt EQUIFILLES'!K121)</f>
        <v/>
      </c>
      <c r="J117" s="168" t="str">
        <f aca="false">IF('5. Gantt EQUIFILLES'!B121="","",'5. Gantt EQUIFILLES'!M121)</f>
        <v/>
      </c>
      <c r="K117" s="168" t="str">
        <f aca="false">IF('5. Gantt EQUIFILLES'!B121="","",'5. Gantt EQUIFILLES'!N121)</f>
        <v/>
      </c>
      <c r="L117" s="169" t="str">
        <f aca="false">IF('5. Gantt EQUIFILLES'!B121="","",'5. Gantt EQUIFILLES'!O121)</f>
        <v/>
      </c>
      <c r="M117" s="169" t="str">
        <f aca="false">IF('5. Gantt EQUIFILLES'!B121="","",'5. Gantt EQUIFILLES'!P121)</f>
        <v/>
      </c>
      <c r="N117" s="1" t="str">
        <f aca="false">IF('5. Gantt EQUIFILLES'!B121="","",'5. Gantt EQUIFILLES'!Q121)</f>
        <v/>
      </c>
      <c r="O117" s="1" t="str">
        <f aca="false">IF('5. Gantt EQUIFILLES'!B121="","",'5. Gantt EQUIFILLES'!R121)</f>
        <v/>
      </c>
      <c r="P117" s="1" t="str">
        <f aca="false">IF('5. Gantt EQUIFILLES'!B121="","",'5. Gantt EQUIFILLES'!S121)</f>
        <v/>
      </c>
      <c r="Q117" s="1" t="str">
        <f aca="false">IF('5. Gantt EQUIFILLES'!B121="","",'5. Gantt EQUIFILLES'!T121)</f>
        <v/>
      </c>
      <c r="R117" s="1" t="str">
        <f aca="false">IF('5. Gantt EQUIFILLES'!B121="","",'5. Gantt EQUIFILLES'!U121)</f>
        <v/>
      </c>
    </row>
    <row r="118" customFormat="false" ht="15" hidden="false" customHeight="true" outlineLevel="0" collapsed="false">
      <c r="A118" s="1" t="str">
        <f aca="false">IF('5. Gantt EQUIFILLES'!B122="","","EQUIFILLES")</f>
        <v/>
      </c>
      <c r="B118" s="1" t="str">
        <f aca="false">IF('5. Gantt EQUIFILLES'!B122="","",'5. Gantt EQUIFILLES'!B122)</f>
        <v/>
      </c>
      <c r="C118" s="1" t="str">
        <f aca="false">IF('5. Gantt EQUIFILLES'!B122="","",'5. Gantt EQUIFILLES'!C122)</f>
        <v/>
      </c>
      <c r="D118" s="1" t="str">
        <f aca="false">IF('5. Gantt EQUIFILLES'!B122="","",'5. Gantt EQUIFILLES'!D122)</f>
        <v/>
      </c>
      <c r="E118" s="1" t="str">
        <f aca="false">IF('5. Gantt EQUIFILLES'!B122="","",'5. Gantt EQUIFILLES'!E122)</f>
        <v/>
      </c>
      <c r="F118" s="1" t="str">
        <f aca="false">IF('5. Gantt EQUIFILLES'!B122="","",'5. Gantt EQUIFILLES'!G122)</f>
        <v/>
      </c>
      <c r="G118" s="167" t="str">
        <f aca="false">IF('5. Gantt EQUIFILLES'!B122="","",'5. Gantt EQUIFILLES'!H122)</f>
        <v/>
      </c>
      <c r="H118" s="167" t="str">
        <f aca="false">IF('5. Gantt EQUIFILLES'!B122="","",'5. Gantt EQUIFILLES'!I122)</f>
        <v/>
      </c>
      <c r="I118" s="167" t="str">
        <f aca="false">IF('5. Gantt EQUIFILLES'!B122="","",'5. Gantt EQUIFILLES'!K122)</f>
        <v/>
      </c>
      <c r="J118" s="168" t="str">
        <f aca="false">IF('5. Gantt EQUIFILLES'!B122="","",'5. Gantt EQUIFILLES'!M122)</f>
        <v/>
      </c>
      <c r="K118" s="168" t="str">
        <f aca="false">IF('5. Gantt EQUIFILLES'!B122="","",'5. Gantt EQUIFILLES'!N122)</f>
        <v/>
      </c>
      <c r="L118" s="169" t="str">
        <f aca="false">IF('5. Gantt EQUIFILLES'!B122="","",'5. Gantt EQUIFILLES'!O122)</f>
        <v/>
      </c>
      <c r="M118" s="169" t="str">
        <f aca="false">IF('5. Gantt EQUIFILLES'!B122="","",'5. Gantt EQUIFILLES'!P122)</f>
        <v/>
      </c>
      <c r="N118" s="1" t="str">
        <f aca="false">IF('5. Gantt EQUIFILLES'!B122="","",'5. Gantt EQUIFILLES'!Q122)</f>
        <v/>
      </c>
      <c r="O118" s="1" t="str">
        <f aca="false">IF('5. Gantt EQUIFILLES'!B122="","",'5. Gantt EQUIFILLES'!R122)</f>
        <v/>
      </c>
      <c r="P118" s="1" t="str">
        <f aca="false">IF('5. Gantt EQUIFILLES'!B122="","",'5. Gantt EQUIFILLES'!S122)</f>
        <v/>
      </c>
      <c r="Q118" s="1" t="str">
        <f aca="false">IF('5. Gantt EQUIFILLES'!B122="","",'5. Gantt EQUIFILLES'!T122)</f>
        <v/>
      </c>
      <c r="R118" s="1" t="str">
        <f aca="false">IF('5. Gantt EQUIFILLES'!B122="","",'5. Gantt EQUIFILLES'!U122)</f>
        <v/>
      </c>
    </row>
    <row r="119" customFormat="false" ht="15" hidden="false" customHeight="true" outlineLevel="0" collapsed="false">
      <c r="A119" s="1" t="str">
        <f aca="false">IF('5. Gantt EQUIFILLES'!B123="","","EQUIFILLES")</f>
        <v/>
      </c>
      <c r="B119" s="1" t="str">
        <f aca="false">IF('5. Gantt EQUIFILLES'!B123="","",'5. Gantt EQUIFILLES'!B123)</f>
        <v/>
      </c>
      <c r="C119" s="1" t="str">
        <f aca="false">IF('5. Gantt EQUIFILLES'!B123="","",'5. Gantt EQUIFILLES'!C123)</f>
        <v/>
      </c>
      <c r="D119" s="1" t="str">
        <f aca="false">IF('5. Gantt EQUIFILLES'!B123="","",'5. Gantt EQUIFILLES'!D123)</f>
        <v/>
      </c>
      <c r="E119" s="1" t="str">
        <f aca="false">IF('5. Gantt EQUIFILLES'!B123="","",'5. Gantt EQUIFILLES'!E123)</f>
        <v/>
      </c>
      <c r="F119" s="1" t="str">
        <f aca="false">IF('5. Gantt EQUIFILLES'!B123="","",'5. Gantt EQUIFILLES'!G123)</f>
        <v/>
      </c>
      <c r="G119" s="167" t="str">
        <f aca="false">IF('5. Gantt EQUIFILLES'!B123="","",'5. Gantt EQUIFILLES'!H123)</f>
        <v/>
      </c>
      <c r="H119" s="167" t="str">
        <f aca="false">IF('5. Gantt EQUIFILLES'!B123="","",'5. Gantt EQUIFILLES'!I123)</f>
        <v/>
      </c>
      <c r="I119" s="167" t="str">
        <f aca="false">IF('5. Gantt EQUIFILLES'!B123="","",'5. Gantt EQUIFILLES'!K123)</f>
        <v/>
      </c>
      <c r="J119" s="168" t="str">
        <f aca="false">IF('5. Gantt EQUIFILLES'!B123="","",'5. Gantt EQUIFILLES'!M123)</f>
        <v/>
      </c>
      <c r="K119" s="168" t="str">
        <f aca="false">IF('5. Gantt EQUIFILLES'!B123="","",'5. Gantt EQUIFILLES'!N123)</f>
        <v/>
      </c>
      <c r="L119" s="169" t="str">
        <f aca="false">IF('5. Gantt EQUIFILLES'!B123="","",'5. Gantt EQUIFILLES'!O123)</f>
        <v/>
      </c>
      <c r="M119" s="169" t="str">
        <f aca="false">IF('5. Gantt EQUIFILLES'!B123="","",'5. Gantt EQUIFILLES'!P123)</f>
        <v/>
      </c>
      <c r="N119" s="1" t="str">
        <f aca="false">IF('5. Gantt EQUIFILLES'!B123="","",'5. Gantt EQUIFILLES'!Q123)</f>
        <v/>
      </c>
      <c r="O119" s="1" t="str">
        <f aca="false">IF('5. Gantt EQUIFILLES'!B123="","",'5. Gantt EQUIFILLES'!R123)</f>
        <v/>
      </c>
      <c r="P119" s="1" t="str">
        <f aca="false">IF('5. Gantt EQUIFILLES'!B123="","",'5. Gantt EQUIFILLES'!S123)</f>
        <v/>
      </c>
      <c r="Q119" s="1" t="str">
        <f aca="false">IF('5. Gantt EQUIFILLES'!B123="","",'5. Gantt EQUIFILLES'!T123)</f>
        <v/>
      </c>
      <c r="R119" s="1" t="str">
        <f aca="false">IF('5. Gantt EQUIFILLES'!B123="","",'5. Gantt EQUIFILLES'!U123)</f>
        <v/>
      </c>
    </row>
    <row r="120" customFormat="false" ht="15" hidden="false" customHeight="true" outlineLevel="0" collapsed="false">
      <c r="A120" s="1" t="str">
        <f aca="false">IF('5. Gantt EQUIFILLES'!B124="","","EQUIFILLES")</f>
        <v/>
      </c>
      <c r="B120" s="1" t="str">
        <f aca="false">IF('5. Gantt EQUIFILLES'!B124="","",'5. Gantt EQUIFILLES'!B124)</f>
        <v/>
      </c>
      <c r="C120" s="1" t="str">
        <f aca="false">IF('5. Gantt EQUIFILLES'!B124="","",'5. Gantt EQUIFILLES'!C124)</f>
        <v/>
      </c>
      <c r="D120" s="1" t="str">
        <f aca="false">IF('5. Gantt EQUIFILLES'!B124="","",'5. Gantt EQUIFILLES'!D124)</f>
        <v/>
      </c>
      <c r="E120" s="1" t="str">
        <f aca="false">IF('5. Gantt EQUIFILLES'!B124="","",'5. Gantt EQUIFILLES'!E124)</f>
        <v/>
      </c>
      <c r="F120" s="1" t="str">
        <f aca="false">IF('5. Gantt EQUIFILLES'!B124="","",'5. Gantt EQUIFILLES'!G124)</f>
        <v/>
      </c>
      <c r="G120" s="167" t="str">
        <f aca="false">IF('5. Gantt EQUIFILLES'!B124="","",'5. Gantt EQUIFILLES'!H124)</f>
        <v/>
      </c>
      <c r="H120" s="167" t="str">
        <f aca="false">IF('5. Gantt EQUIFILLES'!B124="","",'5. Gantt EQUIFILLES'!I124)</f>
        <v/>
      </c>
      <c r="I120" s="167" t="str">
        <f aca="false">IF('5. Gantt EQUIFILLES'!B124="","",'5. Gantt EQUIFILLES'!K124)</f>
        <v/>
      </c>
      <c r="J120" s="168" t="str">
        <f aca="false">IF('5. Gantt EQUIFILLES'!B124="","",'5. Gantt EQUIFILLES'!M124)</f>
        <v/>
      </c>
      <c r="K120" s="168" t="str">
        <f aca="false">IF('5. Gantt EQUIFILLES'!B124="","",'5. Gantt EQUIFILLES'!N124)</f>
        <v/>
      </c>
      <c r="L120" s="169" t="str">
        <f aca="false">IF('5. Gantt EQUIFILLES'!B124="","",'5. Gantt EQUIFILLES'!O124)</f>
        <v/>
      </c>
      <c r="M120" s="169" t="str">
        <f aca="false">IF('5. Gantt EQUIFILLES'!B124="","",'5. Gantt EQUIFILLES'!P124)</f>
        <v/>
      </c>
      <c r="N120" s="1" t="str">
        <f aca="false">IF('5. Gantt EQUIFILLES'!B124="","",'5. Gantt EQUIFILLES'!Q124)</f>
        <v/>
      </c>
      <c r="O120" s="1" t="str">
        <f aca="false">IF('5. Gantt EQUIFILLES'!B124="","",'5. Gantt EQUIFILLES'!R124)</f>
        <v/>
      </c>
      <c r="P120" s="1" t="str">
        <f aca="false">IF('5. Gantt EQUIFILLES'!B124="","",'5. Gantt EQUIFILLES'!S124)</f>
        <v/>
      </c>
      <c r="Q120" s="1" t="str">
        <f aca="false">IF('5. Gantt EQUIFILLES'!B124="","",'5. Gantt EQUIFILLES'!T124)</f>
        <v/>
      </c>
      <c r="R120" s="1" t="str">
        <f aca="false">IF('5. Gantt EQUIFILLES'!B124="","",'5. Gantt EQUIFILLES'!U124)</f>
        <v/>
      </c>
    </row>
    <row r="121" customFormat="false" ht="15" hidden="false" customHeight="true" outlineLevel="0" collapsed="false">
      <c r="A121" s="1" t="str">
        <f aca="false">IF('5. Gantt EQUIFILLES'!B125="","","EQUIFILLES")</f>
        <v/>
      </c>
      <c r="B121" s="1" t="str">
        <f aca="false">IF('5. Gantt EQUIFILLES'!B125="","",'5. Gantt EQUIFILLES'!B125)</f>
        <v/>
      </c>
      <c r="C121" s="1" t="str">
        <f aca="false">IF('5. Gantt EQUIFILLES'!B125="","",'5. Gantt EQUIFILLES'!C125)</f>
        <v/>
      </c>
      <c r="D121" s="1" t="str">
        <f aca="false">IF('5. Gantt EQUIFILLES'!B125="","",'5. Gantt EQUIFILLES'!D125)</f>
        <v/>
      </c>
      <c r="E121" s="1" t="str">
        <f aca="false">IF('5. Gantt EQUIFILLES'!B125="","",'5. Gantt EQUIFILLES'!E125)</f>
        <v/>
      </c>
      <c r="F121" s="1" t="str">
        <f aca="false">IF('5. Gantt EQUIFILLES'!B125="","",'5. Gantt EQUIFILLES'!G125)</f>
        <v/>
      </c>
      <c r="G121" s="167" t="str">
        <f aca="false">IF('5. Gantt EQUIFILLES'!B125="","",'5. Gantt EQUIFILLES'!H125)</f>
        <v/>
      </c>
      <c r="H121" s="167" t="str">
        <f aca="false">IF('5. Gantt EQUIFILLES'!B125="","",'5. Gantt EQUIFILLES'!I125)</f>
        <v/>
      </c>
      <c r="I121" s="167" t="str">
        <f aca="false">IF('5. Gantt EQUIFILLES'!B125="","",'5. Gantt EQUIFILLES'!K125)</f>
        <v/>
      </c>
      <c r="J121" s="168" t="str">
        <f aca="false">IF('5. Gantt EQUIFILLES'!B125="","",'5. Gantt EQUIFILLES'!M125)</f>
        <v/>
      </c>
      <c r="K121" s="168" t="str">
        <f aca="false">IF('5. Gantt EQUIFILLES'!B125="","",'5. Gantt EQUIFILLES'!N125)</f>
        <v/>
      </c>
      <c r="L121" s="169" t="str">
        <f aca="false">IF('5. Gantt EQUIFILLES'!B125="","",'5. Gantt EQUIFILLES'!O125)</f>
        <v/>
      </c>
      <c r="M121" s="169" t="str">
        <f aca="false">IF('5. Gantt EQUIFILLES'!B125="","",'5. Gantt EQUIFILLES'!P125)</f>
        <v/>
      </c>
      <c r="N121" s="1" t="str">
        <f aca="false">IF('5. Gantt EQUIFILLES'!B125="","",'5. Gantt EQUIFILLES'!Q125)</f>
        <v/>
      </c>
      <c r="O121" s="1" t="str">
        <f aca="false">IF('5. Gantt EQUIFILLES'!B125="","",'5. Gantt EQUIFILLES'!R125)</f>
        <v/>
      </c>
      <c r="P121" s="1" t="str">
        <f aca="false">IF('5. Gantt EQUIFILLES'!B125="","",'5. Gantt EQUIFILLES'!S125)</f>
        <v/>
      </c>
      <c r="Q121" s="1" t="str">
        <f aca="false">IF('5. Gantt EQUIFILLES'!B125="","",'5. Gantt EQUIFILLES'!T125)</f>
        <v/>
      </c>
      <c r="R121" s="1" t="str">
        <f aca="false">IF('5. Gantt EQUIFILLES'!B125="","",'5. Gantt EQUIFILLES'!U125)</f>
        <v/>
      </c>
    </row>
    <row r="122" customFormat="false" ht="15" hidden="false" customHeight="true" outlineLevel="0" collapsed="false">
      <c r="A122" s="1" t="str">
        <f aca="false">IF('5. Gantt EQUIFILLES'!B126="","","EQUIFILLES")</f>
        <v/>
      </c>
      <c r="B122" s="1" t="str">
        <f aca="false">IF('5. Gantt EQUIFILLES'!B126="","",'5. Gantt EQUIFILLES'!B126)</f>
        <v/>
      </c>
      <c r="C122" s="1" t="str">
        <f aca="false">IF('5. Gantt EQUIFILLES'!B126="","",'5. Gantt EQUIFILLES'!C126)</f>
        <v/>
      </c>
      <c r="D122" s="1" t="str">
        <f aca="false">IF('5. Gantt EQUIFILLES'!B126="","",'5. Gantt EQUIFILLES'!D126)</f>
        <v/>
      </c>
      <c r="E122" s="1" t="str">
        <f aca="false">IF('5. Gantt EQUIFILLES'!B126="","",'5. Gantt EQUIFILLES'!E126)</f>
        <v/>
      </c>
      <c r="F122" s="1" t="str">
        <f aca="false">IF('5. Gantt EQUIFILLES'!B126="","",'5. Gantt EQUIFILLES'!G126)</f>
        <v/>
      </c>
      <c r="G122" s="167" t="str">
        <f aca="false">IF('5. Gantt EQUIFILLES'!B126="","",'5. Gantt EQUIFILLES'!H126)</f>
        <v/>
      </c>
      <c r="H122" s="167" t="str">
        <f aca="false">IF('5. Gantt EQUIFILLES'!B126="","",'5. Gantt EQUIFILLES'!I126)</f>
        <v/>
      </c>
      <c r="I122" s="167" t="str">
        <f aca="false">IF('5. Gantt EQUIFILLES'!B126="","",'5. Gantt EQUIFILLES'!K126)</f>
        <v/>
      </c>
      <c r="J122" s="168" t="str">
        <f aca="false">IF('5. Gantt EQUIFILLES'!B126="","",'5. Gantt EQUIFILLES'!M126)</f>
        <v/>
      </c>
      <c r="K122" s="168" t="str">
        <f aca="false">IF('5. Gantt EQUIFILLES'!B126="","",'5. Gantt EQUIFILLES'!N126)</f>
        <v/>
      </c>
      <c r="L122" s="169" t="str">
        <f aca="false">IF('5. Gantt EQUIFILLES'!B126="","",'5. Gantt EQUIFILLES'!O126)</f>
        <v/>
      </c>
      <c r="M122" s="169" t="str">
        <f aca="false">IF('5. Gantt EQUIFILLES'!B126="","",'5. Gantt EQUIFILLES'!P126)</f>
        <v/>
      </c>
      <c r="N122" s="1" t="str">
        <f aca="false">IF('5. Gantt EQUIFILLES'!B126="","",'5. Gantt EQUIFILLES'!Q126)</f>
        <v/>
      </c>
      <c r="O122" s="1" t="str">
        <f aca="false">IF('5. Gantt EQUIFILLES'!B126="","",'5. Gantt EQUIFILLES'!R126)</f>
        <v/>
      </c>
      <c r="P122" s="1" t="str">
        <f aca="false">IF('5. Gantt EQUIFILLES'!B126="","",'5. Gantt EQUIFILLES'!S126)</f>
        <v/>
      </c>
      <c r="Q122" s="1" t="str">
        <f aca="false">IF('5. Gantt EQUIFILLES'!B126="","",'5. Gantt EQUIFILLES'!T126)</f>
        <v/>
      </c>
      <c r="R122" s="1" t="str">
        <f aca="false">IF('5. Gantt EQUIFILLES'!B126="","",'5. Gantt EQUIFILLES'!U126)</f>
        <v/>
      </c>
    </row>
    <row r="123" customFormat="false" ht="15" hidden="false" customHeight="true" outlineLevel="0" collapsed="false">
      <c r="A123" s="1" t="str">
        <f aca="false">IF('5. Gantt EQUIFILLES'!B127="","","EQUIFILLES")</f>
        <v/>
      </c>
      <c r="B123" s="1" t="str">
        <f aca="false">IF('5. Gantt EQUIFILLES'!B127="","",'5. Gantt EQUIFILLES'!B127)</f>
        <v/>
      </c>
      <c r="C123" s="1" t="str">
        <f aca="false">IF('5. Gantt EQUIFILLES'!B127="","",'5. Gantt EQUIFILLES'!C127)</f>
        <v/>
      </c>
      <c r="D123" s="1" t="str">
        <f aca="false">IF('5. Gantt EQUIFILLES'!B127="","",'5. Gantt EQUIFILLES'!D127)</f>
        <v/>
      </c>
      <c r="E123" s="1" t="str">
        <f aca="false">IF('5. Gantt EQUIFILLES'!B127="","",'5. Gantt EQUIFILLES'!E127)</f>
        <v/>
      </c>
      <c r="F123" s="1" t="str">
        <f aca="false">IF('5. Gantt EQUIFILLES'!B127="","",'5. Gantt EQUIFILLES'!G127)</f>
        <v/>
      </c>
      <c r="G123" s="167" t="str">
        <f aca="false">IF('5. Gantt EQUIFILLES'!B127="","",'5. Gantt EQUIFILLES'!H127)</f>
        <v/>
      </c>
      <c r="H123" s="167" t="str">
        <f aca="false">IF('5. Gantt EQUIFILLES'!B127="","",'5. Gantt EQUIFILLES'!I127)</f>
        <v/>
      </c>
      <c r="I123" s="167" t="str">
        <f aca="false">IF('5. Gantt EQUIFILLES'!B127="","",'5. Gantt EQUIFILLES'!K127)</f>
        <v/>
      </c>
      <c r="J123" s="168" t="str">
        <f aca="false">IF('5. Gantt EQUIFILLES'!B127="","",'5. Gantt EQUIFILLES'!M127)</f>
        <v/>
      </c>
      <c r="K123" s="168" t="str">
        <f aca="false">IF('5. Gantt EQUIFILLES'!B127="","",'5. Gantt EQUIFILLES'!N127)</f>
        <v/>
      </c>
      <c r="L123" s="169" t="str">
        <f aca="false">IF('5. Gantt EQUIFILLES'!B127="","",'5. Gantt EQUIFILLES'!O127)</f>
        <v/>
      </c>
      <c r="M123" s="169" t="str">
        <f aca="false">IF('5. Gantt EQUIFILLES'!B127="","",'5. Gantt EQUIFILLES'!P127)</f>
        <v/>
      </c>
      <c r="N123" s="1" t="str">
        <f aca="false">IF('5. Gantt EQUIFILLES'!B127="","",'5. Gantt EQUIFILLES'!Q127)</f>
        <v/>
      </c>
      <c r="O123" s="1" t="str">
        <f aca="false">IF('5. Gantt EQUIFILLES'!B127="","",'5. Gantt EQUIFILLES'!R127)</f>
        <v/>
      </c>
      <c r="P123" s="1" t="str">
        <f aca="false">IF('5. Gantt EQUIFILLES'!B127="","",'5. Gantt EQUIFILLES'!S127)</f>
        <v/>
      </c>
      <c r="Q123" s="1" t="str">
        <f aca="false">IF('5. Gantt EQUIFILLES'!B127="","",'5. Gantt EQUIFILLES'!T127)</f>
        <v/>
      </c>
      <c r="R123" s="1" t="str">
        <f aca="false">IF('5. Gantt EQUIFILLES'!B127="","",'5. Gantt EQUIFILLES'!U127)</f>
        <v/>
      </c>
    </row>
    <row r="124" customFormat="false" ht="15" hidden="false" customHeight="true" outlineLevel="0" collapsed="false">
      <c r="A124" s="1" t="str">
        <f aca="false">IF('5. Gantt EQUIFILLES'!B128="","","EQUIFILLES")</f>
        <v/>
      </c>
      <c r="B124" s="1" t="str">
        <f aca="false">IF('5. Gantt EQUIFILLES'!B128="","",'5. Gantt EQUIFILLES'!B128)</f>
        <v/>
      </c>
      <c r="C124" s="1" t="str">
        <f aca="false">IF('5. Gantt EQUIFILLES'!B128="","",'5. Gantt EQUIFILLES'!C128)</f>
        <v/>
      </c>
      <c r="D124" s="1" t="str">
        <f aca="false">IF('5. Gantt EQUIFILLES'!B128="","",'5. Gantt EQUIFILLES'!D128)</f>
        <v/>
      </c>
      <c r="E124" s="1" t="str">
        <f aca="false">IF('5. Gantt EQUIFILLES'!B128="","",'5. Gantt EQUIFILLES'!E128)</f>
        <v/>
      </c>
      <c r="F124" s="1" t="str">
        <f aca="false">IF('5. Gantt EQUIFILLES'!B128="","",'5. Gantt EQUIFILLES'!G128)</f>
        <v/>
      </c>
      <c r="G124" s="167" t="str">
        <f aca="false">IF('5. Gantt EQUIFILLES'!B128="","",'5. Gantt EQUIFILLES'!H128)</f>
        <v/>
      </c>
      <c r="H124" s="167" t="str">
        <f aca="false">IF('5. Gantt EQUIFILLES'!B128="","",'5. Gantt EQUIFILLES'!I128)</f>
        <v/>
      </c>
      <c r="I124" s="167" t="str">
        <f aca="false">IF('5. Gantt EQUIFILLES'!B128="","",'5. Gantt EQUIFILLES'!K128)</f>
        <v/>
      </c>
      <c r="J124" s="168" t="str">
        <f aca="false">IF('5. Gantt EQUIFILLES'!B128="","",'5. Gantt EQUIFILLES'!M128)</f>
        <v/>
      </c>
      <c r="K124" s="168" t="str">
        <f aca="false">IF('5. Gantt EQUIFILLES'!B128="","",'5. Gantt EQUIFILLES'!N128)</f>
        <v/>
      </c>
      <c r="L124" s="169" t="str">
        <f aca="false">IF('5. Gantt EQUIFILLES'!B128="","",'5. Gantt EQUIFILLES'!O128)</f>
        <v/>
      </c>
      <c r="M124" s="169" t="str">
        <f aca="false">IF('5. Gantt EQUIFILLES'!B128="","",'5. Gantt EQUIFILLES'!P128)</f>
        <v/>
      </c>
      <c r="N124" s="1" t="str">
        <f aca="false">IF('5. Gantt EQUIFILLES'!B128="","",'5. Gantt EQUIFILLES'!Q128)</f>
        <v/>
      </c>
      <c r="O124" s="1" t="str">
        <f aca="false">IF('5. Gantt EQUIFILLES'!B128="","",'5. Gantt EQUIFILLES'!R128)</f>
        <v/>
      </c>
      <c r="P124" s="1" t="str">
        <f aca="false">IF('5. Gantt EQUIFILLES'!B128="","",'5. Gantt EQUIFILLES'!S128)</f>
        <v/>
      </c>
      <c r="Q124" s="1" t="str">
        <f aca="false">IF('5. Gantt EQUIFILLES'!B128="","",'5. Gantt EQUIFILLES'!T128)</f>
        <v/>
      </c>
      <c r="R124" s="1" t="str">
        <f aca="false">IF('5. Gantt EQUIFILLES'!B128="","",'5. Gantt EQUIFILLES'!U128)</f>
        <v/>
      </c>
    </row>
    <row r="125" customFormat="false" ht="15" hidden="false" customHeight="true" outlineLevel="0" collapsed="false">
      <c r="A125" s="1" t="str">
        <f aca="false">IF('5. Gantt EQUIFILLES'!B129="","","EQUIFILLES")</f>
        <v/>
      </c>
      <c r="B125" s="1" t="str">
        <f aca="false">IF('5. Gantt EQUIFILLES'!B129="","",'5. Gantt EQUIFILLES'!B129)</f>
        <v/>
      </c>
      <c r="C125" s="1" t="str">
        <f aca="false">IF('5. Gantt EQUIFILLES'!B129="","",'5. Gantt EQUIFILLES'!C129)</f>
        <v/>
      </c>
      <c r="D125" s="1" t="str">
        <f aca="false">IF('5. Gantt EQUIFILLES'!B129="","",'5. Gantt EQUIFILLES'!D129)</f>
        <v/>
      </c>
      <c r="E125" s="1" t="str">
        <f aca="false">IF('5. Gantt EQUIFILLES'!B129="","",'5. Gantt EQUIFILLES'!E129)</f>
        <v/>
      </c>
      <c r="F125" s="1" t="str">
        <f aca="false">IF('5. Gantt EQUIFILLES'!B129="","",'5. Gantt EQUIFILLES'!G129)</f>
        <v/>
      </c>
      <c r="G125" s="167" t="str">
        <f aca="false">IF('5. Gantt EQUIFILLES'!B129="","",'5. Gantt EQUIFILLES'!H129)</f>
        <v/>
      </c>
      <c r="H125" s="167" t="str">
        <f aca="false">IF('5. Gantt EQUIFILLES'!B129="","",'5. Gantt EQUIFILLES'!I129)</f>
        <v/>
      </c>
      <c r="I125" s="167" t="str">
        <f aca="false">IF('5. Gantt EQUIFILLES'!B129="","",'5. Gantt EQUIFILLES'!K129)</f>
        <v/>
      </c>
      <c r="J125" s="168" t="str">
        <f aca="false">IF('5. Gantt EQUIFILLES'!B129="","",'5. Gantt EQUIFILLES'!M129)</f>
        <v/>
      </c>
      <c r="K125" s="168" t="str">
        <f aca="false">IF('5. Gantt EQUIFILLES'!B129="","",'5. Gantt EQUIFILLES'!N129)</f>
        <v/>
      </c>
      <c r="L125" s="169" t="str">
        <f aca="false">IF('5. Gantt EQUIFILLES'!B129="","",'5. Gantt EQUIFILLES'!O129)</f>
        <v/>
      </c>
      <c r="M125" s="169" t="str">
        <f aca="false">IF('5. Gantt EQUIFILLES'!B129="","",'5. Gantt EQUIFILLES'!P129)</f>
        <v/>
      </c>
      <c r="N125" s="1" t="str">
        <f aca="false">IF('5. Gantt EQUIFILLES'!B129="","",'5. Gantt EQUIFILLES'!Q129)</f>
        <v/>
      </c>
      <c r="O125" s="1" t="str">
        <f aca="false">IF('5. Gantt EQUIFILLES'!B129="","",'5. Gantt EQUIFILLES'!R129)</f>
        <v/>
      </c>
      <c r="P125" s="1" t="str">
        <f aca="false">IF('5. Gantt EQUIFILLES'!B129="","",'5. Gantt EQUIFILLES'!S129)</f>
        <v/>
      </c>
      <c r="Q125" s="1" t="str">
        <f aca="false">IF('5. Gantt EQUIFILLES'!B129="","",'5. Gantt EQUIFILLES'!T129)</f>
        <v/>
      </c>
      <c r="R125" s="1" t="str">
        <f aca="false">IF('5. Gantt EQUIFILLES'!B129="","",'5. Gantt EQUIFILLES'!U129)</f>
        <v/>
      </c>
    </row>
    <row r="126" customFormat="false" ht="15" hidden="false" customHeight="true" outlineLevel="0" collapsed="false">
      <c r="A126" s="1" t="str">
        <f aca="false">IF('5. Gantt EQUIFILLES'!B130="","","EQUIFILLES")</f>
        <v/>
      </c>
      <c r="B126" s="1" t="str">
        <f aca="false">IF('5. Gantt EQUIFILLES'!B130="","",'5. Gantt EQUIFILLES'!B130)</f>
        <v/>
      </c>
      <c r="C126" s="1" t="str">
        <f aca="false">IF('5. Gantt EQUIFILLES'!B130="","",'5. Gantt EQUIFILLES'!C130)</f>
        <v/>
      </c>
      <c r="D126" s="1" t="str">
        <f aca="false">IF('5. Gantt EQUIFILLES'!B130="","",'5. Gantt EQUIFILLES'!D130)</f>
        <v/>
      </c>
      <c r="E126" s="1" t="str">
        <f aca="false">IF('5. Gantt EQUIFILLES'!B130="","",'5. Gantt EQUIFILLES'!E130)</f>
        <v/>
      </c>
      <c r="F126" s="1" t="str">
        <f aca="false">IF('5. Gantt EQUIFILLES'!B130="","",'5. Gantt EQUIFILLES'!G130)</f>
        <v/>
      </c>
      <c r="G126" s="167" t="str">
        <f aca="false">IF('5. Gantt EQUIFILLES'!B130="","",'5. Gantt EQUIFILLES'!H130)</f>
        <v/>
      </c>
      <c r="H126" s="167" t="str">
        <f aca="false">IF('5. Gantt EQUIFILLES'!B130="","",'5. Gantt EQUIFILLES'!I130)</f>
        <v/>
      </c>
      <c r="I126" s="167" t="str">
        <f aca="false">IF('5. Gantt EQUIFILLES'!B130="","",'5. Gantt EQUIFILLES'!K130)</f>
        <v/>
      </c>
      <c r="J126" s="168" t="str">
        <f aca="false">IF('5. Gantt EQUIFILLES'!B130="","",'5. Gantt EQUIFILLES'!M130)</f>
        <v/>
      </c>
      <c r="K126" s="168" t="str">
        <f aca="false">IF('5. Gantt EQUIFILLES'!B130="","",'5. Gantt EQUIFILLES'!N130)</f>
        <v/>
      </c>
      <c r="L126" s="169" t="str">
        <f aca="false">IF('5. Gantt EQUIFILLES'!B130="","",'5. Gantt EQUIFILLES'!O130)</f>
        <v/>
      </c>
      <c r="M126" s="169" t="str">
        <f aca="false">IF('5. Gantt EQUIFILLES'!B130="","",'5. Gantt EQUIFILLES'!P130)</f>
        <v/>
      </c>
      <c r="N126" s="1" t="str">
        <f aca="false">IF('5. Gantt EQUIFILLES'!B130="","",'5. Gantt EQUIFILLES'!Q130)</f>
        <v/>
      </c>
      <c r="O126" s="1" t="str">
        <f aca="false">IF('5. Gantt EQUIFILLES'!B130="","",'5. Gantt EQUIFILLES'!R130)</f>
        <v/>
      </c>
      <c r="P126" s="1" t="str">
        <f aca="false">IF('5. Gantt EQUIFILLES'!B130="","",'5. Gantt EQUIFILLES'!S130)</f>
        <v/>
      </c>
      <c r="Q126" s="1" t="str">
        <f aca="false">IF('5. Gantt EQUIFILLES'!B130="","",'5. Gantt EQUIFILLES'!T130)</f>
        <v/>
      </c>
      <c r="R126" s="1" t="str">
        <f aca="false">IF('5. Gantt EQUIFILLES'!B130="","",'5. Gantt EQUIFILLES'!U130)</f>
        <v/>
      </c>
    </row>
    <row r="127" customFormat="false" ht="15" hidden="false" customHeight="true" outlineLevel="0" collapsed="false">
      <c r="A127" s="1" t="str">
        <f aca="false">IF('5. Gantt EQUIFILLES'!B131="","","EQUIFILLES")</f>
        <v/>
      </c>
      <c r="B127" s="1" t="str">
        <f aca="false">IF('5. Gantt EQUIFILLES'!B131="","",'5. Gantt EQUIFILLES'!B131)</f>
        <v/>
      </c>
      <c r="C127" s="1" t="str">
        <f aca="false">IF('5. Gantt EQUIFILLES'!B131="","",'5. Gantt EQUIFILLES'!C131)</f>
        <v/>
      </c>
      <c r="D127" s="1" t="str">
        <f aca="false">IF('5. Gantt EQUIFILLES'!B131="","",'5. Gantt EQUIFILLES'!D131)</f>
        <v/>
      </c>
      <c r="E127" s="1" t="str">
        <f aca="false">IF('5. Gantt EQUIFILLES'!B131="","",'5. Gantt EQUIFILLES'!E131)</f>
        <v/>
      </c>
      <c r="F127" s="1" t="str">
        <f aca="false">IF('5. Gantt EQUIFILLES'!B131="","",'5. Gantt EQUIFILLES'!G131)</f>
        <v/>
      </c>
      <c r="G127" s="167" t="str">
        <f aca="false">IF('5. Gantt EQUIFILLES'!B131="","",'5. Gantt EQUIFILLES'!H131)</f>
        <v/>
      </c>
      <c r="H127" s="167" t="str">
        <f aca="false">IF('5. Gantt EQUIFILLES'!B131="","",'5. Gantt EQUIFILLES'!I131)</f>
        <v/>
      </c>
      <c r="I127" s="167" t="str">
        <f aca="false">IF('5. Gantt EQUIFILLES'!B131="","",'5. Gantt EQUIFILLES'!K131)</f>
        <v/>
      </c>
      <c r="J127" s="168" t="str">
        <f aca="false">IF('5. Gantt EQUIFILLES'!B131="","",'5. Gantt EQUIFILLES'!M131)</f>
        <v/>
      </c>
      <c r="K127" s="168" t="str">
        <f aca="false">IF('5. Gantt EQUIFILLES'!B131="","",'5. Gantt EQUIFILLES'!N131)</f>
        <v/>
      </c>
      <c r="L127" s="169" t="str">
        <f aca="false">IF('5. Gantt EQUIFILLES'!B131="","",'5. Gantt EQUIFILLES'!O131)</f>
        <v/>
      </c>
      <c r="M127" s="169" t="str">
        <f aca="false">IF('5. Gantt EQUIFILLES'!B131="","",'5. Gantt EQUIFILLES'!P131)</f>
        <v/>
      </c>
      <c r="N127" s="1" t="str">
        <f aca="false">IF('5. Gantt EQUIFILLES'!B131="","",'5. Gantt EQUIFILLES'!Q131)</f>
        <v/>
      </c>
      <c r="O127" s="1" t="str">
        <f aca="false">IF('5. Gantt EQUIFILLES'!B131="","",'5. Gantt EQUIFILLES'!R131)</f>
        <v/>
      </c>
      <c r="P127" s="1" t="str">
        <f aca="false">IF('5. Gantt EQUIFILLES'!B131="","",'5. Gantt EQUIFILLES'!S131)</f>
        <v/>
      </c>
      <c r="Q127" s="1" t="str">
        <f aca="false">IF('5. Gantt EQUIFILLES'!B131="","",'5. Gantt EQUIFILLES'!T131)</f>
        <v/>
      </c>
      <c r="R127" s="1" t="str">
        <f aca="false">IF('5. Gantt EQUIFILLES'!B131="","",'5. Gantt EQUIFILLES'!U131)</f>
        <v/>
      </c>
    </row>
    <row r="128" customFormat="false" ht="15" hidden="false" customHeight="true" outlineLevel="0" collapsed="false">
      <c r="A128" s="1" t="str">
        <f aca="false">IF('5. Gantt EQUIFILLES'!B132="","","EQUIFILLES")</f>
        <v/>
      </c>
      <c r="B128" s="1" t="str">
        <f aca="false">IF('5. Gantt EQUIFILLES'!B132="","",'5. Gantt EQUIFILLES'!B132)</f>
        <v/>
      </c>
      <c r="C128" s="1" t="str">
        <f aca="false">IF('5. Gantt EQUIFILLES'!B132="","",'5. Gantt EQUIFILLES'!C132)</f>
        <v/>
      </c>
      <c r="D128" s="1" t="str">
        <f aca="false">IF('5. Gantt EQUIFILLES'!B132="","",'5. Gantt EQUIFILLES'!D132)</f>
        <v/>
      </c>
      <c r="E128" s="1" t="str">
        <f aca="false">IF('5. Gantt EQUIFILLES'!B132="","",'5. Gantt EQUIFILLES'!E132)</f>
        <v/>
      </c>
      <c r="F128" s="1" t="str">
        <f aca="false">IF('5. Gantt EQUIFILLES'!B132="","",'5. Gantt EQUIFILLES'!G132)</f>
        <v/>
      </c>
      <c r="G128" s="167" t="str">
        <f aca="false">IF('5. Gantt EQUIFILLES'!B132="","",'5. Gantt EQUIFILLES'!H132)</f>
        <v/>
      </c>
      <c r="H128" s="167" t="str">
        <f aca="false">IF('5. Gantt EQUIFILLES'!B132="","",'5. Gantt EQUIFILLES'!I132)</f>
        <v/>
      </c>
      <c r="I128" s="167" t="str">
        <f aca="false">IF('5. Gantt EQUIFILLES'!B132="","",'5. Gantt EQUIFILLES'!K132)</f>
        <v/>
      </c>
      <c r="J128" s="168" t="str">
        <f aca="false">IF('5. Gantt EQUIFILLES'!B132="","",'5. Gantt EQUIFILLES'!M132)</f>
        <v/>
      </c>
      <c r="K128" s="168" t="str">
        <f aca="false">IF('5. Gantt EQUIFILLES'!B132="","",'5. Gantt EQUIFILLES'!N132)</f>
        <v/>
      </c>
      <c r="L128" s="169" t="str">
        <f aca="false">IF('5. Gantt EQUIFILLES'!B132="","",'5. Gantt EQUIFILLES'!O132)</f>
        <v/>
      </c>
      <c r="M128" s="169" t="str">
        <f aca="false">IF('5. Gantt EQUIFILLES'!B132="","",'5. Gantt EQUIFILLES'!P132)</f>
        <v/>
      </c>
      <c r="N128" s="1" t="str">
        <f aca="false">IF('5. Gantt EQUIFILLES'!B132="","",'5. Gantt EQUIFILLES'!Q132)</f>
        <v/>
      </c>
      <c r="O128" s="1" t="str">
        <f aca="false">IF('5. Gantt EQUIFILLES'!B132="","",'5. Gantt EQUIFILLES'!R132)</f>
        <v/>
      </c>
      <c r="P128" s="1" t="str">
        <f aca="false">IF('5. Gantt EQUIFILLES'!B132="","",'5. Gantt EQUIFILLES'!S132)</f>
        <v/>
      </c>
      <c r="Q128" s="1" t="str">
        <f aca="false">IF('5. Gantt EQUIFILLES'!B132="","",'5. Gantt EQUIFILLES'!T132)</f>
        <v/>
      </c>
      <c r="R128" s="1" t="str">
        <f aca="false">IF('5. Gantt EQUIFILLES'!B132="","",'5. Gantt EQUIFILLES'!U132)</f>
        <v/>
      </c>
    </row>
    <row r="129" customFormat="false" ht="15" hidden="false" customHeight="true" outlineLevel="0" collapsed="false">
      <c r="A129" s="1" t="str">
        <f aca="false">IF('5. Gantt EQUIFILLES'!B133="","","EQUIFILLES")</f>
        <v/>
      </c>
      <c r="B129" s="1" t="str">
        <f aca="false">IF('5. Gantt EQUIFILLES'!B133="","",'5. Gantt EQUIFILLES'!B133)</f>
        <v/>
      </c>
      <c r="C129" s="1" t="str">
        <f aca="false">IF('5. Gantt EQUIFILLES'!B133="","",'5. Gantt EQUIFILLES'!C133)</f>
        <v/>
      </c>
      <c r="D129" s="1" t="str">
        <f aca="false">IF('5. Gantt EQUIFILLES'!B133="","",'5. Gantt EQUIFILLES'!D133)</f>
        <v/>
      </c>
      <c r="E129" s="1" t="str">
        <f aca="false">IF('5. Gantt EQUIFILLES'!B133="","",'5. Gantt EQUIFILLES'!E133)</f>
        <v/>
      </c>
      <c r="F129" s="1" t="str">
        <f aca="false">IF('5. Gantt EQUIFILLES'!B133="","",'5. Gantt EQUIFILLES'!G133)</f>
        <v/>
      </c>
      <c r="G129" s="167" t="str">
        <f aca="false">IF('5. Gantt EQUIFILLES'!B133="","",'5. Gantt EQUIFILLES'!H133)</f>
        <v/>
      </c>
      <c r="H129" s="167" t="str">
        <f aca="false">IF('5. Gantt EQUIFILLES'!B133="","",'5. Gantt EQUIFILLES'!I133)</f>
        <v/>
      </c>
      <c r="I129" s="167" t="str">
        <f aca="false">IF('5. Gantt EQUIFILLES'!B133="","",'5. Gantt EQUIFILLES'!K133)</f>
        <v/>
      </c>
      <c r="J129" s="168" t="str">
        <f aca="false">IF('5. Gantt EQUIFILLES'!B133="","",'5. Gantt EQUIFILLES'!M133)</f>
        <v/>
      </c>
      <c r="K129" s="168" t="str">
        <f aca="false">IF('5. Gantt EQUIFILLES'!B133="","",'5. Gantt EQUIFILLES'!N133)</f>
        <v/>
      </c>
      <c r="L129" s="169" t="str">
        <f aca="false">IF('5. Gantt EQUIFILLES'!B133="","",'5. Gantt EQUIFILLES'!O133)</f>
        <v/>
      </c>
      <c r="M129" s="169" t="str">
        <f aca="false">IF('5. Gantt EQUIFILLES'!B133="","",'5. Gantt EQUIFILLES'!P133)</f>
        <v/>
      </c>
      <c r="N129" s="1" t="str">
        <f aca="false">IF('5. Gantt EQUIFILLES'!B133="","",'5. Gantt EQUIFILLES'!Q133)</f>
        <v/>
      </c>
      <c r="O129" s="1" t="str">
        <f aca="false">IF('5. Gantt EQUIFILLES'!B133="","",'5. Gantt EQUIFILLES'!R133)</f>
        <v/>
      </c>
      <c r="P129" s="1" t="str">
        <f aca="false">IF('5. Gantt EQUIFILLES'!B133="","",'5. Gantt EQUIFILLES'!S133)</f>
        <v/>
      </c>
      <c r="Q129" s="1" t="str">
        <f aca="false">IF('5. Gantt EQUIFILLES'!B133="","",'5. Gantt EQUIFILLES'!T133)</f>
        <v/>
      </c>
      <c r="R129" s="1" t="str">
        <f aca="false">IF('5. Gantt EQUIFILLES'!B133="","",'5. Gantt EQUIFILLES'!U133)</f>
        <v/>
      </c>
    </row>
    <row r="130" customFormat="false" ht="15" hidden="false" customHeight="true" outlineLevel="0" collapsed="false">
      <c r="A130" s="1" t="str">
        <f aca="false">IF('5. Gantt EQUIFILLES'!B134="","","EQUIFILLES")</f>
        <v/>
      </c>
      <c r="B130" s="1" t="str">
        <f aca="false">IF('5. Gantt EQUIFILLES'!B134="","",'5. Gantt EQUIFILLES'!B134)</f>
        <v/>
      </c>
      <c r="C130" s="1" t="str">
        <f aca="false">IF('5. Gantt EQUIFILLES'!B134="","",'5. Gantt EQUIFILLES'!C134)</f>
        <v/>
      </c>
      <c r="D130" s="1" t="str">
        <f aca="false">IF('5. Gantt EQUIFILLES'!B134="","",'5. Gantt EQUIFILLES'!D134)</f>
        <v/>
      </c>
      <c r="E130" s="1" t="str">
        <f aca="false">IF('5. Gantt EQUIFILLES'!B134="","",'5. Gantt EQUIFILLES'!E134)</f>
        <v/>
      </c>
      <c r="F130" s="1" t="str">
        <f aca="false">IF('5. Gantt EQUIFILLES'!B134="","",'5. Gantt EQUIFILLES'!G134)</f>
        <v/>
      </c>
      <c r="G130" s="167" t="str">
        <f aca="false">IF('5. Gantt EQUIFILLES'!B134="","",'5. Gantt EQUIFILLES'!H134)</f>
        <v/>
      </c>
      <c r="H130" s="167" t="str">
        <f aca="false">IF('5. Gantt EQUIFILLES'!B134="","",'5. Gantt EQUIFILLES'!I134)</f>
        <v/>
      </c>
      <c r="I130" s="167" t="str">
        <f aca="false">IF('5. Gantt EQUIFILLES'!B134="","",'5. Gantt EQUIFILLES'!K134)</f>
        <v/>
      </c>
      <c r="J130" s="168" t="str">
        <f aca="false">IF('5. Gantt EQUIFILLES'!B134="","",'5. Gantt EQUIFILLES'!M134)</f>
        <v/>
      </c>
      <c r="K130" s="168" t="str">
        <f aca="false">IF('5. Gantt EQUIFILLES'!B134="","",'5. Gantt EQUIFILLES'!N134)</f>
        <v/>
      </c>
      <c r="L130" s="169" t="str">
        <f aca="false">IF('5. Gantt EQUIFILLES'!B134="","",'5. Gantt EQUIFILLES'!O134)</f>
        <v/>
      </c>
      <c r="M130" s="169" t="str">
        <f aca="false">IF('5. Gantt EQUIFILLES'!B134="","",'5. Gantt EQUIFILLES'!P134)</f>
        <v/>
      </c>
      <c r="N130" s="1" t="str">
        <f aca="false">IF('5. Gantt EQUIFILLES'!B134="","",'5. Gantt EQUIFILLES'!Q134)</f>
        <v/>
      </c>
      <c r="O130" s="1" t="str">
        <f aca="false">IF('5. Gantt EQUIFILLES'!B134="","",'5. Gantt EQUIFILLES'!R134)</f>
        <v/>
      </c>
      <c r="P130" s="1" t="str">
        <f aca="false">IF('5. Gantt EQUIFILLES'!B134="","",'5. Gantt EQUIFILLES'!S134)</f>
        <v/>
      </c>
      <c r="Q130" s="1" t="str">
        <f aca="false">IF('5. Gantt EQUIFILLES'!B134="","",'5. Gantt EQUIFILLES'!T134)</f>
        <v/>
      </c>
      <c r="R130" s="1" t="str">
        <f aca="false">IF('5. Gantt EQUIFILLES'!B134="","",'5. Gantt EQUIFILLES'!U134)</f>
        <v/>
      </c>
    </row>
    <row r="131" customFormat="false" ht="15" hidden="false" customHeight="true" outlineLevel="0" collapsed="false">
      <c r="A131" s="1" t="str">
        <f aca="false">IF('5. Gantt EQUIFILLES'!B135="","","EQUIFILLES")</f>
        <v/>
      </c>
      <c r="B131" s="1" t="str">
        <f aca="false">IF('5. Gantt EQUIFILLES'!B135="","",'5. Gantt EQUIFILLES'!B135)</f>
        <v/>
      </c>
      <c r="C131" s="1" t="str">
        <f aca="false">IF('5. Gantt EQUIFILLES'!B135="","",'5. Gantt EQUIFILLES'!C135)</f>
        <v/>
      </c>
      <c r="D131" s="1" t="str">
        <f aca="false">IF('5. Gantt EQUIFILLES'!B135="","",'5. Gantt EQUIFILLES'!D135)</f>
        <v/>
      </c>
      <c r="E131" s="1" t="str">
        <f aca="false">IF('5. Gantt EQUIFILLES'!B135="","",'5. Gantt EQUIFILLES'!E135)</f>
        <v/>
      </c>
      <c r="F131" s="1" t="str">
        <f aca="false">IF('5. Gantt EQUIFILLES'!B135="","",'5. Gantt EQUIFILLES'!G135)</f>
        <v/>
      </c>
      <c r="G131" s="167" t="str">
        <f aca="false">IF('5. Gantt EQUIFILLES'!B135="","",'5. Gantt EQUIFILLES'!H135)</f>
        <v/>
      </c>
      <c r="H131" s="167" t="str">
        <f aca="false">IF('5. Gantt EQUIFILLES'!B135="","",'5. Gantt EQUIFILLES'!I135)</f>
        <v/>
      </c>
      <c r="I131" s="167" t="str">
        <f aca="false">IF('5. Gantt EQUIFILLES'!B135="","",'5. Gantt EQUIFILLES'!K135)</f>
        <v/>
      </c>
      <c r="J131" s="168" t="str">
        <f aca="false">IF('5. Gantt EQUIFILLES'!B135="","",'5. Gantt EQUIFILLES'!M135)</f>
        <v/>
      </c>
      <c r="K131" s="168" t="str">
        <f aca="false">IF('5. Gantt EQUIFILLES'!B135="","",'5. Gantt EQUIFILLES'!N135)</f>
        <v/>
      </c>
      <c r="L131" s="169" t="str">
        <f aca="false">IF('5. Gantt EQUIFILLES'!B135="","",'5. Gantt EQUIFILLES'!O135)</f>
        <v/>
      </c>
      <c r="M131" s="169" t="str">
        <f aca="false">IF('5. Gantt EQUIFILLES'!B135="","",'5. Gantt EQUIFILLES'!P135)</f>
        <v/>
      </c>
      <c r="N131" s="1" t="str">
        <f aca="false">IF('5. Gantt EQUIFILLES'!B135="","",'5. Gantt EQUIFILLES'!Q135)</f>
        <v/>
      </c>
      <c r="O131" s="1" t="str">
        <f aca="false">IF('5. Gantt EQUIFILLES'!B135="","",'5. Gantt EQUIFILLES'!R135)</f>
        <v/>
      </c>
      <c r="P131" s="1" t="str">
        <f aca="false">IF('5. Gantt EQUIFILLES'!B135="","",'5. Gantt EQUIFILLES'!S135)</f>
        <v/>
      </c>
      <c r="Q131" s="1" t="str">
        <f aca="false">IF('5. Gantt EQUIFILLES'!B135="","",'5. Gantt EQUIFILLES'!T135)</f>
        <v/>
      </c>
      <c r="R131" s="1" t="str">
        <f aca="false">IF('5. Gantt EQUIFILLES'!B135="","",'5. Gantt EQUIFILLES'!U135)</f>
        <v/>
      </c>
    </row>
    <row r="132" customFormat="false" ht="15" hidden="false" customHeight="true" outlineLevel="0" collapsed="false">
      <c r="A132" s="1" t="str">
        <f aca="false">IF('5. Gantt EQUIFILLES'!B136="","","EQUIFILLES")</f>
        <v/>
      </c>
      <c r="B132" s="1" t="str">
        <f aca="false">IF('5. Gantt EQUIFILLES'!B136="","",'5. Gantt EQUIFILLES'!B136)</f>
        <v/>
      </c>
      <c r="C132" s="1" t="str">
        <f aca="false">IF('5. Gantt EQUIFILLES'!B136="","",'5. Gantt EQUIFILLES'!C136)</f>
        <v/>
      </c>
      <c r="D132" s="1" t="str">
        <f aca="false">IF('5. Gantt EQUIFILLES'!B136="","",'5. Gantt EQUIFILLES'!D136)</f>
        <v/>
      </c>
      <c r="E132" s="1" t="str">
        <f aca="false">IF('5. Gantt EQUIFILLES'!B136="","",'5. Gantt EQUIFILLES'!E136)</f>
        <v/>
      </c>
      <c r="F132" s="1" t="str">
        <f aca="false">IF('5. Gantt EQUIFILLES'!B136="","",'5. Gantt EQUIFILLES'!G136)</f>
        <v/>
      </c>
      <c r="G132" s="167" t="str">
        <f aca="false">IF('5. Gantt EQUIFILLES'!B136="","",'5. Gantt EQUIFILLES'!H136)</f>
        <v/>
      </c>
      <c r="H132" s="167" t="str">
        <f aca="false">IF('5. Gantt EQUIFILLES'!B136="","",'5. Gantt EQUIFILLES'!I136)</f>
        <v/>
      </c>
      <c r="I132" s="167" t="str">
        <f aca="false">IF('5. Gantt EQUIFILLES'!B136="","",'5. Gantt EQUIFILLES'!K136)</f>
        <v/>
      </c>
      <c r="J132" s="168" t="str">
        <f aca="false">IF('5. Gantt EQUIFILLES'!B136="","",'5. Gantt EQUIFILLES'!M136)</f>
        <v/>
      </c>
      <c r="K132" s="168" t="str">
        <f aca="false">IF('5. Gantt EQUIFILLES'!B136="","",'5. Gantt EQUIFILLES'!N136)</f>
        <v/>
      </c>
      <c r="L132" s="169" t="str">
        <f aca="false">IF('5. Gantt EQUIFILLES'!B136="","",'5. Gantt EQUIFILLES'!O136)</f>
        <v/>
      </c>
      <c r="M132" s="169" t="str">
        <f aca="false">IF('5. Gantt EQUIFILLES'!B136="","",'5. Gantt EQUIFILLES'!P136)</f>
        <v/>
      </c>
      <c r="N132" s="1" t="str">
        <f aca="false">IF('5. Gantt EQUIFILLES'!B136="","",'5. Gantt EQUIFILLES'!Q136)</f>
        <v/>
      </c>
      <c r="O132" s="1" t="str">
        <f aca="false">IF('5. Gantt EQUIFILLES'!B136="","",'5. Gantt EQUIFILLES'!R136)</f>
        <v/>
      </c>
      <c r="P132" s="1" t="str">
        <f aca="false">IF('5. Gantt EQUIFILLES'!B136="","",'5. Gantt EQUIFILLES'!S136)</f>
        <v/>
      </c>
      <c r="Q132" s="1" t="str">
        <f aca="false">IF('5. Gantt EQUIFILLES'!B136="","",'5. Gantt EQUIFILLES'!T136)</f>
        <v/>
      </c>
      <c r="R132" s="1" t="str">
        <f aca="false">IF('5. Gantt EQUIFILLES'!B136="","",'5. Gantt EQUIFILLES'!U136)</f>
        <v/>
      </c>
    </row>
    <row r="133" customFormat="false" ht="15" hidden="false" customHeight="true" outlineLevel="0" collapsed="false">
      <c r="A133" s="1" t="str">
        <f aca="false">IF('5. Gantt EQUIFILLES'!B137="","","EQUIFILLES")</f>
        <v/>
      </c>
      <c r="B133" s="1" t="str">
        <f aca="false">IF('5. Gantt EQUIFILLES'!B137="","",'5. Gantt EQUIFILLES'!B137)</f>
        <v/>
      </c>
      <c r="C133" s="1" t="str">
        <f aca="false">IF('5. Gantt EQUIFILLES'!B137="","",'5. Gantt EQUIFILLES'!C137)</f>
        <v/>
      </c>
      <c r="D133" s="1" t="str">
        <f aca="false">IF('5. Gantt EQUIFILLES'!B137="","",'5. Gantt EQUIFILLES'!D137)</f>
        <v/>
      </c>
      <c r="E133" s="1" t="str">
        <f aca="false">IF('5. Gantt EQUIFILLES'!B137="","",'5. Gantt EQUIFILLES'!E137)</f>
        <v/>
      </c>
      <c r="F133" s="1" t="str">
        <f aca="false">IF('5. Gantt EQUIFILLES'!B137="","",'5. Gantt EQUIFILLES'!G137)</f>
        <v/>
      </c>
      <c r="G133" s="167" t="str">
        <f aca="false">IF('5. Gantt EQUIFILLES'!B137="","",'5. Gantt EQUIFILLES'!H137)</f>
        <v/>
      </c>
      <c r="H133" s="167" t="str">
        <f aca="false">IF('5. Gantt EQUIFILLES'!B137="","",'5. Gantt EQUIFILLES'!I137)</f>
        <v/>
      </c>
      <c r="I133" s="167" t="str">
        <f aca="false">IF('5. Gantt EQUIFILLES'!B137="","",'5. Gantt EQUIFILLES'!K137)</f>
        <v/>
      </c>
      <c r="J133" s="168" t="str">
        <f aca="false">IF('5. Gantt EQUIFILLES'!B137="","",'5. Gantt EQUIFILLES'!M137)</f>
        <v/>
      </c>
      <c r="K133" s="168" t="str">
        <f aca="false">IF('5. Gantt EQUIFILLES'!B137="","",'5. Gantt EQUIFILLES'!N137)</f>
        <v/>
      </c>
      <c r="L133" s="169" t="str">
        <f aca="false">IF('5. Gantt EQUIFILLES'!B137="","",'5. Gantt EQUIFILLES'!O137)</f>
        <v/>
      </c>
      <c r="M133" s="169" t="str">
        <f aca="false">IF('5. Gantt EQUIFILLES'!B137="","",'5. Gantt EQUIFILLES'!P137)</f>
        <v/>
      </c>
      <c r="N133" s="1" t="str">
        <f aca="false">IF('5. Gantt EQUIFILLES'!B137="","",'5. Gantt EQUIFILLES'!Q137)</f>
        <v/>
      </c>
      <c r="O133" s="1" t="str">
        <f aca="false">IF('5. Gantt EQUIFILLES'!B137="","",'5. Gantt EQUIFILLES'!R137)</f>
        <v/>
      </c>
      <c r="P133" s="1" t="str">
        <f aca="false">IF('5. Gantt EQUIFILLES'!B137="","",'5. Gantt EQUIFILLES'!S137)</f>
        <v/>
      </c>
      <c r="Q133" s="1" t="str">
        <f aca="false">IF('5. Gantt EQUIFILLES'!B137="","",'5. Gantt EQUIFILLES'!T137)</f>
        <v/>
      </c>
      <c r="R133" s="1" t="str">
        <f aca="false">IF('5. Gantt EQUIFILLES'!B137="","",'5. Gantt EQUIFILLES'!U137)</f>
        <v/>
      </c>
    </row>
    <row r="134" customFormat="false" ht="15" hidden="false" customHeight="true" outlineLevel="0" collapsed="false">
      <c r="A134" s="1" t="str">
        <f aca="false">IF('5. Gantt EQUIFILLES'!B138="","","EQUIFILLES")</f>
        <v/>
      </c>
      <c r="B134" s="1" t="str">
        <f aca="false">IF('5. Gantt EQUIFILLES'!B138="","",'5. Gantt EQUIFILLES'!B138)</f>
        <v/>
      </c>
      <c r="C134" s="1" t="str">
        <f aca="false">IF('5. Gantt EQUIFILLES'!B138="","",'5. Gantt EQUIFILLES'!C138)</f>
        <v/>
      </c>
      <c r="D134" s="1" t="str">
        <f aca="false">IF('5. Gantt EQUIFILLES'!B138="","",'5. Gantt EQUIFILLES'!D138)</f>
        <v/>
      </c>
      <c r="E134" s="1" t="str">
        <f aca="false">IF('5. Gantt EQUIFILLES'!B138="","",'5. Gantt EQUIFILLES'!E138)</f>
        <v/>
      </c>
      <c r="F134" s="1" t="str">
        <f aca="false">IF('5. Gantt EQUIFILLES'!B138="","",'5. Gantt EQUIFILLES'!G138)</f>
        <v/>
      </c>
      <c r="G134" s="167" t="str">
        <f aca="false">IF('5. Gantt EQUIFILLES'!B138="","",'5. Gantt EQUIFILLES'!H138)</f>
        <v/>
      </c>
      <c r="H134" s="167" t="str">
        <f aca="false">IF('5. Gantt EQUIFILLES'!B138="","",'5. Gantt EQUIFILLES'!I138)</f>
        <v/>
      </c>
      <c r="I134" s="167" t="str">
        <f aca="false">IF('5. Gantt EQUIFILLES'!B138="","",'5. Gantt EQUIFILLES'!K138)</f>
        <v/>
      </c>
      <c r="J134" s="168" t="str">
        <f aca="false">IF('5. Gantt EQUIFILLES'!B138="","",'5. Gantt EQUIFILLES'!M138)</f>
        <v/>
      </c>
      <c r="K134" s="168" t="str">
        <f aca="false">IF('5. Gantt EQUIFILLES'!B138="","",'5. Gantt EQUIFILLES'!N138)</f>
        <v/>
      </c>
      <c r="L134" s="169" t="str">
        <f aca="false">IF('5. Gantt EQUIFILLES'!B138="","",'5. Gantt EQUIFILLES'!O138)</f>
        <v/>
      </c>
      <c r="M134" s="169" t="str">
        <f aca="false">IF('5. Gantt EQUIFILLES'!B138="","",'5. Gantt EQUIFILLES'!P138)</f>
        <v/>
      </c>
      <c r="N134" s="1" t="str">
        <f aca="false">IF('5. Gantt EQUIFILLES'!B138="","",'5. Gantt EQUIFILLES'!Q138)</f>
        <v/>
      </c>
      <c r="O134" s="1" t="str">
        <f aca="false">IF('5. Gantt EQUIFILLES'!B138="","",'5. Gantt EQUIFILLES'!R138)</f>
        <v/>
      </c>
      <c r="P134" s="1" t="str">
        <f aca="false">IF('5. Gantt EQUIFILLES'!B138="","",'5. Gantt EQUIFILLES'!S138)</f>
        <v/>
      </c>
      <c r="Q134" s="1" t="str">
        <f aca="false">IF('5. Gantt EQUIFILLES'!B138="","",'5. Gantt EQUIFILLES'!T138)</f>
        <v/>
      </c>
      <c r="R134" s="1" t="str">
        <f aca="false">IF('5. Gantt EQUIFILLES'!B138="","",'5. Gantt EQUIFILLES'!U138)</f>
        <v/>
      </c>
    </row>
    <row r="135" customFormat="false" ht="15" hidden="false" customHeight="true" outlineLevel="0" collapsed="false">
      <c r="A135" s="1" t="str">
        <f aca="false">IF('5. Gantt EQUIFILLES'!B139="","","EQUIFILLES")</f>
        <v/>
      </c>
      <c r="B135" s="1" t="str">
        <f aca="false">IF('5. Gantt EQUIFILLES'!B139="","",'5. Gantt EQUIFILLES'!B139)</f>
        <v/>
      </c>
      <c r="C135" s="1" t="str">
        <f aca="false">IF('5. Gantt EQUIFILLES'!B139="","",'5. Gantt EQUIFILLES'!C139)</f>
        <v/>
      </c>
      <c r="D135" s="1" t="str">
        <f aca="false">IF('5. Gantt EQUIFILLES'!B139="","",'5. Gantt EQUIFILLES'!D139)</f>
        <v/>
      </c>
      <c r="E135" s="1" t="str">
        <f aca="false">IF('5. Gantt EQUIFILLES'!B139="","",'5. Gantt EQUIFILLES'!E139)</f>
        <v/>
      </c>
      <c r="F135" s="1" t="str">
        <f aca="false">IF('5. Gantt EQUIFILLES'!B139="","",'5. Gantt EQUIFILLES'!G139)</f>
        <v/>
      </c>
      <c r="G135" s="167" t="str">
        <f aca="false">IF('5. Gantt EQUIFILLES'!B139="","",'5. Gantt EQUIFILLES'!H139)</f>
        <v/>
      </c>
      <c r="H135" s="167" t="str">
        <f aca="false">IF('5. Gantt EQUIFILLES'!B139="","",'5. Gantt EQUIFILLES'!I139)</f>
        <v/>
      </c>
      <c r="I135" s="167" t="str">
        <f aca="false">IF('5. Gantt EQUIFILLES'!B139="","",'5. Gantt EQUIFILLES'!K139)</f>
        <v/>
      </c>
      <c r="J135" s="168" t="str">
        <f aca="false">IF('5. Gantt EQUIFILLES'!B139="","",'5. Gantt EQUIFILLES'!M139)</f>
        <v/>
      </c>
      <c r="K135" s="168" t="str">
        <f aca="false">IF('5. Gantt EQUIFILLES'!B139="","",'5. Gantt EQUIFILLES'!N139)</f>
        <v/>
      </c>
      <c r="L135" s="169" t="str">
        <f aca="false">IF('5. Gantt EQUIFILLES'!B139="","",'5. Gantt EQUIFILLES'!O139)</f>
        <v/>
      </c>
      <c r="M135" s="169" t="str">
        <f aca="false">IF('5. Gantt EQUIFILLES'!B139="","",'5. Gantt EQUIFILLES'!P139)</f>
        <v/>
      </c>
      <c r="N135" s="1" t="str">
        <f aca="false">IF('5. Gantt EQUIFILLES'!B139="","",'5. Gantt EQUIFILLES'!Q139)</f>
        <v/>
      </c>
      <c r="O135" s="1" t="str">
        <f aca="false">IF('5. Gantt EQUIFILLES'!B139="","",'5. Gantt EQUIFILLES'!R139)</f>
        <v/>
      </c>
      <c r="P135" s="1" t="str">
        <f aca="false">IF('5. Gantt EQUIFILLES'!B139="","",'5. Gantt EQUIFILLES'!S139)</f>
        <v/>
      </c>
      <c r="Q135" s="1" t="str">
        <f aca="false">IF('5. Gantt EQUIFILLES'!B139="","",'5. Gantt EQUIFILLES'!T139)</f>
        <v/>
      </c>
      <c r="R135" s="1" t="str">
        <f aca="false">IF('5. Gantt EQUIFILLES'!B139="","",'5. Gantt EQUIFILLES'!U139)</f>
        <v/>
      </c>
    </row>
    <row r="136" customFormat="false" ht="15" hidden="false" customHeight="true" outlineLevel="0" collapsed="false">
      <c r="A136" s="1" t="str">
        <f aca="false">IF('5. Gantt EQUIFILLES'!B140="","","EQUIFILLES")</f>
        <v/>
      </c>
      <c r="B136" s="1" t="str">
        <f aca="false">IF('5. Gantt EQUIFILLES'!B140="","",'5. Gantt EQUIFILLES'!B140)</f>
        <v/>
      </c>
      <c r="C136" s="1" t="str">
        <f aca="false">IF('5. Gantt EQUIFILLES'!B140="","",'5. Gantt EQUIFILLES'!C140)</f>
        <v/>
      </c>
      <c r="D136" s="1" t="str">
        <f aca="false">IF('5. Gantt EQUIFILLES'!B140="","",'5. Gantt EQUIFILLES'!D140)</f>
        <v/>
      </c>
      <c r="E136" s="1" t="str">
        <f aca="false">IF('5. Gantt EQUIFILLES'!B140="","",'5. Gantt EQUIFILLES'!E140)</f>
        <v/>
      </c>
      <c r="F136" s="1" t="str">
        <f aca="false">IF('5. Gantt EQUIFILLES'!B140="","",'5. Gantt EQUIFILLES'!G140)</f>
        <v/>
      </c>
      <c r="G136" s="167" t="str">
        <f aca="false">IF('5. Gantt EQUIFILLES'!B140="","",'5. Gantt EQUIFILLES'!H140)</f>
        <v/>
      </c>
      <c r="H136" s="167" t="str">
        <f aca="false">IF('5. Gantt EQUIFILLES'!B140="","",'5. Gantt EQUIFILLES'!I140)</f>
        <v/>
      </c>
      <c r="I136" s="167" t="str">
        <f aca="false">IF('5. Gantt EQUIFILLES'!B140="","",'5. Gantt EQUIFILLES'!K140)</f>
        <v/>
      </c>
      <c r="J136" s="168" t="str">
        <f aca="false">IF('5. Gantt EQUIFILLES'!B140="","",'5. Gantt EQUIFILLES'!M140)</f>
        <v/>
      </c>
      <c r="K136" s="168" t="str">
        <f aca="false">IF('5. Gantt EQUIFILLES'!B140="","",'5. Gantt EQUIFILLES'!N140)</f>
        <v/>
      </c>
      <c r="L136" s="169" t="str">
        <f aca="false">IF('5. Gantt EQUIFILLES'!B140="","",'5. Gantt EQUIFILLES'!O140)</f>
        <v/>
      </c>
      <c r="M136" s="169" t="str">
        <f aca="false">IF('5. Gantt EQUIFILLES'!B140="","",'5. Gantt EQUIFILLES'!P140)</f>
        <v/>
      </c>
      <c r="N136" s="1" t="str">
        <f aca="false">IF('5. Gantt EQUIFILLES'!B140="","",'5. Gantt EQUIFILLES'!Q140)</f>
        <v/>
      </c>
      <c r="O136" s="1" t="str">
        <f aca="false">IF('5. Gantt EQUIFILLES'!B140="","",'5. Gantt EQUIFILLES'!R140)</f>
        <v/>
      </c>
      <c r="P136" s="1" t="str">
        <f aca="false">IF('5. Gantt EQUIFILLES'!B140="","",'5. Gantt EQUIFILLES'!S140)</f>
        <v/>
      </c>
      <c r="Q136" s="1" t="str">
        <f aca="false">IF('5. Gantt EQUIFILLES'!B140="","",'5. Gantt EQUIFILLES'!T140)</f>
        <v/>
      </c>
      <c r="R136" s="1" t="str">
        <f aca="false">IF('5. Gantt EQUIFILLES'!B140="","",'5. Gantt EQUIFILLES'!U140)</f>
        <v/>
      </c>
    </row>
    <row r="137" customFormat="false" ht="15" hidden="false" customHeight="true" outlineLevel="0" collapsed="false">
      <c r="A137" s="1" t="str">
        <f aca="false">IF('5. Gantt EQUIFILLES'!B141="","","EQUIFILLES")</f>
        <v/>
      </c>
      <c r="B137" s="1" t="str">
        <f aca="false">IF('5. Gantt EQUIFILLES'!B141="","",'5. Gantt EQUIFILLES'!B141)</f>
        <v/>
      </c>
      <c r="C137" s="1" t="str">
        <f aca="false">IF('5. Gantt EQUIFILLES'!B141="","",'5. Gantt EQUIFILLES'!C141)</f>
        <v/>
      </c>
      <c r="D137" s="1" t="str">
        <f aca="false">IF('5. Gantt EQUIFILLES'!B141="","",'5. Gantt EQUIFILLES'!D141)</f>
        <v/>
      </c>
      <c r="E137" s="1" t="str">
        <f aca="false">IF('5. Gantt EQUIFILLES'!B141="","",'5. Gantt EQUIFILLES'!E141)</f>
        <v/>
      </c>
      <c r="F137" s="1" t="str">
        <f aca="false">IF('5. Gantt EQUIFILLES'!B141="","",'5. Gantt EQUIFILLES'!G141)</f>
        <v/>
      </c>
      <c r="G137" s="167" t="str">
        <f aca="false">IF('5. Gantt EQUIFILLES'!B141="","",'5. Gantt EQUIFILLES'!H141)</f>
        <v/>
      </c>
      <c r="H137" s="167" t="str">
        <f aca="false">IF('5. Gantt EQUIFILLES'!B141="","",'5. Gantt EQUIFILLES'!I141)</f>
        <v/>
      </c>
      <c r="I137" s="167" t="str">
        <f aca="false">IF('5. Gantt EQUIFILLES'!B141="","",'5. Gantt EQUIFILLES'!K141)</f>
        <v/>
      </c>
      <c r="J137" s="168" t="str">
        <f aca="false">IF('5. Gantt EQUIFILLES'!B141="","",'5. Gantt EQUIFILLES'!M141)</f>
        <v/>
      </c>
      <c r="K137" s="168" t="str">
        <f aca="false">IF('5. Gantt EQUIFILLES'!B141="","",'5. Gantt EQUIFILLES'!N141)</f>
        <v/>
      </c>
      <c r="L137" s="169" t="str">
        <f aca="false">IF('5. Gantt EQUIFILLES'!B141="","",'5. Gantt EQUIFILLES'!O141)</f>
        <v/>
      </c>
      <c r="M137" s="169" t="str">
        <f aca="false">IF('5. Gantt EQUIFILLES'!B141="","",'5. Gantt EQUIFILLES'!P141)</f>
        <v/>
      </c>
      <c r="N137" s="1" t="str">
        <f aca="false">IF('5. Gantt EQUIFILLES'!B141="","",'5. Gantt EQUIFILLES'!Q141)</f>
        <v/>
      </c>
      <c r="O137" s="1" t="str">
        <f aca="false">IF('5. Gantt EQUIFILLES'!B141="","",'5. Gantt EQUIFILLES'!R141)</f>
        <v/>
      </c>
      <c r="P137" s="1" t="str">
        <f aca="false">IF('5. Gantt EQUIFILLES'!B141="","",'5. Gantt EQUIFILLES'!S141)</f>
        <v/>
      </c>
      <c r="Q137" s="1" t="str">
        <f aca="false">IF('5. Gantt EQUIFILLES'!B141="","",'5. Gantt EQUIFILLES'!T141)</f>
        <v/>
      </c>
      <c r="R137" s="1" t="str">
        <f aca="false">IF('5. Gantt EQUIFILLES'!B141="","",'5. Gantt EQUIFILLES'!U141)</f>
        <v/>
      </c>
    </row>
    <row r="138" customFormat="false" ht="15" hidden="false" customHeight="true" outlineLevel="0" collapsed="false">
      <c r="A138" s="1" t="str">
        <f aca="false">IF('5. Gantt EQUIFILLES'!B142="","","EQUIFILLES")</f>
        <v/>
      </c>
      <c r="B138" s="1" t="str">
        <f aca="false">IF('5. Gantt EQUIFILLES'!B142="","",'5. Gantt EQUIFILLES'!B142)</f>
        <v/>
      </c>
      <c r="C138" s="1" t="str">
        <f aca="false">IF('5. Gantt EQUIFILLES'!B142="","",'5. Gantt EQUIFILLES'!C142)</f>
        <v/>
      </c>
      <c r="D138" s="1" t="str">
        <f aca="false">IF('5. Gantt EQUIFILLES'!B142="","",'5. Gantt EQUIFILLES'!D142)</f>
        <v/>
      </c>
      <c r="E138" s="1" t="str">
        <f aca="false">IF('5. Gantt EQUIFILLES'!B142="","",'5. Gantt EQUIFILLES'!E142)</f>
        <v/>
      </c>
      <c r="F138" s="1" t="str">
        <f aca="false">IF('5. Gantt EQUIFILLES'!B142="","",'5. Gantt EQUIFILLES'!G142)</f>
        <v/>
      </c>
      <c r="G138" s="167" t="str">
        <f aca="false">IF('5. Gantt EQUIFILLES'!B142="","",'5. Gantt EQUIFILLES'!H142)</f>
        <v/>
      </c>
      <c r="H138" s="167" t="str">
        <f aca="false">IF('5. Gantt EQUIFILLES'!B142="","",'5. Gantt EQUIFILLES'!I142)</f>
        <v/>
      </c>
      <c r="I138" s="167" t="str">
        <f aca="false">IF('5. Gantt EQUIFILLES'!B142="","",'5. Gantt EQUIFILLES'!K142)</f>
        <v/>
      </c>
      <c r="J138" s="168" t="str">
        <f aca="false">IF('5. Gantt EQUIFILLES'!B142="","",'5. Gantt EQUIFILLES'!M142)</f>
        <v/>
      </c>
      <c r="K138" s="168" t="str">
        <f aca="false">IF('5. Gantt EQUIFILLES'!B142="","",'5. Gantt EQUIFILLES'!N142)</f>
        <v/>
      </c>
      <c r="L138" s="169" t="str">
        <f aca="false">IF('5. Gantt EQUIFILLES'!B142="","",'5. Gantt EQUIFILLES'!O142)</f>
        <v/>
      </c>
      <c r="M138" s="169" t="str">
        <f aca="false">IF('5. Gantt EQUIFILLES'!B142="","",'5. Gantt EQUIFILLES'!P142)</f>
        <v/>
      </c>
      <c r="N138" s="1" t="str">
        <f aca="false">IF('5. Gantt EQUIFILLES'!B142="","",'5. Gantt EQUIFILLES'!Q142)</f>
        <v/>
      </c>
      <c r="O138" s="1" t="str">
        <f aca="false">IF('5. Gantt EQUIFILLES'!B142="","",'5. Gantt EQUIFILLES'!R142)</f>
        <v/>
      </c>
      <c r="P138" s="1" t="str">
        <f aca="false">IF('5. Gantt EQUIFILLES'!B142="","",'5. Gantt EQUIFILLES'!S142)</f>
        <v/>
      </c>
      <c r="Q138" s="1" t="str">
        <f aca="false">IF('5. Gantt EQUIFILLES'!B142="","",'5. Gantt EQUIFILLES'!T142)</f>
        <v/>
      </c>
      <c r="R138" s="1" t="str">
        <f aca="false">IF('5. Gantt EQUIFILLES'!B142="","",'5. Gantt EQUIFILLES'!U142)</f>
        <v/>
      </c>
    </row>
    <row r="139" customFormat="false" ht="15" hidden="false" customHeight="true" outlineLevel="0" collapsed="false">
      <c r="A139" s="1" t="str">
        <f aca="false">IF('5. Gantt EQUIFILLES'!B143="","","EQUIFILLES")</f>
        <v/>
      </c>
      <c r="B139" s="1" t="str">
        <f aca="false">IF('5. Gantt EQUIFILLES'!B143="","",'5. Gantt EQUIFILLES'!B143)</f>
        <v/>
      </c>
      <c r="C139" s="1" t="str">
        <f aca="false">IF('5. Gantt EQUIFILLES'!B143="","",'5. Gantt EQUIFILLES'!C143)</f>
        <v/>
      </c>
      <c r="D139" s="1" t="str">
        <f aca="false">IF('5. Gantt EQUIFILLES'!B143="","",'5. Gantt EQUIFILLES'!D143)</f>
        <v/>
      </c>
      <c r="E139" s="1" t="str">
        <f aca="false">IF('5. Gantt EQUIFILLES'!B143="","",'5. Gantt EQUIFILLES'!E143)</f>
        <v/>
      </c>
      <c r="F139" s="1" t="str">
        <f aca="false">IF('5. Gantt EQUIFILLES'!B143="","",'5. Gantt EQUIFILLES'!G143)</f>
        <v/>
      </c>
      <c r="G139" s="167" t="str">
        <f aca="false">IF('5. Gantt EQUIFILLES'!B143="","",'5. Gantt EQUIFILLES'!H143)</f>
        <v/>
      </c>
      <c r="H139" s="167" t="str">
        <f aca="false">IF('5. Gantt EQUIFILLES'!B143="","",'5. Gantt EQUIFILLES'!I143)</f>
        <v/>
      </c>
      <c r="I139" s="167" t="str">
        <f aca="false">IF('5. Gantt EQUIFILLES'!B143="","",'5. Gantt EQUIFILLES'!K143)</f>
        <v/>
      </c>
      <c r="J139" s="168" t="str">
        <f aca="false">IF('5. Gantt EQUIFILLES'!B143="","",'5. Gantt EQUIFILLES'!M143)</f>
        <v/>
      </c>
      <c r="K139" s="168" t="str">
        <f aca="false">IF('5. Gantt EQUIFILLES'!B143="","",'5. Gantt EQUIFILLES'!N143)</f>
        <v/>
      </c>
      <c r="L139" s="169" t="str">
        <f aca="false">IF('5. Gantt EQUIFILLES'!B143="","",'5. Gantt EQUIFILLES'!O143)</f>
        <v/>
      </c>
      <c r="M139" s="169" t="str">
        <f aca="false">IF('5. Gantt EQUIFILLES'!B143="","",'5. Gantt EQUIFILLES'!P143)</f>
        <v/>
      </c>
      <c r="N139" s="1" t="str">
        <f aca="false">IF('5. Gantt EQUIFILLES'!B143="","",'5. Gantt EQUIFILLES'!Q143)</f>
        <v/>
      </c>
      <c r="O139" s="1" t="str">
        <f aca="false">IF('5. Gantt EQUIFILLES'!B143="","",'5. Gantt EQUIFILLES'!R143)</f>
        <v/>
      </c>
      <c r="P139" s="1" t="str">
        <f aca="false">IF('5. Gantt EQUIFILLES'!B143="","",'5. Gantt EQUIFILLES'!S143)</f>
        <v/>
      </c>
      <c r="Q139" s="1" t="str">
        <f aca="false">IF('5. Gantt EQUIFILLES'!B143="","",'5. Gantt EQUIFILLES'!T143)</f>
        <v/>
      </c>
      <c r="R139" s="1" t="str">
        <f aca="false">IF('5. Gantt EQUIFILLES'!B143="","",'5. Gantt EQUIFILLES'!U143)</f>
        <v/>
      </c>
    </row>
    <row r="140" customFormat="false" ht="15" hidden="false" customHeight="true" outlineLevel="0" collapsed="false">
      <c r="A140" s="1" t="str">
        <f aca="false">IF('5. Gantt EQUIFILLES'!B144="","","EQUIFILLES")</f>
        <v/>
      </c>
      <c r="B140" s="1" t="str">
        <f aca="false">IF('5. Gantt EQUIFILLES'!B144="","",'5. Gantt EQUIFILLES'!B144)</f>
        <v/>
      </c>
      <c r="C140" s="1" t="str">
        <f aca="false">IF('5. Gantt EQUIFILLES'!B144="","",'5. Gantt EQUIFILLES'!C144)</f>
        <v/>
      </c>
      <c r="D140" s="1" t="str">
        <f aca="false">IF('5. Gantt EQUIFILLES'!B144="","",'5. Gantt EQUIFILLES'!D144)</f>
        <v/>
      </c>
      <c r="E140" s="1" t="str">
        <f aca="false">IF('5. Gantt EQUIFILLES'!B144="","",'5. Gantt EQUIFILLES'!E144)</f>
        <v/>
      </c>
      <c r="F140" s="1" t="str">
        <f aca="false">IF('5. Gantt EQUIFILLES'!B144="","",'5. Gantt EQUIFILLES'!G144)</f>
        <v/>
      </c>
      <c r="G140" s="167" t="str">
        <f aca="false">IF('5. Gantt EQUIFILLES'!B144="","",'5. Gantt EQUIFILLES'!H144)</f>
        <v/>
      </c>
      <c r="H140" s="167" t="str">
        <f aca="false">IF('5. Gantt EQUIFILLES'!B144="","",'5. Gantt EQUIFILLES'!I144)</f>
        <v/>
      </c>
      <c r="I140" s="167" t="str">
        <f aca="false">IF('5. Gantt EQUIFILLES'!B144="","",'5. Gantt EQUIFILLES'!K144)</f>
        <v/>
      </c>
      <c r="J140" s="168" t="str">
        <f aca="false">IF('5. Gantt EQUIFILLES'!B144="","",'5. Gantt EQUIFILLES'!M144)</f>
        <v/>
      </c>
      <c r="K140" s="168" t="str">
        <f aca="false">IF('5. Gantt EQUIFILLES'!B144="","",'5. Gantt EQUIFILLES'!N144)</f>
        <v/>
      </c>
      <c r="L140" s="169" t="str">
        <f aca="false">IF('5. Gantt EQUIFILLES'!B144="","",'5. Gantt EQUIFILLES'!O144)</f>
        <v/>
      </c>
      <c r="M140" s="169" t="str">
        <f aca="false">IF('5. Gantt EQUIFILLES'!B144="","",'5. Gantt EQUIFILLES'!P144)</f>
        <v/>
      </c>
      <c r="N140" s="1" t="str">
        <f aca="false">IF('5. Gantt EQUIFILLES'!B144="","",'5. Gantt EQUIFILLES'!Q144)</f>
        <v/>
      </c>
      <c r="O140" s="1" t="str">
        <f aca="false">IF('5. Gantt EQUIFILLES'!B144="","",'5. Gantt EQUIFILLES'!R144)</f>
        <v/>
      </c>
      <c r="P140" s="1" t="str">
        <f aca="false">IF('5. Gantt EQUIFILLES'!B144="","",'5. Gantt EQUIFILLES'!S144)</f>
        <v/>
      </c>
      <c r="Q140" s="1" t="str">
        <f aca="false">IF('5. Gantt EQUIFILLES'!B144="","",'5. Gantt EQUIFILLES'!T144)</f>
        <v/>
      </c>
      <c r="R140" s="1" t="str">
        <f aca="false">IF('5. Gantt EQUIFILLES'!B144="","",'5. Gantt EQUIFILLES'!U144)</f>
        <v/>
      </c>
    </row>
    <row r="141" customFormat="false" ht="15" hidden="false" customHeight="true" outlineLevel="0" collapsed="false">
      <c r="A141" s="1" t="str">
        <f aca="false">IF('5. Gantt EQUIFILLES'!B145="","","EQUIFILLES")</f>
        <v/>
      </c>
      <c r="B141" s="1" t="str">
        <f aca="false">IF('5. Gantt EQUIFILLES'!B145="","",'5. Gantt EQUIFILLES'!B145)</f>
        <v/>
      </c>
      <c r="C141" s="1" t="str">
        <f aca="false">IF('5. Gantt EQUIFILLES'!B145="","",'5. Gantt EQUIFILLES'!C145)</f>
        <v/>
      </c>
      <c r="D141" s="1" t="str">
        <f aca="false">IF('5. Gantt EQUIFILLES'!B145="","",'5. Gantt EQUIFILLES'!D145)</f>
        <v/>
      </c>
      <c r="E141" s="1" t="str">
        <f aca="false">IF('5. Gantt EQUIFILLES'!B145="","",'5. Gantt EQUIFILLES'!E145)</f>
        <v/>
      </c>
      <c r="F141" s="1" t="str">
        <f aca="false">IF('5. Gantt EQUIFILLES'!B145="","",'5. Gantt EQUIFILLES'!G145)</f>
        <v/>
      </c>
      <c r="G141" s="167" t="str">
        <f aca="false">IF('5. Gantt EQUIFILLES'!B145="","",'5. Gantt EQUIFILLES'!H145)</f>
        <v/>
      </c>
      <c r="H141" s="167" t="str">
        <f aca="false">IF('5. Gantt EQUIFILLES'!B145="","",'5. Gantt EQUIFILLES'!I145)</f>
        <v/>
      </c>
      <c r="I141" s="167" t="str">
        <f aca="false">IF('5. Gantt EQUIFILLES'!B145="","",'5. Gantt EQUIFILLES'!K145)</f>
        <v/>
      </c>
      <c r="J141" s="168" t="str">
        <f aca="false">IF('5. Gantt EQUIFILLES'!B145="","",'5. Gantt EQUIFILLES'!M145)</f>
        <v/>
      </c>
      <c r="K141" s="168" t="str">
        <f aca="false">IF('5. Gantt EQUIFILLES'!B145="","",'5. Gantt EQUIFILLES'!N145)</f>
        <v/>
      </c>
      <c r="L141" s="169" t="str">
        <f aca="false">IF('5. Gantt EQUIFILLES'!B145="","",'5. Gantt EQUIFILLES'!O145)</f>
        <v/>
      </c>
      <c r="M141" s="169" t="str">
        <f aca="false">IF('5. Gantt EQUIFILLES'!B145="","",'5. Gantt EQUIFILLES'!P145)</f>
        <v/>
      </c>
      <c r="N141" s="1" t="str">
        <f aca="false">IF('5. Gantt EQUIFILLES'!B145="","",'5. Gantt EQUIFILLES'!Q145)</f>
        <v/>
      </c>
      <c r="O141" s="1" t="str">
        <f aca="false">IF('5. Gantt EQUIFILLES'!B145="","",'5. Gantt EQUIFILLES'!R145)</f>
        <v/>
      </c>
      <c r="P141" s="1" t="str">
        <f aca="false">IF('5. Gantt EQUIFILLES'!B145="","",'5. Gantt EQUIFILLES'!S145)</f>
        <v/>
      </c>
      <c r="Q141" s="1" t="str">
        <f aca="false">IF('5. Gantt EQUIFILLES'!B145="","",'5. Gantt EQUIFILLES'!T145)</f>
        <v/>
      </c>
      <c r="R141" s="1" t="str">
        <f aca="false">IF('5. Gantt EQUIFILLES'!B145="","",'5. Gantt EQUIFILLES'!U145)</f>
        <v/>
      </c>
    </row>
    <row r="142" customFormat="false" ht="15" hidden="false" customHeight="true" outlineLevel="0" collapsed="false">
      <c r="A142" s="1" t="str">
        <f aca="false">IF('5. Gantt EQUIFILLES'!B146="","","EQUIFILLES")</f>
        <v/>
      </c>
      <c r="B142" s="1" t="str">
        <f aca="false">IF('5. Gantt EQUIFILLES'!B146="","",'5. Gantt EQUIFILLES'!B146)</f>
        <v/>
      </c>
      <c r="C142" s="1" t="str">
        <f aca="false">IF('5. Gantt EQUIFILLES'!B146="","",'5. Gantt EQUIFILLES'!C146)</f>
        <v/>
      </c>
      <c r="D142" s="1" t="str">
        <f aca="false">IF('5. Gantt EQUIFILLES'!B146="","",'5. Gantt EQUIFILLES'!D146)</f>
        <v/>
      </c>
      <c r="E142" s="1" t="str">
        <f aca="false">IF('5. Gantt EQUIFILLES'!B146="","",'5. Gantt EQUIFILLES'!E146)</f>
        <v/>
      </c>
      <c r="F142" s="1" t="str">
        <f aca="false">IF('5. Gantt EQUIFILLES'!B146="","",'5. Gantt EQUIFILLES'!G146)</f>
        <v/>
      </c>
      <c r="G142" s="167" t="str">
        <f aca="false">IF('5. Gantt EQUIFILLES'!B146="","",'5. Gantt EQUIFILLES'!H146)</f>
        <v/>
      </c>
      <c r="H142" s="167" t="str">
        <f aca="false">IF('5. Gantt EQUIFILLES'!B146="","",'5. Gantt EQUIFILLES'!I146)</f>
        <v/>
      </c>
      <c r="I142" s="167" t="str">
        <f aca="false">IF('5. Gantt EQUIFILLES'!B146="","",'5. Gantt EQUIFILLES'!K146)</f>
        <v/>
      </c>
      <c r="J142" s="168" t="str">
        <f aca="false">IF('5. Gantt EQUIFILLES'!B146="","",'5. Gantt EQUIFILLES'!M146)</f>
        <v/>
      </c>
      <c r="K142" s="168" t="str">
        <f aca="false">IF('5. Gantt EQUIFILLES'!B146="","",'5. Gantt EQUIFILLES'!N146)</f>
        <v/>
      </c>
      <c r="L142" s="169" t="str">
        <f aca="false">IF('5. Gantt EQUIFILLES'!B146="","",'5. Gantt EQUIFILLES'!O146)</f>
        <v/>
      </c>
      <c r="M142" s="169" t="str">
        <f aca="false">IF('5. Gantt EQUIFILLES'!B146="","",'5. Gantt EQUIFILLES'!P146)</f>
        <v/>
      </c>
      <c r="N142" s="1" t="str">
        <f aca="false">IF('5. Gantt EQUIFILLES'!B146="","",'5. Gantt EQUIFILLES'!Q146)</f>
        <v/>
      </c>
      <c r="O142" s="1" t="str">
        <f aca="false">IF('5. Gantt EQUIFILLES'!B146="","",'5. Gantt EQUIFILLES'!R146)</f>
        <v/>
      </c>
      <c r="P142" s="1" t="str">
        <f aca="false">IF('5. Gantt EQUIFILLES'!B146="","",'5. Gantt EQUIFILLES'!S146)</f>
        <v/>
      </c>
      <c r="Q142" s="1" t="str">
        <f aca="false">IF('5. Gantt EQUIFILLES'!B146="","",'5. Gantt EQUIFILLES'!T146)</f>
        <v/>
      </c>
      <c r="R142" s="1" t="str">
        <f aca="false">IF('5. Gantt EQUIFILLES'!B146="","",'5. Gantt EQUIFILLES'!U146)</f>
        <v/>
      </c>
    </row>
    <row r="143" customFormat="false" ht="15" hidden="false" customHeight="true" outlineLevel="0" collapsed="false">
      <c r="A143" s="1" t="str">
        <f aca="false">IF('5. Gantt EQUIFILLES'!B147="","","EQUIFILLES")</f>
        <v/>
      </c>
      <c r="B143" s="1" t="str">
        <f aca="false">IF('5. Gantt EQUIFILLES'!B147="","",'5. Gantt EQUIFILLES'!B147)</f>
        <v/>
      </c>
      <c r="C143" s="1" t="str">
        <f aca="false">IF('5. Gantt EQUIFILLES'!B147="","",'5. Gantt EQUIFILLES'!C147)</f>
        <v/>
      </c>
      <c r="D143" s="1" t="str">
        <f aca="false">IF('5. Gantt EQUIFILLES'!B147="","",'5. Gantt EQUIFILLES'!D147)</f>
        <v/>
      </c>
      <c r="E143" s="1" t="str">
        <f aca="false">IF('5. Gantt EQUIFILLES'!B147="","",'5. Gantt EQUIFILLES'!E147)</f>
        <v/>
      </c>
      <c r="F143" s="1" t="str">
        <f aca="false">IF('5. Gantt EQUIFILLES'!B147="","",'5. Gantt EQUIFILLES'!G147)</f>
        <v/>
      </c>
      <c r="G143" s="167" t="str">
        <f aca="false">IF('5. Gantt EQUIFILLES'!B147="","",'5. Gantt EQUIFILLES'!H147)</f>
        <v/>
      </c>
      <c r="H143" s="167" t="str">
        <f aca="false">IF('5. Gantt EQUIFILLES'!B147="","",'5. Gantt EQUIFILLES'!I147)</f>
        <v/>
      </c>
      <c r="I143" s="167" t="str">
        <f aca="false">IF('5. Gantt EQUIFILLES'!B147="","",'5. Gantt EQUIFILLES'!K147)</f>
        <v/>
      </c>
      <c r="J143" s="168" t="str">
        <f aca="false">IF('5. Gantt EQUIFILLES'!B147="","",'5. Gantt EQUIFILLES'!M147)</f>
        <v/>
      </c>
      <c r="K143" s="168" t="str">
        <f aca="false">IF('5. Gantt EQUIFILLES'!B147="","",'5. Gantt EQUIFILLES'!N147)</f>
        <v/>
      </c>
      <c r="L143" s="169" t="str">
        <f aca="false">IF('5. Gantt EQUIFILLES'!B147="","",'5. Gantt EQUIFILLES'!O147)</f>
        <v/>
      </c>
      <c r="M143" s="169" t="str">
        <f aca="false">IF('5. Gantt EQUIFILLES'!B147="","",'5. Gantt EQUIFILLES'!P147)</f>
        <v/>
      </c>
      <c r="N143" s="1" t="str">
        <f aca="false">IF('5. Gantt EQUIFILLES'!B147="","",'5. Gantt EQUIFILLES'!Q147)</f>
        <v/>
      </c>
      <c r="O143" s="1" t="str">
        <f aca="false">IF('5. Gantt EQUIFILLES'!B147="","",'5. Gantt EQUIFILLES'!R147)</f>
        <v/>
      </c>
      <c r="P143" s="1" t="str">
        <f aca="false">IF('5. Gantt EQUIFILLES'!B147="","",'5. Gantt EQUIFILLES'!S147)</f>
        <v/>
      </c>
      <c r="Q143" s="1" t="str">
        <f aca="false">IF('5. Gantt EQUIFILLES'!B147="","",'5. Gantt EQUIFILLES'!T147)</f>
        <v/>
      </c>
      <c r="R143" s="1" t="str">
        <f aca="false">IF('5. Gantt EQUIFILLES'!B147="","",'5. Gantt EQUIFILLES'!U147)</f>
        <v/>
      </c>
    </row>
    <row r="144" customFormat="false" ht="15" hidden="false" customHeight="true" outlineLevel="0" collapsed="false">
      <c r="A144" s="1" t="str">
        <f aca="false">IF('5. Gantt EQUIFILLES'!B148="","","EQUIFILLES")</f>
        <v/>
      </c>
      <c r="B144" s="1" t="str">
        <f aca="false">IF('5. Gantt EQUIFILLES'!B148="","",'5. Gantt EQUIFILLES'!B148)</f>
        <v/>
      </c>
      <c r="C144" s="1" t="str">
        <f aca="false">IF('5. Gantt EQUIFILLES'!B148="","",'5. Gantt EQUIFILLES'!C148)</f>
        <v/>
      </c>
      <c r="D144" s="1" t="str">
        <f aca="false">IF('5. Gantt EQUIFILLES'!B148="","",'5. Gantt EQUIFILLES'!D148)</f>
        <v/>
      </c>
      <c r="E144" s="1" t="str">
        <f aca="false">IF('5. Gantt EQUIFILLES'!B148="","",'5. Gantt EQUIFILLES'!E148)</f>
        <v/>
      </c>
      <c r="F144" s="1" t="str">
        <f aca="false">IF('5. Gantt EQUIFILLES'!B148="","",'5. Gantt EQUIFILLES'!G148)</f>
        <v/>
      </c>
      <c r="G144" s="167" t="str">
        <f aca="false">IF('5. Gantt EQUIFILLES'!B148="","",'5. Gantt EQUIFILLES'!H148)</f>
        <v/>
      </c>
      <c r="H144" s="167" t="str">
        <f aca="false">IF('5. Gantt EQUIFILLES'!B148="","",'5. Gantt EQUIFILLES'!I148)</f>
        <v/>
      </c>
      <c r="I144" s="167" t="str">
        <f aca="false">IF('5. Gantt EQUIFILLES'!B148="","",'5. Gantt EQUIFILLES'!K148)</f>
        <v/>
      </c>
      <c r="J144" s="168" t="str">
        <f aca="false">IF('5. Gantt EQUIFILLES'!B148="","",'5. Gantt EQUIFILLES'!M148)</f>
        <v/>
      </c>
      <c r="K144" s="168" t="str">
        <f aca="false">IF('5. Gantt EQUIFILLES'!B148="","",'5. Gantt EQUIFILLES'!N148)</f>
        <v/>
      </c>
      <c r="L144" s="169" t="str">
        <f aca="false">IF('5. Gantt EQUIFILLES'!B148="","",'5. Gantt EQUIFILLES'!O148)</f>
        <v/>
      </c>
      <c r="M144" s="169" t="str">
        <f aca="false">IF('5. Gantt EQUIFILLES'!B148="","",'5. Gantt EQUIFILLES'!P148)</f>
        <v/>
      </c>
      <c r="N144" s="1" t="str">
        <f aca="false">IF('5. Gantt EQUIFILLES'!B148="","",'5. Gantt EQUIFILLES'!Q148)</f>
        <v/>
      </c>
      <c r="O144" s="1" t="str">
        <f aca="false">IF('5. Gantt EQUIFILLES'!B148="","",'5. Gantt EQUIFILLES'!R148)</f>
        <v/>
      </c>
      <c r="P144" s="1" t="str">
        <f aca="false">IF('5. Gantt EQUIFILLES'!B148="","",'5. Gantt EQUIFILLES'!S148)</f>
        <v/>
      </c>
      <c r="Q144" s="1" t="str">
        <f aca="false">IF('5. Gantt EQUIFILLES'!B148="","",'5. Gantt EQUIFILLES'!T148)</f>
        <v/>
      </c>
      <c r="R144" s="1" t="str">
        <f aca="false">IF('5. Gantt EQUIFILLES'!B148="","",'5. Gantt EQUIFILLES'!U148)</f>
        <v/>
      </c>
    </row>
    <row r="145" customFormat="false" ht="15" hidden="false" customHeight="true" outlineLevel="0" collapsed="false">
      <c r="A145" s="1" t="str">
        <f aca="false">IF('5. Gantt EQUIFILLES'!B149="","","EQUIFILLES")</f>
        <v/>
      </c>
      <c r="B145" s="1" t="str">
        <f aca="false">IF('5. Gantt EQUIFILLES'!B149="","",'5. Gantt EQUIFILLES'!B149)</f>
        <v/>
      </c>
      <c r="C145" s="1" t="str">
        <f aca="false">IF('5. Gantt EQUIFILLES'!B149="","",'5. Gantt EQUIFILLES'!C149)</f>
        <v/>
      </c>
      <c r="D145" s="1" t="str">
        <f aca="false">IF('5. Gantt EQUIFILLES'!B149="","",'5. Gantt EQUIFILLES'!D149)</f>
        <v/>
      </c>
      <c r="E145" s="1" t="str">
        <f aca="false">IF('5. Gantt EQUIFILLES'!B149="","",'5. Gantt EQUIFILLES'!E149)</f>
        <v/>
      </c>
      <c r="F145" s="1" t="str">
        <f aca="false">IF('5. Gantt EQUIFILLES'!B149="","",'5. Gantt EQUIFILLES'!G149)</f>
        <v/>
      </c>
      <c r="G145" s="167" t="str">
        <f aca="false">IF('5. Gantt EQUIFILLES'!B149="","",'5. Gantt EQUIFILLES'!H149)</f>
        <v/>
      </c>
      <c r="H145" s="167" t="str">
        <f aca="false">IF('5. Gantt EQUIFILLES'!B149="","",'5. Gantt EQUIFILLES'!I149)</f>
        <v/>
      </c>
      <c r="I145" s="167" t="str">
        <f aca="false">IF('5. Gantt EQUIFILLES'!B149="","",'5. Gantt EQUIFILLES'!K149)</f>
        <v/>
      </c>
      <c r="J145" s="168" t="str">
        <f aca="false">IF('5. Gantt EQUIFILLES'!B149="","",'5. Gantt EQUIFILLES'!M149)</f>
        <v/>
      </c>
      <c r="K145" s="168" t="str">
        <f aca="false">IF('5. Gantt EQUIFILLES'!B149="","",'5. Gantt EQUIFILLES'!N149)</f>
        <v/>
      </c>
      <c r="L145" s="169" t="str">
        <f aca="false">IF('5. Gantt EQUIFILLES'!B149="","",'5. Gantt EQUIFILLES'!O149)</f>
        <v/>
      </c>
      <c r="M145" s="169" t="str">
        <f aca="false">IF('5. Gantt EQUIFILLES'!B149="","",'5. Gantt EQUIFILLES'!P149)</f>
        <v/>
      </c>
      <c r="N145" s="1" t="str">
        <f aca="false">IF('5. Gantt EQUIFILLES'!B149="","",'5. Gantt EQUIFILLES'!Q149)</f>
        <v/>
      </c>
      <c r="O145" s="1" t="str">
        <f aca="false">IF('5. Gantt EQUIFILLES'!B149="","",'5. Gantt EQUIFILLES'!R149)</f>
        <v/>
      </c>
      <c r="P145" s="1" t="str">
        <f aca="false">IF('5. Gantt EQUIFILLES'!B149="","",'5. Gantt EQUIFILLES'!S149)</f>
        <v/>
      </c>
      <c r="Q145" s="1" t="str">
        <f aca="false">IF('5. Gantt EQUIFILLES'!B149="","",'5. Gantt EQUIFILLES'!T149)</f>
        <v/>
      </c>
      <c r="R145" s="1" t="str">
        <f aca="false">IF('5. Gantt EQUIFILLES'!B149="","",'5. Gantt EQUIFILLES'!U149)</f>
        <v/>
      </c>
    </row>
    <row r="146" customFormat="false" ht="15" hidden="false" customHeight="true" outlineLevel="0" collapsed="false">
      <c r="A146" s="1" t="str">
        <f aca="false">IF('5. Gantt EQUIFILLES'!B150="","","EQUIFILLES")</f>
        <v/>
      </c>
      <c r="B146" s="1" t="str">
        <f aca="false">IF('5. Gantt EQUIFILLES'!B150="","",'5. Gantt EQUIFILLES'!B150)</f>
        <v/>
      </c>
      <c r="C146" s="1" t="str">
        <f aca="false">IF('5. Gantt EQUIFILLES'!B150="","",'5. Gantt EQUIFILLES'!C150)</f>
        <v/>
      </c>
      <c r="D146" s="1" t="str">
        <f aca="false">IF('5. Gantt EQUIFILLES'!B150="","",'5. Gantt EQUIFILLES'!D150)</f>
        <v/>
      </c>
      <c r="E146" s="1" t="str">
        <f aca="false">IF('5. Gantt EQUIFILLES'!B150="","",'5. Gantt EQUIFILLES'!E150)</f>
        <v/>
      </c>
      <c r="F146" s="1" t="str">
        <f aca="false">IF('5. Gantt EQUIFILLES'!B150="","",'5. Gantt EQUIFILLES'!G150)</f>
        <v/>
      </c>
      <c r="G146" s="167" t="str">
        <f aca="false">IF('5. Gantt EQUIFILLES'!B150="","",'5. Gantt EQUIFILLES'!H150)</f>
        <v/>
      </c>
      <c r="H146" s="167" t="str">
        <f aca="false">IF('5. Gantt EQUIFILLES'!B150="","",'5. Gantt EQUIFILLES'!I150)</f>
        <v/>
      </c>
      <c r="I146" s="167" t="str">
        <f aca="false">IF('5. Gantt EQUIFILLES'!B150="","",'5. Gantt EQUIFILLES'!K150)</f>
        <v/>
      </c>
      <c r="J146" s="168" t="str">
        <f aca="false">IF('5. Gantt EQUIFILLES'!B150="","",'5. Gantt EQUIFILLES'!M150)</f>
        <v/>
      </c>
      <c r="K146" s="168" t="str">
        <f aca="false">IF('5. Gantt EQUIFILLES'!B150="","",'5. Gantt EQUIFILLES'!N150)</f>
        <v/>
      </c>
      <c r="L146" s="169" t="str">
        <f aca="false">IF('5. Gantt EQUIFILLES'!B150="","",'5. Gantt EQUIFILLES'!O150)</f>
        <v/>
      </c>
      <c r="M146" s="169" t="str">
        <f aca="false">IF('5. Gantt EQUIFILLES'!B150="","",'5. Gantt EQUIFILLES'!P150)</f>
        <v/>
      </c>
      <c r="N146" s="1" t="str">
        <f aca="false">IF('5. Gantt EQUIFILLES'!B150="","",'5. Gantt EQUIFILLES'!Q150)</f>
        <v/>
      </c>
      <c r="O146" s="1" t="str">
        <f aca="false">IF('5. Gantt EQUIFILLES'!B150="","",'5. Gantt EQUIFILLES'!R150)</f>
        <v/>
      </c>
      <c r="P146" s="1" t="str">
        <f aca="false">IF('5. Gantt EQUIFILLES'!B150="","",'5. Gantt EQUIFILLES'!S150)</f>
        <v/>
      </c>
      <c r="Q146" s="1" t="str">
        <f aca="false">IF('5. Gantt EQUIFILLES'!B150="","",'5. Gantt EQUIFILLES'!T150)</f>
        <v/>
      </c>
      <c r="R146" s="1" t="str">
        <f aca="false">IF('5. Gantt EQUIFILLES'!B150="","",'5. Gantt EQUIFILLES'!U150)</f>
        <v/>
      </c>
    </row>
    <row r="147" customFormat="false" ht="15" hidden="false" customHeight="true" outlineLevel="0" collapsed="false">
      <c r="A147" s="1" t="str">
        <f aca="false">IF('5. Gantt EQUIFILLES'!B151="","","EQUIFILLES")</f>
        <v/>
      </c>
      <c r="B147" s="1" t="str">
        <f aca="false">IF('5. Gantt EQUIFILLES'!B151="","",'5. Gantt EQUIFILLES'!B151)</f>
        <v/>
      </c>
      <c r="C147" s="1" t="str">
        <f aca="false">IF('5. Gantt EQUIFILLES'!B151="","",'5. Gantt EQUIFILLES'!C151)</f>
        <v/>
      </c>
      <c r="D147" s="1" t="str">
        <f aca="false">IF('5. Gantt EQUIFILLES'!B151="","",'5. Gantt EQUIFILLES'!D151)</f>
        <v/>
      </c>
      <c r="E147" s="1" t="str">
        <f aca="false">IF('5. Gantt EQUIFILLES'!B151="","",'5. Gantt EQUIFILLES'!E151)</f>
        <v/>
      </c>
      <c r="F147" s="1" t="str">
        <f aca="false">IF('5. Gantt EQUIFILLES'!B151="","",'5. Gantt EQUIFILLES'!G151)</f>
        <v/>
      </c>
      <c r="G147" s="167" t="str">
        <f aca="false">IF('5. Gantt EQUIFILLES'!B151="","",'5. Gantt EQUIFILLES'!H151)</f>
        <v/>
      </c>
      <c r="H147" s="167" t="str">
        <f aca="false">IF('5. Gantt EQUIFILLES'!B151="","",'5. Gantt EQUIFILLES'!I151)</f>
        <v/>
      </c>
      <c r="I147" s="167" t="str">
        <f aca="false">IF('5. Gantt EQUIFILLES'!B151="","",'5. Gantt EQUIFILLES'!K151)</f>
        <v/>
      </c>
      <c r="J147" s="168" t="str">
        <f aca="false">IF('5. Gantt EQUIFILLES'!B151="","",'5. Gantt EQUIFILLES'!M151)</f>
        <v/>
      </c>
      <c r="K147" s="168" t="str">
        <f aca="false">IF('5. Gantt EQUIFILLES'!B151="","",'5. Gantt EQUIFILLES'!N151)</f>
        <v/>
      </c>
      <c r="L147" s="169" t="str">
        <f aca="false">IF('5. Gantt EQUIFILLES'!B151="","",'5. Gantt EQUIFILLES'!O151)</f>
        <v/>
      </c>
      <c r="M147" s="169" t="str">
        <f aca="false">IF('5. Gantt EQUIFILLES'!B151="","",'5. Gantt EQUIFILLES'!P151)</f>
        <v/>
      </c>
      <c r="N147" s="1" t="str">
        <f aca="false">IF('5. Gantt EQUIFILLES'!B151="","",'5. Gantt EQUIFILLES'!Q151)</f>
        <v/>
      </c>
      <c r="O147" s="1" t="str">
        <f aca="false">IF('5. Gantt EQUIFILLES'!B151="","",'5. Gantt EQUIFILLES'!R151)</f>
        <v/>
      </c>
      <c r="P147" s="1" t="str">
        <f aca="false">IF('5. Gantt EQUIFILLES'!B151="","",'5. Gantt EQUIFILLES'!S151)</f>
        <v/>
      </c>
      <c r="Q147" s="1" t="str">
        <f aca="false">IF('5. Gantt EQUIFILLES'!B151="","",'5. Gantt EQUIFILLES'!T151)</f>
        <v/>
      </c>
      <c r="R147" s="1" t="str">
        <f aca="false">IF('5. Gantt EQUIFILLES'!B151="","",'5. Gantt EQUIFILLES'!U151)</f>
        <v/>
      </c>
    </row>
    <row r="148" customFormat="false" ht="15" hidden="false" customHeight="true" outlineLevel="0" collapsed="false">
      <c r="A148" s="1" t="str">
        <f aca="false">IF('5. Gantt EQUIFILLES'!B152="","","EQUIFILLES")</f>
        <v/>
      </c>
      <c r="B148" s="1" t="str">
        <f aca="false">IF('5. Gantt EQUIFILLES'!B152="","",'5. Gantt EQUIFILLES'!B152)</f>
        <v/>
      </c>
      <c r="C148" s="1" t="str">
        <f aca="false">IF('5. Gantt EQUIFILLES'!B152="","",'5. Gantt EQUIFILLES'!C152)</f>
        <v/>
      </c>
      <c r="D148" s="1" t="str">
        <f aca="false">IF('5. Gantt EQUIFILLES'!B152="","",'5. Gantt EQUIFILLES'!D152)</f>
        <v/>
      </c>
      <c r="E148" s="1" t="str">
        <f aca="false">IF('5. Gantt EQUIFILLES'!B152="","",'5. Gantt EQUIFILLES'!E152)</f>
        <v/>
      </c>
      <c r="F148" s="1" t="str">
        <f aca="false">IF('5. Gantt EQUIFILLES'!B152="","",'5. Gantt EQUIFILLES'!G152)</f>
        <v/>
      </c>
      <c r="G148" s="167" t="str">
        <f aca="false">IF('5. Gantt EQUIFILLES'!B152="","",'5. Gantt EQUIFILLES'!H152)</f>
        <v/>
      </c>
      <c r="H148" s="167" t="str">
        <f aca="false">IF('5. Gantt EQUIFILLES'!B152="","",'5. Gantt EQUIFILLES'!I152)</f>
        <v/>
      </c>
      <c r="I148" s="167" t="str">
        <f aca="false">IF('5. Gantt EQUIFILLES'!B152="","",'5. Gantt EQUIFILLES'!K152)</f>
        <v/>
      </c>
      <c r="J148" s="168" t="str">
        <f aca="false">IF('5. Gantt EQUIFILLES'!B152="","",'5. Gantt EQUIFILLES'!M152)</f>
        <v/>
      </c>
      <c r="K148" s="168" t="str">
        <f aca="false">IF('5. Gantt EQUIFILLES'!B152="","",'5. Gantt EQUIFILLES'!N152)</f>
        <v/>
      </c>
      <c r="L148" s="169" t="str">
        <f aca="false">IF('5. Gantt EQUIFILLES'!B152="","",'5. Gantt EQUIFILLES'!O152)</f>
        <v/>
      </c>
      <c r="M148" s="169" t="str">
        <f aca="false">IF('5. Gantt EQUIFILLES'!B152="","",'5. Gantt EQUIFILLES'!P152)</f>
        <v/>
      </c>
      <c r="N148" s="1" t="str">
        <f aca="false">IF('5. Gantt EQUIFILLES'!B152="","",'5. Gantt EQUIFILLES'!Q152)</f>
        <v/>
      </c>
      <c r="O148" s="1" t="str">
        <f aca="false">IF('5. Gantt EQUIFILLES'!B152="","",'5. Gantt EQUIFILLES'!R152)</f>
        <v/>
      </c>
      <c r="P148" s="1" t="str">
        <f aca="false">IF('5. Gantt EQUIFILLES'!B152="","",'5. Gantt EQUIFILLES'!S152)</f>
        <v/>
      </c>
      <c r="Q148" s="1" t="str">
        <f aca="false">IF('5. Gantt EQUIFILLES'!B152="","",'5. Gantt EQUIFILLES'!T152)</f>
        <v/>
      </c>
      <c r="R148" s="1" t="str">
        <f aca="false">IF('5. Gantt EQUIFILLES'!B152="","",'5. Gantt EQUIFILLES'!U152)</f>
        <v/>
      </c>
    </row>
    <row r="149" customFormat="false" ht="15" hidden="false" customHeight="true" outlineLevel="0" collapsed="false">
      <c r="A149" s="1" t="str">
        <f aca="false">IF('5. Gantt EQUIFILLES'!B153="","","EQUIFILLES")</f>
        <v/>
      </c>
      <c r="B149" s="1" t="str">
        <f aca="false">IF('5. Gantt EQUIFILLES'!B153="","",'5. Gantt EQUIFILLES'!B153)</f>
        <v/>
      </c>
      <c r="C149" s="1" t="str">
        <f aca="false">IF('5. Gantt EQUIFILLES'!B153="","",'5. Gantt EQUIFILLES'!C153)</f>
        <v/>
      </c>
      <c r="D149" s="1" t="str">
        <f aca="false">IF('5. Gantt EQUIFILLES'!B153="","",'5. Gantt EQUIFILLES'!D153)</f>
        <v/>
      </c>
      <c r="E149" s="1" t="str">
        <f aca="false">IF('5. Gantt EQUIFILLES'!B153="","",'5. Gantt EQUIFILLES'!E153)</f>
        <v/>
      </c>
      <c r="F149" s="1" t="str">
        <f aca="false">IF('5. Gantt EQUIFILLES'!B153="","",'5. Gantt EQUIFILLES'!G153)</f>
        <v/>
      </c>
      <c r="G149" s="167" t="str">
        <f aca="false">IF('5. Gantt EQUIFILLES'!B153="","",'5. Gantt EQUIFILLES'!H153)</f>
        <v/>
      </c>
      <c r="H149" s="167" t="str">
        <f aca="false">IF('5. Gantt EQUIFILLES'!B153="","",'5. Gantt EQUIFILLES'!I153)</f>
        <v/>
      </c>
      <c r="I149" s="167" t="str">
        <f aca="false">IF('5. Gantt EQUIFILLES'!B153="","",'5. Gantt EQUIFILLES'!K153)</f>
        <v/>
      </c>
      <c r="J149" s="168" t="str">
        <f aca="false">IF('5. Gantt EQUIFILLES'!B153="","",'5. Gantt EQUIFILLES'!M153)</f>
        <v/>
      </c>
      <c r="K149" s="168" t="str">
        <f aca="false">IF('5. Gantt EQUIFILLES'!B153="","",'5. Gantt EQUIFILLES'!N153)</f>
        <v/>
      </c>
      <c r="L149" s="169" t="str">
        <f aca="false">IF('5. Gantt EQUIFILLES'!B153="","",'5. Gantt EQUIFILLES'!O153)</f>
        <v/>
      </c>
      <c r="M149" s="169" t="str">
        <f aca="false">IF('5. Gantt EQUIFILLES'!B153="","",'5. Gantt EQUIFILLES'!P153)</f>
        <v/>
      </c>
      <c r="N149" s="1" t="str">
        <f aca="false">IF('5. Gantt EQUIFILLES'!B153="","",'5. Gantt EQUIFILLES'!Q153)</f>
        <v/>
      </c>
      <c r="O149" s="1" t="str">
        <f aca="false">IF('5. Gantt EQUIFILLES'!B153="","",'5. Gantt EQUIFILLES'!R153)</f>
        <v/>
      </c>
      <c r="P149" s="1" t="str">
        <f aca="false">IF('5. Gantt EQUIFILLES'!B153="","",'5. Gantt EQUIFILLES'!S153)</f>
        <v/>
      </c>
      <c r="Q149" s="1" t="str">
        <f aca="false">IF('5. Gantt EQUIFILLES'!B153="","",'5. Gantt EQUIFILLES'!T153)</f>
        <v/>
      </c>
      <c r="R149" s="1" t="str">
        <f aca="false">IF('5. Gantt EQUIFILLES'!B153="","",'5. Gantt EQUIFILLES'!U153)</f>
        <v/>
      </c>
    </row>
    <row r="150" customFormat="false" ht="15" hidden="false" customHeight="true" outlineLevel="0" collapsed="false">
      <c r="A150" s="1" t="str">
        <f aca="false">IF('5. Gantt EQUIFILLES'!B154="","","EQUIFILLES")</f>
        <v/>
      </c>
      <c r="B150" s="1" t="str">
        <f aca="false">IF('5. Gantt EQUIFILLES'!B154="","",'5. Gantt EQUIFILLES'!B154)</f>
        <v/>
      </c>
      <c r="C150" s="1" t="str">
        <f aca="false">IF('5. Gantt EQUIFILLES'!B154="","",'5. Gantt EQUIFILLES'!C154)</f>
        <v/>
      </c>
      <c r="D150" s="1" t="str">
        <f aca="false">IF('5. Gantt EQUIFILLES'!B154="","",'5. Gantt EQUIFILLES'!D154)</f>
        <v/>
      </c>
      <c r="E150" s="1" t="str">
        <f aca="false">IF('5. Gantt EQUIFILLES'!B154="","",'5. Gantt EQUIFILLES'!E154)</f>
        <v/>
      </c>
      <c r="F150" s="1" t="str">
        <f aca="false">IF('5. Gantt EQUIFILLES'!B154="","",'5. Gantt EQUIFILLES'!G154)</f>
        <v/>
      </c>
      <c r="G150" s="167" t="str">
        <f aca="false">IF('5. Gantt EQUIFILLES'!B154="","",'5. Gantt EQUIFILLES'!H154)</f>
        <v/>
      </c>
      <c r="H150" s="167" t="str">
        <f aca="false">IF('5. Gantt EQUIFILLES'!B154="","",'5. Gantt EQUIFILLES'!I154)</f>
        <v/>
      </c>
      <c r="I150" s="167" t="str">
        <f aca="false">IF('5. Gantt EQUIFILLES'!B154="","",'5. Gantt EQUIFILLES'!K154)</f>
        <v/>
      </c>
      <c r="J150" s="168" t="str">
        <f aca="false">IF('5. Gantt EQUIFILLES'!B154="","",'5. Gantt EQUIFILLES'!M154)</f>
        <v/>
      </c>
      <c r="K150" s="168" t="str">
        <f aca="false">IF('5. Gantt EQUIFILLES'!B154="","",'5. Gantt EQUIFILLES'!N154)</f>
        <v/>
      </c>
      <c r="L150" s="169" t="str">
        <f aca="false">IF('5. Gantt EQUIFILLES'!B154="","",'5. Gantt EQUIFILLES'!O154)</f>
        <v/>
      </c>
      <c r="M150" s="169" t="str">
        <f aca="false">IF('5. Gantt EQUIFILLES'!B154="","",'5. Gantt EQUIFILLES'!P154)</f>
        <v/>
      </c>
      <c r="N150" s="1" t="str">
        <f aca="false">IF('5. Gantt EQUIFILLES'!B154="","",'5. Gantt EQUIFILLES'!Q154)</f>
        <v/>
      </c>
      <c r="O150" s="1" t="str">
        <f aca="false">IF('5. Gantt EQUIFILLES'!B154="","",'5. Gantt EQUIFILLES'!R154)</f>
        <v/>
      </c>
      <c r="P150" s="1" t="str">
        <f aca="false">IF('5. Gantt EQUIFILLES'!B154="","",'5. Gantt EQUIFILLES'!S154)</f>
        <v/>
      </c>
      <c r="Q150" s="1" t="str">
        <f aca="false">IF('5. Gantt EQUIFILLES'!B154="","",'5. Gantt EQUIFILLES'!T154)</f>
        <v/>
      </c>
      <c r="R150" s="1" t="str">
        <f aca="false">IF('5. Gantt EQUIFILLES'!B154="","",'5. Gantt EQUIFILLES'!U154)</f>
        <v/>
      </c>
    </row>
    <row r="151" customFormat="false" ht="15" hidden="false" customHeight="true" outlineLevel="0" collapsed="false">
      <c r="A151" s="1" t="str">
        <f aca="false">IF('5. Gantt EQUIFILLES'!B155="","","EQUIFILLES")</f>
        <v/>
      </c>
      <c r="B151" s="1" t="str">
        <f aca="false">IF('5. Gantt EQUIFILLES'!B155="","",'5. Gantt EQUIFILLES'!B155)</f>
        <v/>
      </c>
      <c r="C151" s="1" t="str">
        <f aca="false">IF('5. Gantt EQUIFILLES'!B155="","",'5. Gantt EQUIFILLES'!C155)</f>
        <v/>
      </c>
      <c r="D151" s="1" t="str">
        <f aca="false">IF('5. Gantt EQUIFILLES'!B155="","",'5. Gantt EQUIFILLES'!D155)</f>
        <v/>
      </c>
      <c r="E151" s="1" t="str">
        <f aca="false">IF('5. Gantt EQUIFILLES'!B155="","",'5. Gantt EQUIFILLES'!E155)</f>
        <v/>
      </c>
      <c r="F151" s="1" t="str">
        <f aca="false">IF('5. Gantt EQUIFILLES'!B155="","",'5. Gantt EQUIFILLES'!G155)</f>
        <v/>
      </c>
      <c r="G151" s="167" t="str">
        <f aca="false">IF('5. Gantt EQUIFILLES'!B155="","",'5. Gantt EQUIFILLES'!H155)</f>
        <v/>
      </c>
      <c r="H151" s="167" t="str">
        <f aca="false">IF('5. Gantt EQUIFILLES'!B155="","",'5. Gantt EQUIFILLES'!I155)</f>
        <v/>
      </c>
      <c r="I151" s="167" t="str">
        <f aca="false">IF('5. Gantt EQUIFILLES'!B155="","",'5. Gantt EQUIFILLES'!K155)</f>
        <v/>
      </c>
      <c r="J151" s="168" t="str">
        <f aca="false">IF('5. Gantt EQUIFILLES'!B155="","",'5. Gantt EQUIFILLES'!M155)</f>
        <v/>
      </c>
      <c r="K151" s="168" t="str">
        <f aca="false">IF('5. Gantt EQUIFILLES'!B155="","",'5. Gantt EQUIFILLES'!N155)</f>
        <v/>
      </c>
      <c r="L151" s="169" t="str">
        <f aca="false">IF('5. Gantt EQUIFILLES'!B155="","",'5. Gantt EQUIFILLES'!O155)</f>
        <v/>
      </c>
      <c r="M151" s="169" t="str">
        <f aca="false">IF('5. Gantt EQUIFILLES'!B155="","",'5. Gantt EQUIFILLES'!P155)</f>
        <v/>
      </c>
      <c r="N151" s="1" t="str">
        <f aca="false">IF('5. Gantt EQUIFILLES'!B155="","",'5. Gantt EQUIFILLES'!Q155)</f>
        <v/>
      </c>
      <c r="O151" s="1" t="str">
        <f aca="false">IF('5. Gantt EQUIFILLES'!B155="","",'5. Gantt EQUIFILLES'!R155)</f>
        <v/>
      </c>
      <c r="P151" s="1" t="str">
        <f aca="false">IF('5. Gantt EQUIFILLES'!B155="","",'5. Gantt EQUIFILLES'!S155)</f>
        <v/>
      </c>
      <c r="Q151" s="1" t="str">
        <f aca="false">IF('5. Gantt EQUIFILLES'!B155="","",'5. Gantt EQUIFILLES'!T155)</f>
        <v/>
      </c>
      <c r="R151" s="1" t="str">
        <f aca="false">IF('5. Gantt EQUIFILLES'!B155="","",'5. Gantt EQUIFILLES'!U155)</f>
        <v/>
      </c>
    </row>
    <row r="152" customFormat="false" ht="15" hidden="false" customHeight="true" outlineLevel="0" collapsed="false">
      <c r="A152" s="1" t="str">
        <f aca="false">IF('5. Gantt EQUIFILLES'!B156="","","EQUIFILLES")</f>
        <v/>
      </c>
      <c r="B152" s="1" t="str">
        <f aca="false">IF('5. Gantt EQUIFILLES'!B156="","",'5. Gantt EQUIFILLES'!B156)</f>
        <v/>
      </c>
      <c r="C152" s="1" t="str">
        <f aca="false">IF('5. Gantt EQUIFILLES'!B156="","",'5. Gantt EQUIFILLES'!C156)</f>
        <v/>
      </c>
      <c r="D152" s="1" t="str">
        <f aca="false">IF('5. Gantt EQUIFILLES'!B156="","",'5. Gantt EQUIFILLES'!D156)</f>
        <v/>
      </c>
      <c r="E152" s="1" t="str">
        <f aca="false">IF('5. Gantt EQUIFILLES'!B156="","",'5. Gantt EQUIFILLES'!E156)</f>
        <v/>
      </c>
      <c r="F152" s="1" t="str">
        <f aca="false">IF('5. Gantt EQUIFILLES'!B156="","",'5. Gantt EQUIFILLES'!G156)</f>
        <v/>
      </c>
      <c r="G152" s="167" t="str">
        <f aca="false">IF('5. Gantt EQUIFILLES'!B156="","",'5. Gantt EQUIFILLES'!H156)</f>
        <v/>
      </c>
      <c r="H152" s="167" t="str">
        <f aca="false">IF('5. Gantt EQUIFILLES'!B156="","",'5. Gantt EQUIFILLES'!I156)</f>
        <v/>
      </c>
      <c r="I152" s="167" t="str">
        <f aca="false">IF('5. Gantt EQUIFILLES'!B156="","",'5. Gantt EQUIFILLES'!K156)</f>
        <v/>
      </c>
      <c r="J152" s="168" t="str">
        <f aca="false">IF('5. Gantt EQUIFILLES'!B156="","",'5. Gantt EQUIFILLES'!M156)</f>
        <v/>
      </c>
      <c r="K152" s="168" t="str">
        <f aca="false">IF('5. Gantt EQUIFILLES'!B156="","",'5. Gantt EQUIFILLES'!N156)</f>
        <v/>
      </c>
      <c r="L152" s="169" t="str">
        <f aca="false">IF('5. Gantt EQUIFILLES'!B156="","",'5. Gantt EQUIFILLES'!O156)</f>
        <v/>
      </c>
      <c r="M152" s="169" t="str">
        <f aca="false">IF('5. Gantt EQUIFILLES'!B156="","",'5. Gantt EQUIFILLES'!P156)</f>
        <v/>
      </c>
      <c r="N152" s="1" t="str">
        <f aca="false">IF('5. Gantt EQUIFILLES'!B156="","",'5. Gantt EQUIFILLES'!Q156)</f>
        <v/>
      </c>
      <c r="O152" s="1" t="str">
        <f aca="false">IF('5. Gantt EQUIFILLES'!B156="","",'5. Gantt EQUIFILLES'!R156)</f>
        <v/>
      </c>
      <c r="P152" s="1" t="str">
        <f aca="false">IF('5. Gantt EQUIFILLES'!B156="","",'5. Gantt EQUIFILLES'!S156)</f>
        <v/>
      </c>
      <c r="Q152" s="1" t="str">
        <f aca="false">IF('5. Gantt EQUIFILLES'!B156="","",'5. Gantt EQUIFILLES'!T156)</f>
        <v/>
      </c>
      <c r="R152" s="1" t="str">
        <f aca="false">IF('5. Gantt EQUIFILLES'!B156="","",'5. Gantt EQUIFILLES'!U156)</f>
        <v/>
      </c>
    </row>
    <row r="153" customFormat="false" ht="15" hidden="false" customHeight="true" outlineLevel="0" collapsed="false">
      <c r="A153" s="1" t="str">
        <f aca="false">IF('5. Gantt EQUIFILLES'!B157="","","EQUIFILLES")</f>
        <v/>
      </c>
      <c r="B153" s="1" t="str">
        <f aca="false">IF('5. Gantt EQUIFILLES'!B157="","",'5. Gantt EQUIFILLES'!B157)</f>
        <v/>
      </c>
      <c r="C153" s="1" t="str">
        <f aca="false">IF('5. Gantt EQUIFILLES'!B157="","",'5. Gantt EQUIFILLES'!C157)</f>
        <v/>
      </c>
      <c r="D153" s="1" t="str">
        <f aca="false">IF('5. Gantt EQUIFILLES'!B157="","",'5. Gantt EQUIFILLES'!D157)</f>
        <v/>
      </c>
      <c r="E153" s="1" t="str">
        <f aca="false">IF('5. Gantt EQUIFILLES'!B157="","",'5. Gantt EQUIFILLES'!E157)</f>
        <v/>
      </c>
      <c r="F153" s="1" t="str">
        <f aca="false">IF('5. Gantt EQUIFILLES'!B157="","",'5. Gantt EQUIFILLES'!G157)</f>
        <v/>
      </c>
      <c r="G153" s="167" t="str">
        <f aca="false">IF('5. Gantt EQUIFILLES'!B157="","",'5. Gantt EQUIFILLES'!H157)</f>
        <v/>
      </c>
      <c r="H153" s="167" t="str">
        <f aca="false">IF('5. Gantt EQUIFILLES'!B157="","",'5. Gantt EQUIFILLES'!I157)</f>
        <v/>
      </c>
      <c r="I153" s="167" t="str">
        <f aca="false">IF('5. Gantt EQUIFILLES'!B157="","",'5. Gantt EQUIFILLES'!K157)</f>
        <v/>
      </c>
      <c r="J153" s="168" t="str">
        <f aca="false">IF('5. Gantt EQUIFILLES'!B157="","",'5. Gantt EQUIFILLES'!M157)</f>
        <v/>
      </c>
      <c r="K153" s="168" t="str">
        <f aca="false">IF('5. Gantt EQUIFILLES'!B157="","",'5. Gantt EQUIFILLES'!N157)</f>
        <v/>
      </c>
      <c r="L153" s="169" t="str">
        <f aca="false">IF('5. Gantt EQUIFILLES'!B157="","",'5. Gantt EQUIFILLES'!O157)</f>
        <v/>
      </c>
      <c r="M153" s="169" t="str">
        <f aca="false">IF('5. Gantt EQUIFILLES'!B157="","",'5. Gantt EQUIFILLES'!P157)</f>
        <v/>
      </c>
      <c r="N153" s="1" t="str">
        <f aca="false">IF('5. Gantt EQUIFILLES'!B157="","",'5. Gantt EQUIFILLES'!Q157)</f>
        <v/>
      </c>
      <c r="O153" s="1" t="str">
        <f aca="false">IF('5. Gantt EQUIFILLES'!B157="","",'5. Gantt EQUIFILLES'!R157)</f>
        <v/>
      </c>
      <c r="P153" s="1" t="str">
        <f aca="false">IF('5. Gantt EQUIFILLES'!B157="","",'5. Gantt EQUIFILLES'!S157)</f>
        <v/>
      </c>
      <c r="Q153" s="1" t="str">
        <f aca="false">IF('5. Gantt EQUIFILLES'!B157="","",'5. Gantt EQUIFILLES'!T157)</f>
        <v/>
      </c>
      <c r="R153" s="1" t="str">
        <f aca="false">IF('5. Gantt EQUIFILLES'!B157="","",'5. Gantt EQUIFILLES'!U157)</f>
        <v/>
      </c>
    </row>
    <row r="154" customFormat="false" ht="15" hidden="false" customHeight="true" outlineLevel="0" collapsed="false">
      <c r="A154" s="1" t="str">
        <f aca="false">IF('5. Gantt EQUIFILLES'!B158="","","EQUIFILLES")</f>
        <v/>
      </c>
      <c r="B154" s="1" t="str">
        <f aca="false">IF('5. Gantt EQUIFILLES'!B158="","",'5. Gantt EQUIFILLES'!B158)</f>
        <v/>
      </c>
      <c r="C154" s="1" t="str">
        <f aca="false">IF('5. Gantt EQUIFILLES'!B158="","",'5. Gantt EQUIFILLES'!C158)</f>
        <v/>
      </c>
      <c r="D154" s="1" t="str">
        <f aca="false">IF('5. Gantt EQUIFILLES'!B158="","",'5. Gantt EQUIFILLES'!D158)</f>
        <v/>
      </c>
      <c r="E154" s="1" t="str">
        <f aca="false">IF('5. Gantt EQUIFILLES'!B158="","",'5. Gantt EQUIFILLES'!E158)</f>
        <v/>
      </c>
      <c r="F154" s="1" t="str">
        <f aca="false">IF('5. Gantt EQUIFILLES'!B158="","",'5. Gantt EQUIFILLES'!G158)</f>
        <v/>
      </c>
      <c r="G154" s="167" t="str">
        <f aca="false">IF('5. Gantt EQUIFILLES'!B158="","",'5. Gantt EQUIFILLES'!H158)</f>
        <v/>
      </c>
      <c r="H154" s="167" t="str">
        <f aca="false">IF('5. Gantt EQUIFILLES'!B158="","",'5. Gantt EQUIFILLES'!I158)</f>
        <v/>
      </c>
      <c r="I154" s="167" t="str">
        <f aca="false">IF('5. Gantt EQUIFILLES'!B158="","",'5. Gantt EQUIFILLES'!K158)</f>
        <v/>
      </c>
      <c r="J154" s="168" t="str">
        <f aca="false">IF('5. Gantt EQUIFILLES'!B158="","",'5. Gantt EQUIFILLES'!M158)</f>
        <v/>
      </c>
      <c r="K154" s="168" t="str">
        <f aca="false">IF('5. Gantt EQUIFILLES'!B158="","",'5. Gantt EQUIFILLES'!N158)</f>
        <v/>
      </c>
      <c r="L154" s="169" t="str">
        <f aca="false">IF('5. Gantt EQUIFILLES'!B158="","",'5. Gantt EQUIFILLES'!O158)</f>
        <v/>
      </c>
      <c r="M154" s="169" t="str">
        <f aca="false">IF('5. Gantt EQUIFILLES'!B158="","",'5. Gantt EQUIFILLES'!P158)</f>
        <v/>
      </c>
      <c r="N154" s="1" t="str">
        <f aca="false">IF('5. Gantt EQUIFILLES'!B158="","",'5. Gantt EQUIFILLES'!Q158)</f>
        <v/>
      </c>
      <c r="O154" s="1" t="str">
        <f aca="false">IF('5. Gantt EQUIFILLES'!B158="","",'5. Gantt EQUIFILLES'!R158)</f>
        <v/>
      </c>
      <c r="P154" s="1" t="str">
        <f aca="false">IF('5. Gantt EQUIFILLES'!B158="","",'5. Gantt EQUIFILLES'!S158)</f>
        <v/>
      </c>
      <c r="Q154" s="1" t="str">
        <f aca="false">IF('5. Gantt EQUIFILLES'!B158="","",'5. Gantt EQUIFILLES'!T158)</f>
        <v/>
      </c>
      <c r="R154" s="1" t="str">
        <f aca="false">IF('5. Gantt EQUIFILLES'!B158="","",'5. Gantt EQUIFILLES'!U158)</f>
        <v/>
      </c>
    </row>
    <row r="155" customFormat="false" ht="15" hidden="false" customHeight="true" outlineLevel="0" collapsed="false">
      <c r="A155" s="1" t="str">
        <f aca="false">IF('5. Gantt EQUIFILLES'!B159="","","EQUIFILLES")</f>
        <v/>
      </c>
      <c r="B155" s="1" t="str">
        <f aca="false">IF('5. Gantt EQUIFILLES'!B159="","",'5. Gantt EQUIFILLES'!B159)</f>
        <v/>
      </c>
      <c r="C155" s="1" t="str">
        <f aca="false">IF('5. Gantt EQUIFILLES'!B159="","",'5. Gantt EQUIFILLES'!C159)</f>
        <v/>
      </c>
      <c r="D155" s="1" t="str">
        <f aca="false">IF('5. Gantt EQUIFILLES'!B159="","",'5. Gantt EQUIFILLES'!D159)</f>
        <v/>
      </c>
      <c r="E155" s="1" t="str">
        <f aca="false">IF('5. Gantt EQUIFILLES'!B159="","",'5. Gantt EQUIFILLES'!E159)</f>
        <v/>
      </c>
      <c r="F155" s="1" t="str">
        <f aca="false">IF('5. Gantt EQUIFILLES'!B159="","",'5. Gantt EQUIFILLES'!G159)</f>
        <v/>
      </c>
      <c r="G155" s="167" t="str">
        <f aca="false">IF('5. Gantt EQUIFILLES'!B159="","",'5. Gantt EQUIFILLES'!H159)</f>
        <v/>
      </c>
      <c r="H155" s="167" t="str">
        <f aca="false">IF('5. Gantt EQUIFILLES'!B159="","",'5. Gantt EQUIFILLES'!I159)</f>
        <v/>
      </c>
      <c r="I155" s="167" t="str">
        <f aca="false">IF('5. Gantt EQUIFILLES'!B159="","",'5. Gantt EQUIFILLES'!K159)</f>
        <v/>
      </c>
      <c r="J155" s="168" t="str">
        <f aca="false">IF('5. Gantt EQUIFILLES'!B159="","",'5. Gantt EQUIFILLES'!M159)</f>
        <v/>
      </c>
      <c r="K155" s="168" t="str">
        <f aca="false">IF('5. Gantt EQUIFILLES'!B159="","",'5. Gantt EQUIFILLES'!N159)</f>
        <v/>
      </c>
      <c r="L155" s="169" t="str">
        <f aca="false">IF('5. Gantt EQUIFILLES'!B159="","",'5. Gantt EQUIFILLES'!O159)</f>
        <v/>
      </c>
      <c r="M155" s="169" t="str">
        <f aca="false">IF('5. Gantt EQUIFILLES'!B159="","",'5. Gantt EQUIFILLES'!P159)</f>
        <v/>
      </c>
      <c r="N155" s="1" t="str">
        <f aca="false">IF('5. Gantt EQUIFILLES'!B159="","",'5. Gantt EQUIFILLES'!Q159)</f>
        <v/>
      </c>
      <c r="O155" s="1" t="str">
        <f aca="false">IF('5. Gantt EQUIFILLES'!B159="","",'5. Gantt EQUIFILLES'!R159)</f>
        <v/>
      </c>
      <c r="P155" s="1" t="str">
        <f aca="false">IF('5. Gantt EQUIFILLES'!B159="","",'5. Gantt EQUIFILLES'!S159)</f>
        <v/>
      </c>
      <c r="Q155" s="1" t="str">
        <f aca="false">IF('5. Gantt EQUIFILLES'!B159="","",'5. Gantt EQUIFILLES'!T159)</f>
        <v/>
      </c>
      <c r="R155" s="1" t="str">
        <f aca="false">IF('5. Gantt EQUIFILLES'!B159="","",'5. Gantt EQUIFILLES'!U159)</f>
        <v/>
      </c>
    </row>
    <row r="156" customFormat="false" ht="15" hidden="false" customHeight="true" outlineLevel="0" collapsed="false">
      <c r="A156" s="1" t="str">
        <f aca="false">IF('5. Gantt EQUIFILLES'!B160="","","EQUIFILLES")</f>
        <v/>
      </c>
      <c r="B156" s="1" t="str">
        <f aca="false">IF('5. Gantt EQUIFILLES'!B160="","",'5. Gantt EQUIFILLES'!B160)</f>
        <v/>
      </c>
      <c r="C156" s="1" t="str">
        <f aca="false">IF('5. Gantt EQUIFILLES'!B160="","",'5. Gantt EQUIFILLES'!C160)</f>
        <v/>
      </c>
      <c r="D156" s="1" t="str">
        <f aca="false">IF('5. Gantt EQUIFILLES'!B160="","",'5. Gantt EQUIFILLES'!D160)</f>
        <v/>
      </c>
      <c r="E156" s="1" t="str">
        <f aca="false">IF('5. Gantt EQUIFILLES'!B160="","",'5. Gantt EQUIFILLES'!E160)</f>
        <v/>
      </c>
      <c r="F156" s="1" t="str">
        <f aca="false">IF('5. Gantt EQUIFILLES'!B160="","",'5. Gantt EQUIFILLES'!G160)</f>
        <v/>
      </c>
      <c r="G156" s="167" t="str">
        <f aca="false">IF('5. Gantt EQUIFILLES'!B160="","",'5. Gantt EQUIFILLES'!H160)</f>
        <v/>
      </c>
      <c r="H156" s="167" t="str">
        <f aca="false">IF('5. Gantt EQUIFILLES'!B160="","",'5. Gantt EQUIFILLES'!I160)</f>
        <v/>
      </c>
      <c r="I156" s="167" t="str">
        <f aca="false">IF('5. Gantt EQUIFILLES'!B160="","",'5. Gantt EQUIFILLES'!K160)</f>
        <v/>
      </c>
      <c r="J156" s="168" t="str">
        <f aca="false">IF('5. Gantt EQUIFILLES'!B160="","",'5. Gantt EQUIFILLES'!M160)</f>
        <v/>
      </c>
      <c r="K156" s="168" t="str">
        <f aca="false">IF('5. Gantt EQUIFILLES'!B160="","",'5. Gantt EQUIFILLES'!N160)</f>
        <v/>
      </c>
      <c r="L156" s="169" t="str">
        <f aca="false">IF('5. Gantt EQUIFILLES'!B160="","",'5. Gantt EQUIFILLES'!O160)</f>
        <v/>
      </c>
      <c r="M156" s="169" t="str">
        <f aca="false">IF('5. Gantt EQUIFILLES'!B160="","",'5. Gantt EQUIFILLES'!P160)</f>
        <v/>
      </c>
      <c r="N156" s="1" t="str">
        <f aca="false">IF('5. Gantt EQUIFILLES'!B160="","",'5. Gantt EQUIFILLES'!Q160)</f>
        <v/>
      </c>
      <c r="O156" s="1" t="str">
        <f aca="false">IF('5. Gantt EQUIFILLES'!B160="","",'5. Gantt EQUIFILLES'!R160)</f>
        <v/>
      </c>
      <c r="P156" s="1" t="str">
        <f aca="false">IF('5. Gantt EQUIFILLES'!B160="","",'5. Gantt EQUIFILLES'!S160)</f>
        <v/>
      </c>
      <c r="Q156" s="1" t="str">
        <f aca="false">IF('5. Gantt EQUIFILLES'!B160="","",'5. Gantt EQUIFILLES'!T160)</f>
        <v/>
      </c>
      <c r="R156" s="1" t="str">
        <f aca="false">IF('5. Gantt EQUIFILLES'!B160="","",'5. Gantt EQUIFILLES'!U160)</f>
        <v/>
      </c>
    </row>
    <row r="157" customFormat="false" ht="15" hidden="false" customHeight="true" outlineLevel="0" collapsed="false">
      <c r="A157" s="1" t="str">
        <f aca="false">IF('5. Gantt EQUIFILLES'!B161="","","EQUIFILLES")</f>
        <v/>
      </c>
      <c r="B157" s="1" t="str">
        <f aca="false">IF('5. Gantt EQUIFILLES'!B161="","",'5. Gantt EQUIFILLES'!B161)</f>
        <v/>
      </c>
      <c r="C157" s="1" t="str">
        <f aca="false">IF('5. Gantt EQUIFILLES'!B161="","",'5. Gantt EQUIFILLES'!C161)</f>
        <v/>
      </c>
      <c r="D157" s="1" t="str">
        <f aca="false">IF('5. Gantt EQUIFILLES'!B161="","",'5. Gantt EQUIFILLES'!D161)</f>
        <v/>
      </c>
      <c r="E157" s="1" t="str">
        <f aca="false">IF('5. Gantt EQUIFILLES'!B161="","",'5. Gantt EQUIFILLES'!E161)</f>
        <v/>
      </c>
      <c r="F157" s="1" t="str">
        <f aca="false">IF('5. Gantt EQUIFILLES'!B161="","",'5. Gantt EQUIFILLES'!G161)</f>
        <v/>
      </c>
      <c r="G157" s="167" t="str">
        <f aca="false">IF('5. Gantt EQUIFILLES'!B161="","",'5. Gantt EQUIFILLES'!H161)</f>
        <v/>
      </c>
      <c r="H157" s="167" t="str">
        <f aca="false">IF('5. Gantt EQUIFILLES'!B161="","",'5. Gantt EQUIFILLES'!I161)</f>
        <v/>
      </c>
      <c r="I157" s="167" t="str">
        <f aca="false">IF('5. Gantt EQUIFILLES'!B161="","",'5. Gantt EQUIFILLES'!K161)</f>
        <v/>
      </c>
      <c r="J157" s="168" t="str">
        <f aca="false">IF('5. Gantt EQUIFILLES'!B161="","",'5. Gantt EQUIFILLES'!M161)</f>
        <v/>
      </c>
      <c r="K157" s="168" t="str">
        <f aca="false">IF('5. Gantt EQUIFILLES'!B161="","",'5. Gantt EQUIFILLES'!N161)</f>
        <v/>
      </c>
      <c r="L157" s="169" t="str">
        <f aca="false">IF('5. Gantt EQUIFILLES'!B161="","",'5. Gantt EQUIFILLES'!O161)</f>
        <v/>
      </c>
      <c r="M157" s="169" t="str">
        <f aca="false">IF('5. Gantt EQUIFILLES'!B161="","",'5. Gantt EQUIFILLES'!P161)</f>
        <v/>
      </c>
      <c r="N157" s="1" t="str">
        <f aca="false">IF('5. Gantt EQUIFILLES'!B161="","",'5. Gantt EQUIFILLES'!Q161)</f>
        <v/>
      </c>
      <c r="O157" s="1" t="str">
        <f aca="false">IF('5. Gantt EQUIFILLES'!B161="","",'5. Gantt EQUIFILLES'!R161)</f>
        <v/>
      </c>
      <c r="P157" s="1" t="str">
        <f aca="false">IF('5. Gantt EQUIFILLES'!B161="","",'5. Gantt EQUIFILLES'!S161)</f>
        <v/>
      </c>
      <c r="Q157" s="1" t="str">
        <f aca="false">IF('5. Gantt EQUIFILLES'!B161="","",'5. Gantt EQUIFILLES'!T161)</f>
        <v/>
      </c>
      <c r="R157" s="1" t="str">
        <f aca="false">IF('5. Gantt EQUIFILLES'!B161="","",'5. Gantt EQUIFILLES'!U161)</f>
        <v/>
      </c>
    </row>
    <row r="158" customFormat="false" ht="15" hidden="false" customHeight="true" outlineLevel="0" collapsed="false">
      <c r="A158" s="1" t="str">
        <f aca="false">IF('5. Gantt EQUIFILLES'!B162="","","EQUIFILLES")</f>
        <v/>
      </c>
      <c r="B158" s="1" t="str">
        <f aca="false">IF('5. Gantt EQUIFILLES'!B162="","",'5. Gantt EQUIFILLES'!B162)</f>
        <v/>
      </c>
      <c r="C158" s="1" t="str">
        <f aca="false">IF('5. Gantt EQUIFILLES'!B162="","",'5. Gantt EQUIFILLES'!C162)</f>
        <v/>
      </c>
      <c r="D158" s="1" t="str">
        <f aca="false">IF('5. Gantt EQUIFILLES'!B162="","",'5. Gantt EQUIFILLES'!D162)</f>
        <v/>
      </c>
      <c r="E158" s="1" t="str">
        <f aca="false">IF('5. Gantt EQUIFILLES'!B162="","",'5. Gantt EQUIFILLES'!E162)</f>
        <v/>
      </c>
      <c r="F158" s="1" t="str">
        <f aca="false">IF('5. Gantt EQUIFILLES'!B162="","",'5. Gantt EQUIFILLES'!G162)</f>
        <v/>
      </c>
      <c r="G158" s="167" t="str">
        <f aca="false">IF('5. Gantt EQUIFILLES'!B162="","",'5. Gantt EQUIFILLES'!H162)</f>
        <v/>
      </c>
      <c r="H158" s="167" t="str">
        <f aca="false">IF('5. Gantt EQUIFILLES'!B162="","",'5. Gantt EQUIFILLES'!I162)</f>
        <v/>
      </c>
      <c r="I158" s="167" t="str">
        <f aca="false">IF('5. Gantt EQUIFILLES'!B162="","",'5. Gantt EQUIFILLES'!K162)</f>
        <v/>
      </c>
      <c r="J158" s="168" t="str">
        <f aca="false">IF('5. Gantt EQUIFILLES'!B162="","",'5. Gantt EQUIFILLES'!M162)</f>
        <v/>
      </c>
      <c r="K158" s="168" t="str">
        <f aca="false">IF('5. Gantt EQUIFILLES'!B162="","",'5. Gantt EQUIFILLES'!N162)</f>
        <v/>
      </c>
      <c r="L158" s="169" t="str">
        <f aca="false">IF('5. Gantt EQUIFILLES'!B162="","",'5. Gantt EQUIFILLES'!O162)</f>
        <v/>
      </c>
      <c r="M158" s="169" t="str">
        <f aca="false">IF('5. Gantt EQUIFILLES'!B162="","",'5. Gantt EQUIFILLES'!P162)</f>
        <v/>
      </c>
      <c r="N158" s="1" t="str">
        <f aca="false">IF('5. Gantt EQUIFILLES'!B162="","",'5. Gantt EQUIFILLES'!Q162)</f>
        <v/>
      </c>
      <c r="O158" s="1" t="str">
        <f aca="false">IF('5. Gantt EQUIFILLES'!B162="","",'5. Gantt EQUIFILLES'!R162)</f>
        <v/>
      </c>
      <c r="P158" s="1" t="str">
        <f aca="false">IF('5. Gantt EQUIFILLES'!B162="","",'5. Gantt EQUIFILLES'!S162)</f>
        <v/>
      </c>
      <c r="Q158" s="1" t="str">
        <f aca="false">IF('5. Gantt EQUIFILLES'!B162="","",'5. Gantt EQUIFILLES'!T162)</f>
        <v/>
      </c>
      <c r="R158" s="1" t="str">
        <f aca="false">IF('5. Gantt EQUIFILLES'!B162="","",'5. Gantt EQUIFILLES'!U162)</f>
        <v/>
      </c>
    </row>
    <row r="159" customFormat="false" ht="15" hidden="false" customHeight="true" outlineLevel="0" collapsed="false">
      <c r="A159" s="1" t="str">
        <f aca="false">IF('5. Gantt EQUIFILLES'!B163="","","EQUIFILLES")</f>
        <v/>
      </c>
      <c r="B159" s="1" t="str">
        <f aca="false">IF('5. Gantt EQUIFILLES'!B163="","",'5. Gantt EQUIFILLES'!B163)</f>
        <v/>
      </c>
      <c r="C159" s="1" t="str">
        <f aca="false">IF('5. Gantt EQUIFILLES'!B163="","",'5. Gantt EQUIFILLES'!C163)</f>
        <v/>
      </c>
      <c r="D159" s="1" t="str">
        <f aca="false">IF('5. Gantt EQUIFILLES'!B163="","",'5. Gantt EQUIFILLES'!D163)</f>
        <v/>
      </c>
      <c r="E159" s="1" t="str">
        <f aca="false">IF('5. Gantt EQUIFILLES'!B163="","",'5. Gantt EQUIFILLES'!E163)</f>
        <v/>
      </c>
      <c r="F159" s="1" t="str">
        <f aca="false">IF('5. Gantt EQUIFILLES'!B163="","",'5. Gantt EQUIFILLES'!G163)</f>
        <v/>
      </c>
      <c r="G159" s="167" t="str">
        <f aca="false">IF('5. Gantt EQUIFILLES'!B163="","",'5. Gantt EQUIFILLES'!H163)</f>
        <v/>
      </c>
      <c r="H159" s="167" t="str">
        <f aca="false">IF('5. Gantt EQUIFILLES'!B163="","",'5. Gantt EQUIFILLES'!I163)</f>
        <v/>
      </c>
      <c r="I159" s="167" t="str">
        <f aca="false">IF('5. Gantt EQUIFILLES'!B163="","",'5. Gantt EQUIFILLES'!K163)</f>
        <v/>
      </c>
      <c r="J159" s="168" t="str">
        <f aca="false">IF('5. Gantt EQUIFILLES'!B163="","",'5. Gantt EQUIFILLES'!M163)</f>
        <v/>
      </c>
      <c r="K159" s="168" t="str">
        <f aca="false">IF('5. Gantt EQUIFILLES'!B163="","",'5. Gantt EQUIFILLES'!N163)</f>
        <v/>
      </c>
      <c r="L159" s="169" t="str">
        <f aca="false">IF('5. Gantt EQUIFILLES'!B163="","",'5. Gantt EQUIFILLES'!O163)</f>
        <v/>
      </c>
      <c r="M159" s="169" t="str">
        <f aca="false">IF('5. Gantt EQUIFILLES'!B163="","",'5. Gantt EQUIFILLES'!P163)</f>
        <v/>
      </c>
      <c r="N159" s="1" t="str">
        <f aca="false">IF('5. Gantt EQUIFILLES'!B163="","",'5. Gantt EQUIFILLES'!Q163)</f>
        <v/>
      </c>
      <c r="O159" s="1" t="str">
        <f aca="false">IF('5. Gantt EQUIFILLES'!B163="","",'5. Gantt EQUIFILLES'!R163)</f>
        <v/>
      </c>
      <c r="P159" s="1" t="str">
        <f aca="false">IF('5. Gantt EQUIFILLES'!B163="","",'5. Gantt EQUIFILLES'!S163)</f>
        <v/>
      </c>
      <c r="Q159" s="1" t="str">
        <f aca="false">IF('5. Gantt EQUIFILLES'!B163="","",'5. Gantt EQUIFILLES'!T163)</f>
        <v/>
      </c>
      <c r="R159" s="1" t="str">
        <f aca="false">IF('5. Gantt EQUIFILLES'!B163="","",'5. Gantt EQUIFILLES'!U163)</f>
        <v/>
      </c>
    </row>
    <row r="160" customFormat="false" ht="15" hidden="false" customHeight="true" outlineLevel="0" collapsed="false">
      <c r="A160" s="1" t="str">
        <f aca="false">IF('5. Gantt EQUIFILLES'!B164="","","EQUIFILLES")</f>
        <v/>
      </c>
      <c r="B160" s="1" t="str">
        <f aca="false">IF('5. Gantt EQUIFILLES'!B164="","",'5. Gantt EQUIFILLES'!B164)</f>
        <v/>
      </c>
      <c r="C160" s="1" t="str">
        <f aca="false">IF('5. Gantt EQUIFILLES'!B164="","",'5. Gantt EQUIFILLES'!C164)</f>
        <v/>
      </c>
      <c r="D160" s="1" t="str">
        <f aca="false">IF('5. Gantt EQUIFILLES'!B164="","",'5. Gantt EQUIFILLES'!D164)</f>
        <v/>
      </c>
      <c r="E160" s="1" t="str">
        <f aca="false">IF('5. Gantt EQUIFILLES'!B164="","",'5. Gantt EQUIFILLES'!E164)</f>
        <v/>
      </c>
      <c r="F160" s="1" t="str">
        <f aca="false">IF('5. Gantt EQUIFILLES'!B164="","",'5. Gantt EQUIFILLES'!G164)</f>
        <v/>
      </c>
      <c r="G160" s="167" t="str">
        <f aca="false">IF('5. Gantt EQUIFILLES'!B164="","",'5. Gantt EQUIFILLES'!H164)</f>
        <v/>
      </c>
      <c r="H160" s="167" t="str">
        <f aca="false">IF('5. Gantt EQUIFILLES'!B164="","",'5. Gantt EQUIFILLES'!I164)</f>
        <v/>
      </c>
      <c r="I160" s="167" t="str">
        <f aca="false">IF('5. Gantt EQUIFILLES'!B164="","",'5. Gantt EQUIFILLES'!K164)</f>
        <v/>
      </c>
      <c r="J160" s="168" t="str">
        <f aca="false">IF('5. Gantt EQUIFILLES'!B164="","",'5. Gantt EQUIFILLES'!M164)</f>
        <v/>
      </c>
      <c r="K160" s="168" t="str">
        <f aca="false">IF('5. Gantt EQUIFILLES'!B164="","",'5. Gantt EQUIFILLES'!N164)</f>
        <v/>
      </c>
      <c r="L160" s="169" t="str">
        <f aca="false">IF('5. Gantt EQUIFILLES'!B164="","",'5. Gantt EQUIFILLES'!O164)</f>
        <v/>
      </c>
      <c r="M160" s="169" t="str">
        <f aca="false">IF('5. Gantt EQUIFILLES'!B164="","",'5. Gantt EQUIFILLES'!P164)</f>
        <v/>
      </c>
      <c r="N160" s="1" t="str">
        <f aca="false">IF('5. Gantt EQUIFILLES'!B164="","",'5. Gantt EQUIFILLES'!Q164)</f>
        <v/>
      </c>
      <c r="O160" s="1" t="str">
        <f aca="false">IF('5. Gantt EQUIFILLES'!B164="","",'5. Gantt EQUIFILLES'!R164)</f>
        <v/>
      </c>
      <c r="P160" s="1" t="str">
        <f aca="false">IF('5. Gantt EQUIFILLES'!B164="","",'5. Gantt EQUIFILLES'!S164)</f>
        <v/>
      </c>
      <c r="Q160" s="1" t="str">
        <f aca="false">IF('5. Gantt EQUIFILLES'!B164="","",'5. Gantt EQUIFILLES'!T164)</f>
        <v/>
      </c>
      <c r="R160" s="1" t="str">
        <f aca="false">IF('5. Gantt EQUIFILLES'!B164="","",'5. Gantt EQUIFILLES'!U164)</f>
        <v/>
      </c>
    </row>
    <row r="161" customFormat="false" ht="15" hidden="false" customHeight="true" outlineLevel="0" collapsed="false">
      <c r="A161" s="1" t="str">
        <f aca="false">IF('5. Gantt EQUIFILLES'!B165="","","EQUIFILLES")</f>
        <v/>
      </c>
      <c r="B161" s="1" t="str">
        <f aca="false">IF('5. Gantt EQUIFILLES'!B165="","",'5. Gantt EQUIFILLES'!B165)</f>
        <v/>
      </c>
      <c r="C161" s="1" t="str">
        <f aca="false">IF('5. Gantt EQUIFILLES'!B165="","",'5. Gantt EQUIFILLES'!C165)</f>
        <v/>
      </c>
      <c r="D161" s="1" t="str">
        <f aca="false">IF('5. Gantt EQUIFILLES'!B165="","",'5. Gantt EQUIFILLES'!D165)</f>
        <v/>
      </c>
      <c r="E161" s="1" t="str">
        <f aca="false">IF('5. Gantt EQUIFILLES'!B165="","",'5. Gantt EQUIFILLES'!E165)</f>
        <v/>
      </c>
      <c r="F161" s="1" t="str">
        <f aca="false">IF('5. Gantt EQUIFILLES'!B165="","",'5. Gantt EQUIFILLES'!G165)</f>
        <v/>
      </c>
      <c r="G161" s="167" t="str">
        <f aca="false">IF('5. Gantt EQUIFILLES'!B165="","",'5. Gantt EQUIFILLES'!H165)</f>
        <v/>
      </c>
      <c r="H161" s="167" t="str">
        <f aca="false">IF('5. Gantt EQUIFILLES'!B165="","",'5. Gantt EQUIFILLES'!I165)</f>
        <v/>
      </c>
      <c r="I161" s="167" t="str">
        <f aca="false">IF('5. Gantt EQUIFILLES'!B165="","",'5. Gantt EQUIFILLES'!K165)</f>
        <v/>
      </c>
      <c r="J161" s="168" t="str">
        <f aca="false">IF('5. Gantt EQUIFILLES'!B165="","",'5. Gantt EQUIFILLES'!M165)</f>
        <v/>
      </c>
      <c r="K161" s="168" t="str">
        <f aca="false">IF('5. Gantt EQUIFILLES'!B165="","",'5. Gantt EQUIFILLES'!N165)</f>
        <v/>
      </c>
      <c r="L161" s="169" t="str">
        <f aca="false">IF('5. Gantt EQUIFILLES'!B165="","",'5. Gantt EQUIFILLES'!O165)</f>
        <v/>
      </c>
      <c r="M161" s="169" t="str">
        <f aca="false">IF('5. Gantt EQUIFILLES'!B165="","",'5. Gantt EQUIFILLES'!P165)</f>
        <v/>
      </c>
      <c r="N161" s="1" t="str">
        <f aca="false">IF('5. Gantt EQUIFILLES'!B165="","",'5. Gantt EQUIFILLES'!Q165)</f>
        <v/>
      </c>
      <c r="O161" s="1" t="str">
        <f aca="false">IF('5. Gantt EQUIFILLES'!B165="","",'5. Gantt EQUIFILLES'!R165)</f>
        <v/>
      </c>
      <c r="P161" s="1" t="str">
        <f aca="false">IF('5. Gantt EQUIFILLES'!B165="","",'5. Gantt EQUIFILLES'!S165)</f>
        <v/>
      </c>
      <c r="Q161" s="1" t="str">
        <f aca="false">IF('5. Gantt EQUIFILLES'!B165="","",'5. Gantt EQUIFILLES'!T165)</f>
        <v/>
      </c>
      <c r="R161" s="1" t="str">
        <f aca="false">IF('5. Gantt EQUIFILLES'!B165="","",'5. Gantt EQUIFILLES'!U165)</f>
        <v/>
      </c>
    </row>
    <row r="162" customFormat="false" ht="15" hidden="false" customHeight="true" outlineLevel="0" collapsed="false">
      <c r="A162" s="1" t="str">
        <f aca="false">IF('5. Gantt EQUIFILLES'!B166="","","EQUIFILLES")</f>
        <v/>
      </c>
      <c r="B162" s="1" t="str">
        <f aca="false">IF('5. Gantt EQUIFILLES'!B166="","",'5. Gantt EQUIFILLES'!B166)</f>
        <v/>
      </c>
      <c r="C162" s="1" t="str">
        <f aca="false">IF('5. Gantt EQUIFILLES'!B166="","",'5. Gantt EQUIFILLES'!C166)</f>
        <v/>
      </c>
      <c r="D162" s="1" t="str">
        <f aca="false">IF('5. Gantt EQUIFILLES'!B166="","",'5. Gantt EQUIFILLES'!D166)</f>
        <v/>
      </c>
      <c r="E162" s="1" t="str">
        <f aca="false">IF('5. Gantt EQUIFILLES'!B166="","",'5. Gantt EQUIFILLES'!E166)</f>
        <v/>
      </c>
      <c r="F162" s="1" t="str">
        <f aca="false">IF('5. Gantt EQUIFILLES'!B166="","",'5. Gantt EQUIFILLES'!G166)</f>
        <v/>
      </c>
      <c r="G162" s="167" t="str">
        <f aca="false">IF('5. Gantt EQUIFILLES'!B166="","",'5. Gantt EQUIFILLES'!H166)</f>
        <v/>
      </c>
      <c r="H162" s="167" t="str">
        <f aca="false">IF('5. Gantt EQUIFILLES'!B166="","",'5. Gantt EQUIFILLES'!I166)</f>
        <v/>
      </c>
      <c r="I162" s="167" t="str">
        <f aca="false">IF('5. Gantt EQUIFILLES'!B166="","",'5. Gantt EQUIFILLES'!K166)</f>
        <v/>
      </c>
      <c r="J162" s="168" t="str">
        <f aca="false">IF('5. Gantt EQUIFILLES'!B166="","",'5. Gantt EQUIFILLES'!M166)</f>
        <v/>
      </c>
      <c r="K162" s="168" t="str">
        <f aca="false">IF('5. Gantt EQUIFILLES'!B166="","",'5. Gantt EQUIFILLES'!N166)</f>
        <v/>
      </c>
      <c r="L162" s="169" t="str">
        <f aca="false">IF('5. Gantt EQUIFILLES'!B166="","",'5. Gantt EQUIFILLES'!O166)</f>
        <v/>
      </c>
      <c r="M162" s="169" t="str">
        <f aca="false">IF('5. Gantt EQUIFILLES'!B166="","",'5. Gantt EQUIFILLES'!P166)</f>
        <v/>
      </c>
      <c r="N162" s="1" t="str">
        <f aca="false">IF('5. Gantt EQUIFILLES'!B166="","",'5. Gantt EQUIFILLES'!Q166)</f>
        <v/>
      </c>
      <c r="O162" s="1" t="str">
        <f aca="false">IF('5. Gantt EQUIFILLES'!B166="","",'5. Gantt EQUIFILLES'!R166)</f>
        <v/>
      </c>
      <c r="P162" s="1" t="str">
        <f aca="false">IF('5. Gantt EQUIFILLES'!B166="","",'5. Gantt EQUIFILLES'!S166)</f>
        <v/>
      </c>
      <c r="Q162" s="1" t="str">
        <f aca="false">IF('5. Gantt EQUIFILLES'!B166="","",'5. Gantt EQUIFILLES'!T166)</f>
        <v/>
      </c>
      <c r="R162" s="1" t="str">
        <f aca="false">IF('5. Gantt EQUIFILLES'!B166="","",'5. Gantt EQUIFILLES'!U166)</f>
        <v/>
      </c>
    </row>
    <row r="163" customFormat="false" ht="15" hidden="false" customHeight="true" outlineLevel="0" collapsed="false">
      <c r="A163" s="1" t="str">
        <f aca="false">IF('5. Gantt EQUIFILLES'!B167="","","EQUIFILLES")</f>
        <v/>
      </c>
      <c r="B163" s="1" t="str">
        <f aca="false">IF('5. Gantt EQUIFILLES'!B167="","",'5. Gantt EQUIFILLES'!B167)</f>
        <v/>
      </c>
      <c r="C163" s="1" t="str">
        <f aca="false">IF('5. Gantt EQUIFILLES'!B167="","",'5. Gantt EQUIFILLES'!C167)</f>
        <v/>
      </c>
      <c r="D163" s="1" t="str">
        <f aca="false">IF('5. Gantt EQUIFILLES'!B167="","",'5. Gantt EQUIFILLES'!D167)</f>
        <v/>
      </c>
      <c r="E163" s="1" t="str">
        <f aca="false">IF('5. Gantt EQUIFILLES'!B167="","",'5. Gantt EQUIFILLES'!E167)</f>
        <v/>
      </c>
      <c r="F163" s="1" t="str">
        <f aca="false">IF('5. Gantt EQUIFILLES'!B167="","",'5. Gantt EQUIFILLES'!G167)</f>
        <v/>
      </c>
      <c r="G163" s="167" t="str">
        <f aca="false">IF('5. Gantt EQUIFILLES'!B167="","",'5. Gantt EQUIFILLES'!H167)</f>
        <v/>
      </c>
      <c r="H163" s="167" t="str">
        <f aca="false">IF('5. Gantt EQUIFILLES'!B167="","",'5. Gantt EQUIFILLES'!I167)</f>
        <v/>
      </c>
      <c r="I163" s="167" t="str">
        <f aca="false">IF('5. Gantt EQUIFILLES'!B167="","",'5. Gantt EQUIFILLES'!K167)</f>
        <v/>
      </c>
      <c r="J163" s="168" t="str">
        <f aca="false">IF('5. Gantt EQUIFILLES'!B167="","",'5. Gantt EQUIFILLES'!M167)</f>
        <v/>
      </c>
      <c r="K163" s="168" t="str">
        <f aca="false">IF('5. Gantt EQUIFILLES'!B167="","",'5. Gantt EQUIFILLES'!N167)</f>
        <v/>
      </c>
      <c r="L163" s="169" t="str">
        <f aca="false">IF('5. Gantt EQUIFILLES'!B167="","",'5. Gantt EQUIFILLES'!O167)</f>
        <v/>
      </c>
      <c r="M163" s="169" t="str">
        <f aca="false">IF('5. Gantt EQUIFILLES'!B167="","",'5. Gantt EQUIFILLES'!P167)</f>
        <v/>
      </c>
      <c r="N163" s="1" t="str">
        <f aca="false">IF('5. Gantt EQUIFILLES'!B167="","",'5. Gantt EQUIFILLES'!Q167)</f>
        <v/>
      </c>
      <c r="O163" s="1" t="str">
        <f aca="false">IF('5. Gantt EQUIFILLES'!B167="","",'5. Gantt EQUIFILLES'!R167)</f>
        <v/>
      </c>
      <c r="P163" s="1" t="str">
        <f aca="false">IF('5. Gantt EQUIFILLES'!B167="","",'5. Gantt EQUIFILLES'!S167)</f>
        <v/>
      </c>
      <c r="Q163" s="1" t="str">
        <f aca="false">IF('5. Gantt EQUIFILLES'!B167="","",'5. Gantt EQUIFILLES'!T167)</f>
        <v/>
      </c>
      <c r="R163" s="1" t="str">
        <f aca="false">IF('5. Gantt EQUIFILLES'!B167="","",'5. Gantt EQUIFILLES'!U167)</f>
        <v/>
      </c>
    </row>
    <row r="164" customFormat="false" ht="15" hidden="false" customHeight="true" outlineLevel="0" collapsed="false">
      <c r="A164" s="1" t="str">
        <f aca="false">IF('5. Gantt EQUIFILLES'!B168="","","EQUIFILLES")</f>
        <v/>
      </c>
      <c r="B164" s="1" t="str">
        <f aca="false">IF('5. Gantt EQUIFILLES'!B168="","",'5. Gantt EQUIFILLES'!B168)</f>
        <v/>
      </c>
      <c r="C164" s="1" t="str">
        <f aca="false">IF('5. Gantt EQUIFILLES'!B168="","",'5. Gantt EQUIFILLES'!C168)</f>
        <v/>
      </c>
      <c r="D164" s="1" t="str">
        <f aca="false">IF('5. Gantt EQUIFILLES'!B168="","",'5. Gantt EQUIFILLES'!D168)</f>
        <v/>
      </c>
      <c r="E164" s="1" t="str">
        <f aca="false">IF('5. Gantt EQUIFILLES'!B168="","",'5. Gantt EQUIFILLES'!E168)</f>
        <v/>
      </c>
      <c r="F164" s="1" t="str">
        <f aca="false">IF('5. Gantt EQUIFILLES'!B168="","",'5. Gantt EQUIFILLES'!G168)</f>
        <v/>
      </c>
      <c r="G164" s="167" t="str">
        <f aca="false">IF('5. Gantt EQUIFILLES'!B168="","",'5. Gantt EQUIFILLES'!H168)</f>
        <v/>
      </c>
      <c r="H164" s="167" t="str">
        <f aca="false">IF('5. Gantt EQUIFILLES'!B168="","",'5. Gantt EQUIFILLES'!I168)</f>
        <v/>
      </c>
      <c r="I164" s="167" t="str">
        <f aca="false">IF('5. Gantt EQUIFILLES'!B168="","",'5. Gantt EQUIFILLES'!K168)</f>
        <v/>
      </c>
      <c r="J164" s="168" t="str">
        <f aca="false">IF('5. Gantt EQUIFILLES'!B168="","",'5. Gantt EQUIFILLES'!M168)</f>
        <v/>
      </c>
      <c r="K164" s="168" t="str">
        <f aca="false">IF('5. Gantt EQUIFILLES'!B168="","",'5. Gantt EQUIFILLES'!N168)</f>
        <v/>
      </c>
      <c r="L164" s="169" t="str">
        <f aca="false">IF('5. Gantt EQUIFILLES'!B168="","",'5. Gantt EQUIFILLES'!O168)</f>
        <v/>
      </c>
      <c r="M164" s="169" t="str">
        <f aca="false">IF('5. Gantt EQUIFILLES'!B168="","",'5. Gantt EQUIFILLES'!P168)</f>
        <v/>
      </c>
      <c r="N164" s="1" t="str">
        <f aca="false">IF('5. Gantt EQUIFILLES'!B168="","",'5. Gantt EQUIFILLES'!Q168)</f>
        <v/>
      </c>
      <c r="O164" s="1" t="str">
        <f aca="false">IF('5. Gantt EQUIFILLES'!B168="","",'5. Gantt EQUIFILLES'!R168)</f>
        <v/>
      </c>
      <c r="P164" s="1" t="str">
        <f aca="false">IF('5. Gantt EQUIFILLES'!B168="","",'5. Gantt EQUIFILLES'!S168)</f>
        <v/>
      </c>
      <c r="Q164" s="1" t="str">
        <f aca="false">IF('5. Gantt EQUIFILLES'!B168="","",'5. Gantt EQUIFILLES'!T168)</f>
        <v/>
      </c>
      <c r="R164" s="1" t="str">
        <f aca="false">IF('5. Gantt EQUIFILLES'!B168="","",'5. Gantt EQUIFILLES'!U168)</f>
        <v/>
      </c>
    </row>
    <row r="165" customFormat="false" ht="15" hidden="false" customHeight="true" outlineLevel="0" collapsed="false">
      <c r="A165" s="1" t="str">
        <f aca="false">IF('5. Gantt EQUIFILLES'!B169="","","EQUIFILLES")</f>
        <v/>
      </c>
      <c r="B165" s="1" t="str">
        <f aca="false">IF('5. Gantt EQUIFILLES'!B169="","",'5. Gantt EQUIFILLES'!B169)</f>
        <v/>
      </c>
      <c r="C165" s="1" t="str">
        <f aca="false">IF('5. Gantt EQUIFILLES'!B169="","",'5. Gantt EQUIFILLES'!C169)</f>
        <v/>
      </c>
      <c r="D165" s="1" t="str">
        <f aca="false">IF('5. Gantt EQUIFILLES'!B169="","",'5. Gantt EQUIFILLES'!D169)</f>
        <v/>
      </c>
      <c r="E165" s="1" t="str">
        <f aca="false">IF('5. Gantt EQUIFILLES'!B169="","",'5. Gantt EQUIFILLES'!E169)</f>
        <v/>
      </c>
      <c r="F165" s="1" t="str">
        <f aca="false">IF('5. Gantt EQUIFILLES'!B169="","",'5. Gantt EQUIFILLES'!G169)</f>
        <v/>
      </c>
      <c r="G165" s="167" t="str">
        <f aca="false">IF('5. Gantt EQUIFILLES'!B169="","",'5. Gantt EQUIFILLES'!H169)</f>
        <v/>
      </c>
      <c r="H165" s="167" t="str">
        <f aca="false">IF('5. Gantt EQUIFILLES'!B169="","",'5. Gantt EQUIFILLES'!I169)</f>
        <v/>
      </c>
      <c r="I165" s="167" t="str">
        <f aca="false">IF('5. Gantt EQUIFILLES'!B169="","",'5. Gantt EQUIFILLES'!K169)</f>
        <v/>
      </c>
      <c r="J165" s="168" t="str">
        <f aca="false">IF('5. Gantt EQUIFILLES'!B169="","",'5. Gantt EQUIFILLES'!M169)</f>
        <v/>
      </c>
      <c r="K165" s="168" t="str">
        <f aca="false">IF('5. Gantt EQUIFILLES'!B169="","",'5. Gantt EQUIFILLES'!N169)</f>
        <v/>
      </c>
      <c r="L165" s="169" t="str">
        <f aca="false">IF('5. Gantt EQUIFILLES'!B169="","",'5. Gantt EQUIFILLES'!O169)</f>
        <v/>
      </c>
      <c r="M165" s="169" t="str">
        <f aca="false">IF('5. Gantt EQUIFILLES'!B169="","",'5. Gantt EQUIFILLES'!P169)</f>
        <v/>
      </c>
      <c r="N165" s="1" t="str">
        <f aca="false">IF('5. Gantt EQUIFILLES'!B169="","",'5. Gantt EQUIFILLES'!Q169)</f>
        <v/>
      </c>
      <c r="O165" s="1" t="str">
        <f aca="false">IF('5. Gantt EQUIFILLES'!B169="","",'5. Gantt EQUIFILLES'!R169)</f>
        <v/>
      </c>
      <c r="P165" s="1" t="str">
        <f aca="false">IF('5. Gantt EQUIFILLES'!B169="","",'5. Gantt EQUIFILLES'!S169)</f>
        <v/>
      </c>
      <c r="Q165" s="1" t="str">
        <f aca="false">IF('5. Gantt EQUIFILLES'!B169="","",'5. Gantt EQUIFILLES'!T169)</f>
        <v/>
      </c>
      <c r="R165" s="1" t="str">
        <f aca="false">IF('5. Gantt EQUIFILLES'!B169="","",'5. Gantt EQUIFILLES'!U169)</f>
        <v/>
      </c>
    </row>
    <row r="166" customFormat="false" ht="15" hidden="false" customHeight="true" outlineLevel="0" collapsed="false">
      <c r="A166" s="1" t="str">
        <f aca="false">IF('5. Gantt EQUIFILLES'!B170="","","EQUIFILLES")</f>
        <v/>
      </c>
      <c r="B166" s="1" t="str">
        <f aca="false">IF('5. Gantt EQUIFILLES'!B170="","",'5. Gantt EQUIFILLES'!B170)</f>
        <v/>
      </c>
      <c r="C166" s="1" t="str">
        <f aca="false">IF('5. Gantt EQUIFILLES'!B170="","",'5. Gantt EQUIFILLES'!C170)</f>
        <v/>
      </c>
      <c r="D166" s="1" t="str">
        <f aca="false">IF('5. Gantt EQUIFILLES'!B170="","",'5. Gantt EQUIFILLES'!D170)</f>
        <v/>
      </c>
      <c r="E166" s="1" t="str">
        <f aca="false">IF('5. Gantt EQUIFILLES'!B170="","",'5. Gantt EQUIFILLES'!E170)</f>
        <v/>
      </c>
      <c r="F166" s="1" t="str">
        <f aca="false">IF('5. Gantt EQUIFILLES'!B170="","",'5. Gantt EQUIFILLES'!G170)</f>
        <v/>
      </c>
      <c r="G166" s="167" t="str">
        <f aca="false">IF('5. Gantt EQUIFILLES'!B170="","",'5. Gantt EQUIFILLES'!H170)</f>
        <v/>
      </c>
      <c r="H166" s="167" t="str">
        <f aca="false">IF('5. Gantt EQUIFILLES'!B170="","",'5. Gantt EQUIFILLES'!I170)</f>
        <v/>
      </c>
      <c r="I166" s="167" t="str">
        <f aca="false">IF('5. Gantt EQUIFILLES'!B170="","",'5. Gantt EQUIFILLES'!K170)</f>
        <v/>
      </c>
      <c r="J166" s="168" t="str">
        <f aca="false">IF('5. Gantt EQUIFILLES'!B170="","",'5. Gantt EQUIFILLES'!M170)</f>
        <v/>
      </c>
      <c r="K166" s="168" t="str">
        <f aca="false">IF('5. Gantt EQUIFILLES'!B170="","",'5. Gantt EQUIFILLES'!N170)</f>
        <v/>
      </c>
      <c r="L166" s="169" t="str">
        <f aca="false">IF('5. Gantt EQUIFILLES'!B170="","",'5. Gantt EQUIFILLES'!O170)</f>
        <v/>
      </c>
      <c r="M166" s="169" t="str">
        <f aca="false">IF('5. Gantt EQUIFILLES'!B170="","",'5. Gantt EQUIFILLES'!P170)</f>
        <v/>
      </c>
      <c r="N166" s="1" t="str">
        <f aca="false">IF('5. Gantt EQUIFILLES'!B170="","",'5. Gantt EQUIFILLES'!Q170)</f>
        <v/>
      </c>
      <c r="O166" s="1" t="str">
        <f aca="false">IF('5. Gantt EQUIFILLES'!B170="","",'5. Gantt EQUIFILLES'!R170)</f>
        <v/>
      </c>
      <c r="P166" s="1" t="str">
        <f aca="false">IF('5. Gantt EQUIFILLES'!B170="","",'5. Gantt EQUIFILLES'!S170)</f>
        <v/>
      </c>
      <c r="Q166" s="1" t="str">
        <f aca="false">IF('5. Gantt EQUIFILLES'!B170="","",'5. Gantt EQUIFILLES'!T170)</f>
        <v/>
      </c>
      <c r="R166" s="1" t="str">
        <f aca="false">IF('5. Gantt EQUIFILLES'!B170="","",'5. Gantt EQUIFILLES'!U170)</f>
        <v/>
      </c>
    </row>
    <row r="167" customFormat="false" ht="15" hidden="false" customHeight="true" outlineLevel="0" collapsed="false">
      <c r="A167" s="1" t="str">
        <f aca="false">IF('5. Gantt EQUIFILLES'!B171="","","EQUIFILLES")</f>
        <v/>
      </c>
      <c r="B167" s="1" t="str">
        <f aca="false">IF('5. Gantt EQUIFILLES'!B171="","",'5. Gantt EQUIFILLES'!B171)</f>
        <v/>
      </c>
      <c r="C167" s="1" t="str">
        <f aca="false">IF('5. Gantt EQUIFILLES'!B171="","",'5. Gantt EQUIFILLES'!C171)</f>
        <v/>
      </c>
      <c r="D167" s="1" t="str">
        <f aca="false">IF('5. Gantt EQUIFILLES'!B171="","",'5. Gantt EQUIFILLES'!D171)</f>
        <v/>
      </c>
      <c r="E167" s="1" t="str">
        <f aca="false">IF('5. Gantt EQUIFILLES'!B171="","",'5. Gantt EQUIFILLES'!E171)</f>
        <v/>
      </c>
      <c r="F167" s="1" t="str">
        <f aca="false">IF('5. Gantt EQUIFILLES'!B171="","",'5. Gantt EQUIFILLES'!G171)</f>
        <v/>
      </c>
      <c r="G167" s="167" t="str">
        <f aca="false">IF('5. Gantt EQUIFILLES'!B171="","",'5. Gantt EQUIFILLES'!H171)</f>
        <v/>
      </c>
      <c r="H167" s="167" t="str">
        <f aca="false">IF('5. Gantt EQUIFILLES'!B171="","",'5. Gantt EQUIFILLES'!I171)</f>
        <v/>
      </c>
      <c r="I167" s="167" t="str">
        <f aca="false">IF('5. Gantt EQUIFILLES'!B171="","",'5. Gantt EQUIFILLES'!K171)</f>
        <v/>
      </c>
      <c r="J167" s="168" t="str">
        <f aca="false">IF('5. Gantt EQUIFILLES'!B171="","",'5. Gantt EQUIFILLES'!M171)</f>
        <v/>
      </c>
      <c r="K167" s="168" t="str">
        <f aca="false">IF('5. Gantt EQUIFILLES'!B171="","",'5. Gantt EQUIFILLES'!N171)</f>
        <v/>
      </c>
      <c r="L167" s="169" t="str">
        <f aca="false">IF('5. Gantt EQUIFILLES'!B171="","",'5. Gantt EQUIFILLES'!O171)</f>
        <v/>
      </c>
      <c r="M167" s="169" t="str">
        <f aca="false">IF('5. Gantt EQUIFILLES'!B171="","",'5. Gantt EQUIFILLES'!P171)</f>
        <v/>
      </c>
      <c r="N167" s="1" t="str">
        <f aca="false">IF('5. Gantt EQUIFILLES'!B171="","",'5. Gantt EQUIFILLES'!Q171)</f>
        <v/>
      </c>
      <c r="O167" s="1" t="str">
        <f aca="false">IF('5. Gantt EQUIFILLES'!B171="","",'5. Gantt EQUIFILLES'!R171)</f>
        <v/>
      </c>
      <c r="P167" s="1" t="str">
        <f aca="false">IF('5. Gantt EQUIFILLES'!B171="","",'5. Gantt EQUIFILLES'!S171)</f>
        <v/>
      </c>
      <c r="Q167" s="1" t="str">
        <f aca="false">IF('5. Gantt EQUIFILLES'!B171="","",'5. Gantt EQUIFILLES'!T171)</f>
        <v/>
      </c>
      <c r="R167" s="1" t="str">
        <f aca="false">IF('5. Gantt EQUIFILLES'!B171="","",'5. Gantt EQUIFILLES'!U171)</f>
        <v/>
      </c>
    </row>
    <row r="168" customFormat="false" ht="15" hidden="false" customHeight="true" outlineLevel="0" collapsed="false">
      <c r="A168" s="1" t="str">
        <f aca="false">IF('5. Gantt EQUIFILLES'!B172="","","EQUIFILLES")</f>
        <v/>
      </c>
      <c r="B168" s="1" t="str">
        <f aca="false">IF('5. Gantt EQUIFILLES'!B172="","",'5. Gantt EQUIFILLES'!B172)</f>
        <v/>
      </c>
      <c r="C168" s="1" t="str">
        <f aca="false">IF('5. Gantt EQUIFILLES'!B172="","",'5. Gantt EQUIFILLES'!C172)</f>
        <v/>
      </c>
      <c r="D168" s="1" t="str">
        <f aca="false">IF('5. Gantt EQUIFILLES'!B172="","",'5. Gantt EQUIFILLES'!D172)</f>
        <v/>
      </c>
      <c r="E168" s="1" t="str">
        <f aca="false">IF('5. Gantt EQUIFILLES'!B172="","",'5. Gantt EQUIFILLES'!E172)</f>
        <v/>
      </c>
      <c r="F168" s="1" t="str">
        <f aca="false">IF('5. Gantt EQUIFILLES'!B172="","",'5. Gantt EQUIFILLES'!G172)</f>
        <v/>
      </c>
      <c r="G168" s="167" t="str">
        <f aca="false">IF('5. Gantt EQUIFILLES'!B172="","",'5. Gantt EQUIFILLES'!H172)</f>
        <v/>
      </c>
      <c r="H168" s="167" t="str">
        <f aca="false">IF('5. Gantt EQUIFILLES'!B172="","",'5. Gantt EQUIFILLES'!I172)</f>
        <v/>
      </c>
      <c r="I168" s="167" t="str">
        <f aca="false">IF('5. Gantt EQUIFILLES'!B172="","",'5. Gantt EQUIFILLES'!K172)</f>
        <v/>
      </c>
      <c r="J168" s="168" t="str">
        <f aca="false">IF('5. Gantt EQUIFILLES'!B172="","",'5. Gantt EQUIFILLES'!M172)</f>
        <v/>
      </c>
      <c r="K168" s="168" t="str">
        <f aca="false">IF('5. Gantt EQUIFILLES'!B172="","",'5. Gantt EQUIFILLES'!N172)</f>
        <v/>
      </c>
      <c r="L168" s="169" t="str">
        <f aca="false">IF('5. Gantt EQUIFILLES'!B172="","",'5. Gantt EQUIFILLES'!O172)</f>
        <v/>
      </c>
      <c r="M168" s="169" t="str">
        <f aca="false">IF('5. Gantt EQUIFILLES'!B172="","",'5. Gantt EQUIFILLES'!P172)</f>
        <v/>
      </c>
      <c r="N168" s="1" t="str">
        <f aca="false">IF('5. Gantt EQUIFILLES'!B172="","",'5. Gantt EQUIFILLES'!Q172)</f>
        <v/>
      </c>
      <c r="O168" s="1" t="str">
        <f aca="false">IF('5. Gantt EQUIFILLES'!B172="","",'5. Gantt EQUIFILLES'!R172)</f>
        <v/>
      </c>
      <c r="P168" s="1" t="str">
        <f aca="false">IF('5. Gantt EQUIFILLES'!B172="","",'5. Gantt EQUIFILLES'!S172)</f>
        <v/>
      </c>
      <c r="Q168" s="1" t="str">
        <f aca="false">IF('5. Gantt EQUIFILLES'!B172="","",'5. Gantt EQUIFILLES'!T172)</f>
        <v/>
      </c>
      <c r="R168" s="1" t="str">
        <f aca="false">IF('5. Gantt EQUIFILLES'!B172="","",'5. Gantt EQUIFILLES'!U172)</f>
        <v/>
      </c>
    </row>
    <row r="169" customFormat="false" ht="15" hidden="false" customHeight="true" outlineLevel="0" collapsed="false">
      <c r="A169" s="1" t="str">
        <f aca="false">IF('5. Gantt EQUIFILLES'!B173="","","EQUIFILLES")</f>
        <v/>
      </c>
      <c r="B169" s="1" t="str">
        <f aca="false">IF('5. Gantt EQUIFILLES'!B173="","",'5. Gantt EQUIFILLES'!B173)</f>
        <v/>
      </c>
      <c r="C169" s="1" t="str">
        <f aca="false">IF('5. Gantt EQUIFILLES'!B173="","",'5. Gantt EQUIFILLES'!C173)</f>
        <v/>
      </c>
      <c r="D169" s="1" t="str">
        <f aca="false">IF('5. Gantt EQUIFILLES'!B173="","",'5. Gantt EQUIFILLES'!D173)</f>
        <v/>
      </c>
      <c r="E169" s="1" t="str">
        <f aca="false">IF('5. Gantt EQUIFILLES'!B173="","",'5. Gantt EQUIFILLES'!E173)</f>
        <v/>
      </c>
      <c r="F169" s="1" t="str">
        <f aca="false">IF('5. Gantt EQUIFILLES'!B173="","",'5. Gantt EQUIFILLES'!G173)</f>
        <v/>
      </c>
      <c r="G169" s="167" t="str">
        <f aca="false">IF('5. Gantt EQUIFILLES'!B173="","",'5. Gantt EQUIFILLES'!H173)</f>
        <v/>
      </c>
      <c r="H169" s="167" t="str">
        <f aca="false">IF('5. Gantt EQUIFILLES'!B173="","",'5. Gantt EQUIFILLES'!I173)</f>
        <v/>
      </c>
      <c r="I169" s="167" t="str">
        <f aca="false">IF('5. Gantt EQUIFILLES'!B173="","",'5. Gantt EQUIFILLES'!K173)</f>
        <v/>
      </c>
      <c r="J169" s="168" t="str">
        <f aca="false">IF('5. Gantt EQUIFILLES'!B173="","",'5. Gantt EQUIFILLES'!M173)</f>
        <v/>
      </c>
      <c r="K169" s="168" t="str">
        <f aca="false">IF('5. Gantt EQUIFILLES'!B173="","",'5. Gantt EQUIFILLES'!N173)</f>
        <v/>
      </c>
      <c r="L169" s="169" t="str">
        <f aca="false">IF('5. Gantt EQUIFILLES'!B173="","",'5. Gantt EQUIFILLES'!O173)</f>
        <v/>
      </c>
      <c r="M169" s="169" t="str">
        <f aca="false">IF('5. Gantt EQUIFILLES'!B173="","",'5. Gantt EQUIFILLES'!P173)</f>
        <v/>
      </c>
      <c r="N169" s="1" t="str">
        <f aca="false">IF('5. Gantt EQUIFILLES'!B173="","",'5. Gantt EQUIFILLES'!Q173)</f>
        <v/>
      </c>
      <c r="O169" s="1" t="str">
        <f aca="false">IF('5. Gantt EQUIFILLES'!B173="","",'5. Gantt EQUIFILLES'!R173)</f>
        <v/>
      </c>
      <c r="P169" s="1" t="str">
        <f aca="false">IF('5. Gantt EQUIFILLES'!B173="","",'5. Gantt EQUIFILLES'!S173)</f>
        <v/>
      </c>
      <c r="Q169" s="1" t="str">
        <f aca="false">IF('5. Gantt EQUIFILLES'!B173="","",'5. Gantt EQUIFILLES'!T173)</f>
        <v/>
      </c>
      <c r="R169" s="1" t="str">
        <f aca="false">IF('5. Gantt EQUIFILLES'!B173="","",'5. Gantt EQUIFILLES'!U173)</f>
        <v/>
      </c>
    </row>
    <row r="170" customFormat="false" ht="15" hidden="false" customHeight="true" outlineLevel="0" collapsed="false">
      <c r="A170" s="1" t="str">
        <f aca="false">IF('5. Gantt EQUIFILLES'!B174="","","EQUIFILLES")</f>
        <v/>
      </c>
      <c r="B170" s="1" t="str">
        <f aca="false">IF('5. Gantt EQUIFILLES'!B174="","",'5. Gantt EQUIFILLES'!B174)</f>
        <v/>
      </c>
      <c r="C170" s="1" t="str">
        <f aca="false">IF('5. Gantt EQUIFILLES'!B174="","",'5. Gantt EQUIFILLES'!C174)</f>
        <v/>
      </c>
      <c r="D170" s="1" t="str">
        <f aca="false">IF('5. Gantt EQUIFILLES'!B174="","",'5. Gantt EQUIFILLES'!D174)</f>
        <v/>
      </c>
      <c r="E170" s="1" t="str">
        <f aca="false">IF('5. Gantt EQUIFILLES'!B174="","",'5. Gantt EQUIFILLES'!E174)</f>
        <v/>
      </c>
      <c r="F170" s="1" t="str">
        <f aca="false">IF('5. Gantt EQUIFILLES'!B174="","",'5. Gantt EQUIFILLES'!G174)</f>
        <v/>
      </c>
      <c r="G170" s="167" t="str">
        <f aca="false">IF('5. Gantt EQUIFILLES'!B174="","",'5. Gantt EQUIFILLES'!H174)</f>
        <v/>
      </c>
      <c r="H170" s="167" t="str">
        <f aca="false">IF('5. Gantt EQUIFILLES'!B174="","",'5. Gantt EQUIFILLES'!I174)</f>
        <v/>
      </c>
      <c r="I170" s="167" t="str">
        <f aca="false">IF('5. Gantt EQUIFILLES'!B174="","",'5. Gantt EQUIFILLES'!K174)</f>
        <v/>
      </c>
      <c r="J170" s="168" t="str">
        <f aca="false">IF('5. Gantt EQUIFILLES'!B174="","",'5. Gantt EQUIFILLES'!M174)</f>
        <v/>
      </c>
      <c r="K170" s="168" t="str">
        <f aca="false">IF('5. Gantt EQUIFILLES'!B174="","",'5. Gantt EQUIFILLES'!N174)</f>
        <v/>
      </c>
      <c r="L170" s="169" t="str">
        <f aca="false">IF('5. Gantt EQUIFILLES'!B174="","",'5. Gantt EQUIFILLES'!O174)</f>
        <v/>
      </c>
      <c r="M170" s="169" t="str">
        <f aca="false">IF('5. Gantt EQUIFILLES'!B174="","",'5. Gantt EQUIFILLES'!P174)</f>
        <v/>
      </c>
      <c r="N170" s="1" t="str">
        <f aca="false">IF('5. Gantt EQUIFILLES'!B174="","",'5. Gantt EQUIFILLES'!Q174)</f>
        <v/>
      </c>
      <c r="O170" s="1" t="str">
        <f aca="false">IF('5. Gantt EQUIFILLES'!B174="","",'5. Gantt EQUIFILLES'!R174)</f>
        <v/>
      </c>
      <c r="P170" s="1" t="str">
        <f aca="false">IF('5. Gantt EQUIFILLES'!B174="","",'5. Gantt EQUIFILLES'!S174)</f>
        <v/>
      </c>
      <c r="Q170" s="1" t="str">
        <f aca="false">IF('5. Gantt EQUIFILLES'!B174="","",'5. Gantt EQUIFILLES'!T174)</f>
        <v/>
      </c>
      <c r="R170" s="1" t="str">
        <f aca="false">IF('5. Gantt EQUIFILLES'!B174="","",'5. Gantt EQUIFILLES'!U174)</f>
        <v/>
      </c>
    </row>
    <row r="171" customFormat="false" ht="15" hidden="false" customHeight="true" outlineLevel="0" collapsed="false">
      <c r="A171" s="1" t="str">
        <f aca="false">IF('5. Gantt EQUIFILLES'!B175="","","EQUIFILLES")</f>
        <v/>
      </c>
      <c r="B171" s="1" t="str">
        <f aca="false">IF('5. Gantt EQUIFILLES'!B175="","",'5. Gantt EQUIFILLES'!B175)</f>
        <v/>
      </c>
      <c r="C171" s="1" t="str">
        <f aca="false">IF('5. Gantt EQUIFILLES'!B175="","",'5. Gantt EQUIFILLES'!C175)</f>
        <v/>
      </c>
      <c r="D171" s="1" t="str">
        <f aca="false">IF('5. Gantt EQUIFILLES'!B175="","",'5. Gantt EQUIFILLES'!D175)</f>
        <v/>
      </c>
      <c r="E171" s="1" t="str">
        <f aca="false">IF('5. Gantt EQUIFILLES'!B175="","",'5. Gantt EQUIFILLES'!E175)</f>
        <v/>
      </c>
      <c r="F171" s="1" t="str">
        <f aca="false">IF('5. Gantt EQUIFILLES'!B175="","",'5. Gantt EQUIFILLES'!G175)</f>
        <v/>
      </c>
      <c r="G171" s="167" t="str">
        <f aca="false">IF('5. Gantt EQUIFILLES'!B175="","",'5. Gantt EQUIFILLES'!H175)</f>
        <v/>
      </c>
      <c r="H171" s="167" t="str">
        <f aca="false">IF('5. Gantt EQUIFILLES'!B175="","",'5. Gantt EQUIFILLES'!I175)</f>
        <v/>
      </c>
      <c r="I171" s="167" t="str">
        <f aca="false">IF('5. Gantt EQUIFILLES'!B175="","",'5. Gantt EQUIFILLES'!K175)</f>
        <v/>
      </c>
      <c r="J171" s="168" t="str">
        <f aca="false">IF('5. Gantt EQUIFILLES'!B175="","",'5. Gantt EQUIFILLES'!M175)</f>
        <v/>
      </c>
      <c r="K171" s="168" t="str">
        <f aca="false">IF('5. Gantt EQUIFILLES'!B175="","",'5. Gantt EQUIFILLES'!N175)</f>
        <v/>
      </c>
      <c r="L171" s="169" t="str">
        <f aca="false">IF('5. Gantt EQUIFILLES'!B175="","",'5. Gantt EQUIFILLES'!O175)</f>
        <v/>
      </c>
      <c r="M171" s="169" t="str">
        <f aca="false">IF('5. Gantt EQUIFILLES'!B175="","",'5. Gantt EQUIFILLES'!P175)</f>
        <v/>
      </c>
      <c r="N171" s="1" t="str">
        <f aca="false">IF('5. Gantt EQUIFILLES'!B175="","",'5. Gantt EQUIFILLES'!Q175)</f>
        <v/>
      </c>
      <c r="O171" s="1" t="str">
        <f aca="false">IF('5. Gantt EQUIFILLES'!B175="","",'5. Gantt EQUIFILLES'!R175)</f>
        <v/>
      </c>
      <c r="P171" s="1" t="str">
        <f aca="false">IF('5. Gantt EQUIFILLES'!B175="","",'5. Gantt EQUIFILLES'!S175)</f>
        <v/>
      </c>
      <c r="Q171" s="1" t="str">
        <f aca="false">IF('5. Gantt EQUIFILLES'!B175="","",'5. Gantt EQUIFILLES'!T175)</f>
        <v/>
      </c>
      <c r="R171" s="1" t="str">
        <f aca="false">IF('5. Gantt EQUIFILLES'!B175="","",'5. Gantt EQUIFILLES'!U175)</f>
        <v/>
      </c>
    </row>
    <row r="172" customFormat="false" ht="15" hidden="false" customHeight="true" outlineLevel="0" collapsed="false">
      <c r="A172" s="1" t="str">
        <f aca="false">IF('5. Gantt EQUIFILLES'!B176="","","EQUIFILLES")</f>
        <v/>
      </c>
      <c r="B172" s="1" t="str">
        <f aca="false">IF('5. Gantt EQUIFILLES'!B176="","",'5. Gantt EQUIFILLES'!B176)</f>
        <v/>
      </c>
      <c r="C172" s="1" t="str">
        <f aca="false">IF('5. Gantt EQUIFILLES'!B176="","",'5. Gantt EQUIFILLES'!C176)</f>
        <v/>
      </c>
      <c r="D172" s="1" t="str">
        <f aca="false">IF('5. Gantt EQUIFILLES'!B176="","",'5. Gantt EQUIFILLES'!D176)</f>
        <v/>
      </c>
      <c r="E172" s="1" t="str">
        <f aca="false">IF('5. Gantt EQUIFILLES'!B176="","",'5. Gantt EQUIFILLES'!E176)</f>
        <v/>
      </c>
      <c r="F172" s="1" t="str">
        <f aca="false">IF('5. Gantt EQUIFILLES'!B176="","",'5. Gantt EQUIFILLES'!G176)</f>
        <v/>
      </c>
      <c r="G172" s="167" t="str">
        <f aca="false">IF('5. Gantt EQUIFILLES'!B176="","",'5. Gantt EQUIFILLES'!H176)</f>
        <v/>
      </c>
      <c r="H172" s="167" t="str">
        <f aca="false">IF('5. Gantt EQUIFILLES'!B176="","",'5. Gantt EQUIFILLES'!I176)</f>
        <v/>
      </c>
      <c r="I172" s="167" t="str">
        <f aca="false">IF('5. Gantt EQUIFILLES'!B176="","",'5. Gantt EQUIFILLES'!K176)</f>
        <v/>
      </c>
      <c r="J172" s="168" t="str">
        <f aca="false">IF('5. Gantt EQUIFILLES'!B176="","",'5. Gantt EQUIFILLES'!M176)</f>
        <v/>
      </c>
      <c r="K172" s="168" t="str">
        <f aca="false">IF('5. Gantt EQUIFILLES'!B176="","",'5. Gantt EQUIFILLES'!N176)</f>
        <v/>
      </c>
      <c r="L172" s="169" t="str">
        <f aca="false">IF('5. Gantt EQUIFILLES'!B176="","",'5. Gantt EQUIFILLES'!O176)</f>
        <v/>
      </c>
      <c r="M172" s="169" t="str">
        <f aca="false">IF('5. Gantt EQUIFILLES'!B176="","",'5. Gantt EQUIFILLES'!P176)</f>
        <v/>
      </c>
      <c r="N172" s="1" t="str">
        <f aca="false">IF('5. Gantt EQUIFILLES'!B176="","",'5. Gantt EQUIFILLES'!Q176)</f>
        <v/>
      </c>
      <c r="O172" s="1" t="str">
        <f aca="false">IF('5. Gantt EQUIFILLES'!B176="","",'5. Gantt EQUIFILLES'!R176)</f>
        <v/>
      </c>
      <c r="P172" s="1" t="str">
        <f aca="false">IF('5. Gantt EQUIFILLES'!B176="","",'5. Gantt EQUIFILLES'!S176)</f>
        <v/>
      </c>
      <c r="Q172" s="1" t="str">
        <f aca="false">IF('5. Gantt EQUIFILLES'!B176="","",'5. Gantt EQUIFILLES'!T176)</f>
        <v/>
      </c>
      <c r="R172" s="1" t="str">
        <f aca="false">IF('5. Gantt EQUIFILLES'!B176="","",'5. Gantt EQUIFILLES'!U176)</f>
        <v/>
      </c>
    </row>
    <row r="173" customFormat="false" ht="15" hidden="false" customHeight="true" outlineLevel="0" collapsed="false">
      <c r="A173" s="1" t="str">
        <f aca="false">IF('5. Gantt EQUIFILLES'!B177="","","EQUIFILLES")</f>
        <v/>
      </c>
      <c r="B173" s="1" t="str">
        <f aca="false">IF('5. Gantt EQUIFILLES'!B177="","",'5. Gantt EQUIFILLES'!B177)</f>
        <v/>
      </c>
      <c r="C173" s="1" t="str">
        <f aca="false">IF('5. Gantt EQUIFILLES'!B177="","",'5. Gantt EQUIFILLES'!C177)</f>
        <v/>
      </c>
      <c r="D173" s="1" t="str">
        <f aca="false">IF('5. Gantt EQUIFILLES'!B177="","",'5. Gantt EQUIFILLES'!D177)</f>
        <v/>
      </c>
      <c r="E173" s="1" t="str">
        <f aca="false">IF('5. Gantt EQUIFILLES'!B177="","",'5. Gantt EQUIFILLES'!E177)</f>
        <v/>
      </c>
      <c r="F173" s="1" t="str">
        <f aca="false">IF('5. Gantt EQUIFILLES'!B177="","",'5. Gantt EQUIFILLES'!G177)</f>
        <v/>
      </c>
      <c r="G173" s="167" t="str">
        <f aca="false">IF('5. Gantt EQUIFILLES'!B177="","",'5. Gantt EQUIFILLES'!H177)</f>
        <v/>
      </c>
      <c r="H173" s="167" t="str">
        <f aca="false">IF('5. Gantt EQUIFILLES'!B177="","",'5. Gantt EQUIFILLES'!I177)</f>
        <v/>
      </c>
      <c r="I173" s="167" t="str">
        <f aca="false">IF('5. Gantt EQUIFILLES'!B177="","",'5. Gantt EQUIFILLES'!K177)</f>
        <v/>
      </c>
      <c r="J173" s="168" t="str">
        <f aca="false">IF('5. Gantt EQUIFILLES'!B177="","",'5. Gantt EQUIFILLES'!M177)</f>
        <v/>
      </c>
      <c r="K173" s="168" t="str">
        <f aca="false">IF('5. Gantt EQUIFILLES'!B177="","",'5. Gantt EQUIFILLES'!N177)</f>
        <v/>
      </c>
      <c r="L173" s="169" t="str">
        <f aca="false">IF('5. Gantt EQUIFILLES'!B177="","",'5. Gantt EQUIFILLES'!O177)</f>
        <v/>
      </c>
      <c r="M173" s="169" t="str">
        <f aca="false">IF('5. Gantt EQUIFILLES'!B177="","",'5. Gantt EQUIFILLES'!P177)</f>
        <v/>
      </c>
      <c r="N173" s="1" t="str">
        <f aca="false">IF('5. Gantt EQUIFILLES'!B177="","",'5. Gantt EQUIFILLES'!Q177)</f>
        <v/>
      </c>
      <c r="O173" s="1" t="str">
        <f aca="false">IF('5. Gantt EQUIFILLES'!B177="","",'5. Gantt EQUIFILLES'!R177)</f>
        <v/>
      </c>
      <c r="P173" s="1" t="str">
        <f aca="false">IF('5. Gantt EQUIFILLES'!B177="","",'5. Gantt EQUIFILLES'!S177)</f>
        <v/>
      </c>
      <c r="Q173" s="1" t="str">
        <f aca="false">IF('5. Gantt EQUIFILLES'!B177="","",'5. Gantt EQUIFILLES'!T177)</f>
        <v/>
      </c>
      <c r="R173" s="1" t="str">
        <f aca="false">IF('5. Gantt EQUIFILLES'!B177="","",'5. Gantt EQUIFILLES'!U177)</f>
        <v/>
      </c>
    </row>
    <row r="174" customFormat="false" ht="15" hidden="false" customHeight="true" outlineLevel="0" collapsed="false">
      <c r="A174" s="1" t="str">
        <f aca="false">IF('5. Gantt EQUIFILLES'!B178="","","EQUIFILLES")</f>
        <v/>
      </c>
      <c r="B174" s="1" t="str">
        <f aca="false">IF('5. Gantt EQUIFILLES'!B178="","",'5. Gantt EQUIFILLES'!B178)</f>
        <v/>
      </c>
      <c r="C174" s="1" t="str">
        <f aca="false">IF('5. Gantt EQUIFILLES'!B178="","",'5. Gantt EQUIFILLES'!C178)</f>
        <v/>
      </c>
      <c r="D174" s="1" t="str">
        <f aca="false">IF('5. Gantt EQUIFILLES'!B178="","",'5. Gantt EQUIFILLES'!D178)</f>
        <v/>
      </c>
      <c r="E174" s="1" t="str">
        <f aca="false">IF('5. Gantt EQUIFILLES'!B178="","",'5. Gantt EQUIFILLES'!E178)</f>
        <v/>
      </c>
      <c r="F174" s="1" t="str">
        <f aca="false">IF('5. Gantt EQUIFILLES'!B178="","",'5. Gantt EQUIFILLES'!G178)</f>
        <v/>
      </c>
      <c r="G174" s="167" t="str">
        <f aca="false">IF('5. Gantt EQUIFILLES'!B178="","",'5. Gantt EQUIFILLES'!H178)</f>
        <v/>
      </c>
      <c r="H174" s="167" t="str">
        <f aca="false">IF('5. Gantt EQUIFILLES'!B178="","",'5. Gantt EQUIFILLES'!I178)</f>
        <v/>
      </c>
      <c r="I174" s="167" t="str">
        <f aca="false">IF('5. Gantt EQUIFILLES'!B178="","",'5. Gantt EQUIFILLES'!K178)</f>
        <v/>
      </c>
      <c r="J174" s="168" t="str">
        <f aca="false">IF('5. Gantt EQUIFILLES'!B178="","",'5. Gantt EQUIFILLES'!M178)</f>
        <v/>
      </c>
      <c r="K174" s="168" t="str">
        <f aca="false">IF('5. Gantt EQUIFILLES'!B178="","",'5. Gantt EQUIFILLES'!N178)</f>
        <v/>
      </c>
      <c r="L174" s="169" t="str">
        <f aca="false">IF('5. Gantt EQUIFILLES'!B178="","",'5. Gantt EQUIFILLES'!O178)</f>
        <v/>
      </c>
      <c r="M174" s="169" t="str">
        <f aca="false">IF('5. Gantt EQUIFILLES'!B178="","",'5. Gantt EQUIFILLES'!P178)</f>
        <v/>
      </c>
      <c r="N174" s="1" t="str">
        <f aca="false">IF('5. Gantt EQUIFILLES'!B178="","",'5. Gantt EQUIFILLES'!Q178)</f>
        <v/>
      </c>
      <c r="O174" s="1" t="str">
        <f aca="false">IF('5. Gantt EQUIFILLES'!B178="","",'5. Gantt EQUIFILLES'!R178)</f>
        <v/>
      </c>
      <c r="P174" s="1" t="str">
        <f aca="false">IF('5. Gantt EQUIFILLES'!B178="","",'5. Gantt EQUIFILLES'!S178)</f>
        <v/>
      </c>
      <c r="Q174" s="1" t="str">
        <f aca="false">IF('5. Gantt EQUIFILLES'!B178="","",'5. Gantt EQUIFILLES'!T178)</f>
        <v/>
      </c>
      <c r="R174" s="1" t="str">
        <f aca="false">IF('5. Gantt EQUIFILLES'!B178="","",'5. Gantt EQUIFILLES'!U178)</f>
        <v/>
      </c>
    </row>
    <row r="175" customFormat="false" ht="15" hidden="false" customHeight="true" outlineLevel="0" collapsed="false">
      <c r="A175" s="1" t="str">
        <f aca="false">IF('5. Gantt EQUIFILLES'!B179="","","EQUIFILLES")</f>
        <v/>
      </c>
      <c r="B175" s="1" t="str">
        <f aca="false">IF('5. Gantt EQUIFILLES'!B179="","",'5. Gantt EQUIFILLES'!B179)</f>
        <v/>
      </c>
      <c r="C175" s="1" t="str">
        <f aca="false">IF('5. Gantt EQUIFILLES'!B179="","",'5. Gantt EQUIFILLES'!C179)</f>
        <v/>
      </c>
      <c r="D175" s="1" t="str">
        <f aca="false">IF('5. Gantt EQUIFILLES'!B179="","",'5. Gantt EQUIFILLES'!D179)</f>
        <v/>
      </c>
      <c r="E175" s="1" t="str">
        <f aca="false">IF('5. Gantt EQUIFILLES'!B179="","",'5. Gantt EQUIFILLES'!E179)</f>
        <v/>
      </c>
      <c r="F175" s="1" t="str">
        <f aca="false">IF('5. Gantt EQUIFILLES'!B179="","",'5. Gantt EQUIFILLES'!G179)</f>
        <v/>
      </c>
      <c r="G175" s="167" t="str">
        <f aca="false">IF('5. Gantt EQUIFILLES'!B179="","",'5. Gantt EQUIFILLES'!H179)</f>
        <v/>
      </c>
      <c r="H175" s="167" t="str">
        <f aca="false">IF('5. Gantt EQUIFILLES'!B179="","",'5. Gantt EQUIFILLES'!I179)</f>
        <v/>
      </c>
      <c r="I175" s="167" t="str">
        <f aca="false">IF('5. Gantt EQUIFILLES'!B179="","",'5. Gantt EQUIFILLES'!K179)</f>
        <v/>
      </c>
      <c r="J175" s="168" t="str">
        <f aca="false">IF('5. Gantt EQUIFILLES'!B179="","",'5. Gantt EQUIFILLES'!M179)</f>
        <v/>
      </c>
      <c r="K175" s="168" t="str">
        <f aca="false">IF('5. Gantt EQUIFILLES'!B179="","",'5. Gantt EQUIFILLES'!N179)</f>
        <v/>
      </c>
      <c r="L175" s="169" t="str">
        <f aca="false">IF('5. Gantt EQUIFILLES'!B179="","",'5. Gantt EQUIFILLES'!O179)</f>
        <v/>
      </c>
      <c r="M175" s="169" t="str">
        <f aca="false">IF('5. Gantt EQUIFILLES'!B179="","",'5. Gantt EQUIFILLES'!P179)</f>
        <v/>
      </c>
      <c r="N175" s="1" t="str">
        <f aca="false">IF('5. Gantt EQUIFILLES'!B179="","",'5. Gantt EQUIFILLES'!Q179)</f>
        <v/>
      </c>
      <c r="O175" s="1" t="str">
        <f aca="false">IF('5. Gantt EQUIFILLES'!B179="","",'5. Gantt EQUIFILLES'!R179)</f>
        <v/>
      </c>
      <c r="P175" s="1" t="str">
        <f aca="false">IF('5. Gantt EQUIFILLES'!B179="","",'5. Gantt EQUIFILLES'!S179)</f>
        <v/>
      </c>
      <c r="Q175" s="1" t="str">
        <f aca="false">IF('5. Gantt EQUIFILLES'!B179="","",'5. Gantt EQUIFILLES'!T179)</f>
        <v/>
      </c>
      <c r="R175" s="1" t="str">
        <f aca="false">IF('5. Gantt EQUIFILLES'!B179="","",'5. Gantt EQUIFILLES'!U179)</f>
        <v/>
      </c>
    </row>
    <row r="176" customFormat="false" ht="15" hidden="false" customHeight="true" outlineLevel="0" collapsed="false">
      <c r="A176" s="1" t="str">
        <f aca="false">IF('5. Gantt EQUIFILLES'!B180="","","EQUIFILLES")</f>
        <v/>
      </c>
      <c r="B176" s="1" t="str">
        <f aca="false">IF('5. Gantt EQUIFILLES'!B180="","",'5. Gantt EQUIFILLES'!B180)</f>
        <v/>
      </c>
      <c r="C176" s="1" t="str">
        <f aca="false">IF('5. Gantt EQUIFILLES'!B180="","",'5. Gantt EQUIFILLES'!C180)</f>
        <v/>
      </c>
      <c r="D176" s="1" t="str">
        <f aca="false">IF('5. Gantt EQUIFILLES'!B180="","",'5. Gantt EQUIFILLES'!D180)</f>
        <v/>
      </c>
      <c r="E176" s="1" t="str">
        <f aca="false">IF('5. Gantt EQUIFILLES'!B180="","",'5. Gantt EQUIFILLES'!E180)</f>
        <v/>
      </c>
      <c r="F176" s="1" t="str">
        <f aca="false">IF('5. Gantt EQUIFILLES'!B180="","",'5. Gantt EQUIFILLES'!G180)</f>
        <v/>
      </c>
      <c r="G176" s="167" t="str">
        <f aca="false">IF('5. Gantt EQUIFILLES'!B180="","",'5. Gantt EQUIFILLES'!H180)</f>
        <v/>
      </c>
      <c r="H176" s="167" t="str">
        <f aca="false">IF('5. Gantt EQUIFILLES'!B180="","",'5. Gantt EQUIFILLES'!I180)</f>
        <v/>
      </c>
      <c r="I176" s="167" t="str">
        <f aca="false">IF('5. Gantt EQUIFILLES'!B180="","",'5. Gantt EQUIFILLES'!K180)</f>
        <v/>
      </c>
      <c r="J176" s="168" t="str">
        <f aca="false">IF('5. Gantt EQUIFILLES'!B180="","",'5. Gantt EQUIFILLES'!M180)</f>
        <v/>
      </c>
      <c r="K176" s="168" t="str">
        <f aca="false">IF('5. Gantt EQUIFILLES'!B180="","",'5. Gantt EQUIFILLES'!N180)</f>
        <v/>
      </c>
      <c r="L176" s="169" t="str">
        <f aca="false">IF('5. Gantt EQUIFILLES'!B180="","",'5. Gantt EQUIFILLES'!O180)</f>
        <v/>
      </c>
      <c r="M176" s="169" t="str">
        <f aca="false">IF('5. Gantt EQUIFILLES'!B180="","",'5. Gantt EQUIFILLES'!P180)</f>
        <v/>
      </c>
      <c r="N176" s="1" t="str">
        <f aca="false">IF('5. Gantt EQUIFILLES'!B180="","",'5. Gantt EQUIFILLES'!Q180)</f>
        <v/>
      </c>
      <c r="O176" s="1" t="str">
        <f aca="false">IF('5. Gantt EQUIFILLES'!B180="","",'5. Gantt EQUIFILLES'!R180)</f>
        <v/>
      </c>
      <c r="P176" s="1" t="str">
        <f aca="false">IF('5. Gantt EQUIFILLES'!B180="","",'5. Gantt EQUIFILLES'!S180)</f>
        <v/>
      </c>
      <c r="Q176" s="1" t="str">
        <f aca="false">IF('5. Gantt EQUIFILLES'!B180="","",'5. Gantt EQUIFILLES'!T180)</f>
        <v/>
      </c>
      <c r="R176" s="1" t="str">
        <f aca="false">IF('5. Gantt EQUIFILLES'!B180="","",'5. Gantt EQUIFILLES'!U180)</f>
        <v/>
      </c>
    </row>
    <row r="177" customFormat="false" ht="15" hidden="false" customHeight="true" outlineLevel="0" collapsed="false">
      <c r="A177" s="1" t="str">
        <f aca="false">IF('5. Gantt EQUIFILLES'!B181="","","EQUIFILLES")</f>
        <v/>
      </c>
      <c r="B177" s="1" t="str">
        <f aca="false">IF('5. Gantt EQUIFILLES'!B181="","",'5. Gantt EQUIFILLES'!B181)</f>
        <v/>
      </c>
      <c r="C177" s="1" t="str">
        <f aca="false">IF('5. Gantt EQUIFILLES'!B181="","",'5. Gantt EQUIFILLES'!C181)</f>
        <v/>
      </c>
      <c r="D177" s="1" t="str">
        <f aca="false">IF('5. Gantt EQUIFILLES'!B181="","",'5. Gantt EQUIFILLES'!D181)</f>
        <v/>
      </c>
      <c r="E177" s="1" t="str">
        <f aca="false">IF('5. Gantt EQUIFILLES'!B181="","",'5. Gantt EQUIFILLES'!E181)</f>
        <v/>
      </c>
      <c r="F177" s="1" t="str">
        <f aca="false">IF('5. Gantt EQUIFILLES'!B181="","",'5. Gantt EQUIFILLES'!G181)</f>
        <v/>
      </c>
      <c r="G177" s="167" t="str">
        <f aca="false">IF('5. Gantt EQUIFILLES'!B181="","",'5. Gantt EQUIFILLES'!H181)</f>
        <v/>
      </c>
      <c r="H177" s="167" t="str">
        <f aca="false">IF('5. Gantt EQUIFILLES'!B181="","",'5. Gantt EQUIFILLES'!I181)</f>
        <v/>
      </c>
      <c r="I177" s="167" t="str">
        <f aca="false">IF('5. Gantt EQUIFILLES'!B181="","",'5. Gantt EQUIFILLES'!K181)</f>
        <v/>
      </c>
      <c r="J177" s="168" t="str">
        <f aca="false">IF('5. Gantt EQUIFILLES'!B181="","",'5. Gantt EQUIFILLES'!M181)</f>
        <v/>
      </c>
      <c r="K177" s="168" t="str">
        <f aca="false">IF('5. Gantt EQUIFILLES'!B181="","",'5. Gantt EQUIFILLES'!N181)</f>
        <v/>
      </c>
      <c r="L177" s="169" t="str">
        <f aca="false">IF('5. Gantt EQUIFILLES'!B181="","",'5. Gantt EQUIFILLES'!O181)</f>
        <v/>
      </c>
      <c r="M177" s="169" t="str">
        <f aca="false">IF('5. Gantt EQUIFILLES'!B181="","",'5. Gantt EQUIFILLES'!P181)</f>
        <v/>
      </c>
      <c r="N177" s="1" t="str">
        <f aca="false">IF('5. Gantt EQUIFILLES'!B181="","",'5. Gantt EQUIFILLES'!Q181)</f>
        <v/>
      </c>
      <c r="O177" s="1" t="str">
        <f aca="false">IF('5. Gantt EQUIFILLES'!B181="","",'5. Gantt EQUIFILLES'!R181)</f>
        <v/>
      </c>
      <c r="P177" s="1" t="str">
        <f aca="false">IF('5. Gantt EQUIFILLES'!B181="","",'5. Gantt EQUIFILLES'!S181)</f>
        <v/>
      </c>
      <c r="Q177" s="1" t="str">
        <f aca="false">IF('5. Gantt EQUIFILLES'!B181="","",'5. Gantt EQUIFILLES'!T181)</f>
        <v/>
      </c>
      <c r="R177" s="1" t="str">
        <f aca="false">IF('5. Gantt EQUIFILLES'!B181="","",'5. Gantt EQUIFILLES'!U181)</f>
        <v/>
      </c>
    </row>
    <row r="178" customFormat="false" ht="15" hidden="false" customHeight="true" outlineLevel="0" collapsed="false">
      <c r="A178" s="1" t="str">
        <f aca="false">IF('5. Gantt EQUIFILLES'!B182="","","EQUIFILLES")</f>
        <v/>
      </c>
      <c r="B178" s="1" t="str">
        <f aca="false">IF('5. Gantt EQUIFILLES'!B182="","",'5. Gantt EQUIFILLES'!B182)</f>
        <v/>
      </c>
      <c r="C178" s="1" t="str">
        <f aca="false">IF('5. Gantt EQUIFILLES'!B182="","",'5. Gantt EQUIFILLES'!C182)</f>
        <v/>
      </c>
      <c r="D178" s="1" t="str">
        <f aca="false">IF('5. Gantt EQUIFILLES'!B182="","",'5. Gantt EQUIFILLES'!D182)</f>
        <v/>
      </c>
      <c r="E178" s="1" t="str">
        <f aca="false">IF('5. Gantt EQUIFILLES'!B182="","",'5. Gantt EQUIFILLES'!E182)</f>
        <v/>
      </c>
      <c r="F178" s="1" t="str">
        <f aca="false">IF('5. Gantt EQUIFILLES'!B182="","",'5. Gantt EQUIFILLES'!G182)</f>
        <v/>
      </c>
      <c r="G178" s="167" t="str">
        <f aca="false">IF('5. Gantt EQUIFILLES'!B182="","",'5. Gantt EQUIFILLES'!H182)</f>
        <v/>
      </c>
      <c r="H178" s="167" t="str">
        <f aca="false">IF('5. Gantt EQUIFILLES'!B182="","",'5. Gantt EQUIFILLES'!I182)</f>
        <v/>
      </c>
      <c r="I178" s="167" t="str">
        <f aca="false">IF('5. Gantt EQUIFILLES'!B182="","",'5. Gantt EQUIFILLES'!K182)</f>
        <v/>
      </c>
      <c r="J178" s="168" t="str">
        <f aca="false">IF('5. Gantt EQUIFILLES'!B182="","",'5. Gantt EQUIFILLES'!M182)</f>
        <v/>
      </c>
      <c r="K178" s="168" t="str">
        <f aca="false">IF('5. Gantt EQUIFILLES'!B182="","",'5. Gantt EQUIFILLES'!N182)</f>
        <v/>
      </c>
      <c r="L178" s="169" t="str">
        <f aca="false">IF('5. Gantt EQUIFILLES'!B182="","",'5. Gantt EQUIFILLES'!O182)</f>
        <v/>
      </c>
      <c r="M178" s="169" t="str">
        <f aca="false">IF('5. Gantt EQUIFILLES'!B182="","",'5. Gantt EQUIFILLES'!P182)</f>
        <v/>
      </c>
      <c r="N178" s="1" t="str">
        <f aca="false">IF('5. Gantt EQUIFILLES'!B182="","",'5. Gantt EQUIFILLES'!Q182)</f>
        <v/>
      </c>
      <c r="O178" s="1" t="str">
        <f aca="false">IF('5. Gantt EQUIFILLES'!B182="","",'5. Gantt EQUIFILLES'!R182)</f>
        <v/>
      </c>
      <c r="P178" s="1" t="str">
        <f aca="false">IF('5. Gantt EQUIFILLES'!B182="","",'5. Gantt EQUIFILLES'!S182)</f>
        <v/>
      </c>
      <c r="Q178" s="1" t="str">
        <f aca="false">IF('5. Gantt EQUIFILLES'!B182="","",'5. Gantt EQUIFILLES'!T182)</f>
        <v/>
      </c>
      <c r="R178" s="1" t="str">
        <f aca="false">IF('5. Gantt EQUIFILLES'!B182="","",'5. Gantt EQUIFILLES'!U182)</f>
        <v/>
      </c>
    </row>
    <row r="179" customFormat="false" ht="15" hidden="false" customHeight="true" outlineLevel="0" collapsed="false">
      <c r="A179" s="1" t="str">
        <f aca="false">IF('5. Gantt EQUIFILLES'!B183="","","EQUIFILLES")</f>
        <v/>
      </c>
      <c r="B179" s="1" t="str">
        <f aca="false">IF('5. Gantt EQUIFILLES'!B183="","",'5. Gantt EQUIFILLES'!B183)</f>
        <v/>
      </c>
      <c r="C179" s="1" t="str">
        <f aca="false">IF('5. Gantt EQUIFILLES'!B183="","",'5. Gantt EQUIFILLES'!C183)</f>
        <v/>
      </c>
      <c r="D179" s="1" t="str">
        <f aca="false">IF('5. Gantt EQUIFILLES'!B183="","",'5. Gantt EQUIFILLES'!D183)</f>
        <v/>
      </c>
      <c r="E179" s="1" t="str">
        <f aca="false">IF('5. Gantt EQUIFILLES'!B183="","",'5. Gantt EQUIFILLES'!E183)</f>
        <v/>
      </c>
      <c r="F179" s="1" t="str">
        <f aca="false">IF('5. Gantt EQUIFILLES'!B183="","",'5. Gantt EQUIFILLES'!G183)</f>
        <v/>
      </c>
      <c r="G179" s="167" t="str">
        <f aca="false">IF('5. Gantt EQUIFILLES'!B183="","",'5. Gantt EQUIFILLES'!H183)</f>
        <v/>
      </c>
      <c r="H179" s="167" t="str">
        <f aca="false">IF('5. Gantt EQUIFILLES'!B183="","",'5. Gantt EQUIFILLES'!I183)</f>
        <v/>
      </c>
      <c r="I179" s="167" t="str">
        <f aca="false">IF('5. Gantt EQUIFILLES'!B183="","",'5. Gantt EQUIFILLES'!K183)</f>
        <v/>
      </c>
      <c r="J179" s="168" t="str">
        <f aca="false">IF('5. Gantt EQUIFILLES'!B183="","",'5. Gantt EQUIFILLES'!M183)</f>
        <v/>
      </c>
      <c r="K179" s="168" t="str">
        <f aca="false">IF('5. Gantt EQUIFILLES'!B183="","",'5. Gantt EQUIFILLES'!N183)</f>
        <v/>
      </c>
      <c r="L179" s="169" t="str">
        <f aca="false">IF('5. Gantt EQUIFILLES'!B183="","",'5. Gantt EQUIFILLES'!O183)</f>
        <v/>
      </c>
      <c r="M179" s="169" t="str">
        <f aca="false">IF('5. Gantt EQUIFILLES'!B183="","",'5. Gantt EQUIFILLES'!P183)</f>
        <v/>
      </c>
      <c r="N179" s="1" t="str">
        <f aca="false">IF('5. Gantt EQUIFILLES'!B183="","",'5. Gantt EQUIFILLES'!Q183)</f>
        <v/>
      </c>
      <c r="O179" s="1" t="str">
        <f aca="false">IF('5. Gantt EQUIFILLES'!B183="","",'5. Gantt EQUIFILLES'!R183)</f>
        <v/>
      </c>
      <c r="P179" s="1" t="str">
        <f aca="false">IF('5. Gantt EQUIFILLES'!B183="","",'5. Gantt EQUIFILLES'!S183)</f>
        <v/>
      </c>
      <c r="Q179" s="1" t="str">
        <f aca="false">IF('5. Gantt EQUIFILLES'!B183="","",'5. Gantt EQUIFILLES'!T183)</f>
        <v/>
      </c>
      <c r="R179" s="1" t="str">
        <f aca="false">IF('5. Gantt EQUIFILLES'!B183="","",'5. Gantt EQUIFILLES'!U183)</f>
        <v/>
      </c>
    </row>
    <row r="180" customFormat="false" ht="15" hidden="false" customHeight="true" outlineLevel="0" collapsed="false">
      <c r="A180" s="1" t="str">
        <f aca="false">IF('5. Gantt EQUIFILLES'!B184="","","EQUIFILLES")</f>
        <v/>
      </c>
      <c r="B180" s="1" t="str">
        <f aca="false">IF('5. Gantt EQUIFILLES'!B184="","",'5. Gantt EQUIFILLES'!B184)</f>
        <v/>
      </c>
      <c r="C180" s="1" t="str">
        <f aca="false">IF('5. Gantt EQUIFILLES'!B184="","",'5. Gantt EQUIFILLES'!C184)</f>
        <v/>
      </c>
      <c r="D180" s="1" t="str">
        <f aca="false">IF('5. Gantt EQUIFILLES'!B184="","",'5. Gantt EQUIFILLES'!D184)</f>
        <v/>
      </c>
      <c r="E180" s="1" t="str">
        <f aca="false">IF('5. Gantt EQUIFILLES'!B184="","",'5. Gantt EQUIFILLES'!E184)</f>
        <v/>
      </c>
      <c r="F180" s="1" t="str">
        <f aca="false">IF('5. Gantt EQUIFILLES'!B184="","",'5. Gantt EQUIFILLES'!G184)</f>
        <v/>
      </c>
      <c r="G180" s="167" t="str">
        <f aca="false">IF('5. Gantt EQUIFILLES'!B184="","",'5. Gantt EQUIFILLES'!H184)</f>
        <v/>
      </c>
      <c r="H180" s="167" t="str">
        <f aca="false">IF('5. Gantt EQUIFILLES'!B184="","",'5. Gantt EQUIFILLES'!I184)</f>
        <v/>
      </c>
      <c r="I180" s="167" t="str">
        <f aca="false">IF('5. Gantt EQUIFILLES'!B184="","",'5. Gantt EQUIFILLES'!K184)</f>
        <v/>
      </c>
      <c r="J180" s="168" t="str">
        <f aca="false">IF('5. Gantt EQUIFILLES'!B184="","",'5. Gantt EQUIFILLES'!M184)</f>
        <v/>
      </c>
      <c r="K180" s="168" t="str">
        <f aca="false">IF('5. Gantt EQUIFILLES'!B184="","",'5. Gantt EQUIFILLES'!N184)</f>
        <v/>
      </c>
      <c r="L180" s="169" t="str">
        <f aca="false">IF('5. Gantt EQUIFILLES'!B184="","",'5. Gantt EQUIFILLES'!O184)</f>
        <v/>
      </c>
      <c r="M180" s="169" t="str">
        <f aca="false">IF('5. Gantt EQUIFILLES'!B184="","",'5. Gantt EQUIFILLES'!P184)</f>
        <v/>
      </c>
      <c r="N180" s="1" t="str">
        <f aca="false">IF('5. Gantt EQUIFILLES'!B184="","",'5. Gantt EQUIFILLES'!Q184)</f>
        <v/>
      </c>
      <c r="O180" s="1" t="str">
        <f aca="false">IF('5. Gantt EQUIFILLES'!B184="","",'5. Gantt EQUIFILLES'!R184)</f>
        <v/>
      </c>
      <c r="P180" s="1" t="str">
        <f aca="false">IF('5. Gantt EQUIFILLES'!B184="","",'5. Gantt EQUIFILLES'!S184)</f>
        <v/>
      </c>
      <c r="Q180" s="1" t="str">
        <f aca="false">IF('5. Gantt EQUIFILLES'!B184="","",'5. Gantt EQUIFILLES'!T184)</f>
        <v/>
      </c>
      <c r="R180" s="1" t="str">
        <f aca="false">IF('5. Gantt EQUIFILLES'!B184="","",'5. Gantt EQUIFILLES'!U184)</f>
        <v/>
      </c>
    </row>
    <row r="181" customFormat="false" ht="15" hidden="false" customHeight="true" outlineLevel="0" collapsed="false">
      <c r="A181" s="1" t="str">
        <f aca="false">IF('5. Gantt EQUIFILLES'!B185="","","EQUIFILLES")</f>
        <v/>
      </c>
      <c r="B181" s="1" t="str">
        <f aca="false">IF('5. Gantt EQUIFILLES'!B185="","",'5. Gantt EQUIFILLES'!B185)</f>
        <v/>
      </c>
      <c r="C181" s="1" t="str">
        <f aca="false">IF('5. Gantt EQUIFILLES'!B185="","",'5. Gantt EQUIFILLES'!C185)</f>
        <v/>
      </c>
      <c r="D181" s="1" t="str">
        <f aca="false">IF('5. Gantt EQUIFILLES'!B185="","",'5. Gantt EQUIFILLES'!D185)</f>
        <v/>
      </c>
      <c r="E181" s="1" t="str">
        <f aca="false">IF('5. Gantt EQUIFILLES'!B185="","",'5. Gantt EQUIFILLES'!E185)</f>
        <v/>
      </c>
      <c r="F181" s="1" t="str">
        <f aca="false">IF('5. Gantt EQUIFILLES'!B185="","",'5. Gantt EQUIFILLES'!G185)</f>
        <v/>
      </c>
      <c r="G181" s="167" t="str">
        <f aca="false">IF('5. Gantt EQUIFILLES'!B185="","",'5. Gantt EQUIFILLES'!H185)</f>
        <v/>
      </c>
      <c r="H181" s="167" t="str">
        <f aca="false">IF('5. Gantt EQUIFILLES'!B185="","",'5. Gantt EQUIFILLES'!I185)</f>
        <v/>
      </c>
      <c r="I181" s="167" t="str">
        <f aca="false">IF('5. Gantt EQUIFILLES'!B185="","",'5. Gantt EQUIFILLES'!K185)</f>
        <v/>
      </c>
      <c r="J181" s="168" t="str">
        <f aca="false">IF('5. Gantt EQUIFILLES'!B185="","",'5. Gantt EQUIFILLES'!M185)</f>
        <v/>
      </c>
      <c r="K181" s="168" t="str">
        <f aca="false">IF('5. Gantt EQUIFILLES'!B185="","",'5. Gantt EQUIFILLES'!N185)</f>
        <v/>
      </c>
      <c r="L181" s="169" t="str">
        <f aca="false">IF('5. Gantt EQUIFILLES'!B185="","",'5. Gantt EQUIFILLES'!O185)</f>
        <v/>
      </c>
      <c r="M181" s="169" t="str">
        <f aca="false">IF('5. Gantt EQUIFILLES'!B185="","",'5. Gantt EQUIFILLES'!P185)</f>
        <v/>
      </c>
      <c r="N181" s="1" t="str">
        <f aca="false">IF('5. Gantt EQUIFILLES'!B185="","",'5. Gantt EQUIFILLES'!Q185)</f>
        <v/>
      </c>
      <c r="O181" s="1" t="str">
        <f aca="false">IF('5. Gantt EQUIFILLES'!B185="","",'5. Gantt EQUIFILLES'!R185)</f>
        <v/>
      </c>
      <c r="P181" s="1" t="str">
        <f aca="false">IF('5. Gantt EQUIFILLES'!B185="","",'5. Gantt EQUIFILLES'!S185)</f>
        <v/>
      </c>
      <c r="Q181" s="1" t="str">
        <f aca="false">IF('5. Gantt EQUIFILLES'!B185="","",'5. Gantt EQUIFILLES'!T185)</f>
        <v/>
      </c>
      <c r="R181" s="1" t="str">
        <f aca="false">IF('5. Gantt EQUIFILLES'!B185="","",'5. Gantt EQUIFILLES'!U185)</f>
        <v/>
      </c>
    </row>
    <row r="182" customFormat="false" ht="15" hidden="false" customHeight="true" outlineLevel="0" collapsed="false">
      <c r="A182" s="1" t="str">
        <f aca="false">IF('5. Gantt EQUIFILLES'!B186="","","EQUIFILLES")</f>
        <v/>
      </c>
      <c r="B182" s="1" t="str">
        <f aca="false">IF('5. Gantt EQUIFILLES'!B186="","",'5. Gantt EQUIFILLES'!B186)</f>
        <v/>
      </c>
      <c r="C182" s="1" t="str">
        <f aca="false">IF('5. Gantt EQUIFILLES'!B186="","",'5. Gantt EQUIFILLES'!C186)</f>
        <v/>
      </c>
      <c r="D182" s="1" t="str">
        <f aca="false">IF('5. Gantt EQUIFILLES'!B186="","",'5. Gantt EQUIFILLES'!D186)</f>
        <v/>
      </c>
      <c r="E182" s="1" t="str">
        <f aca="false">IF('5. Gantt EQUIFILLES'!B186="","",'5. Gantt EQUIFILLES'!E186)</f>
        <v/>
      </c>
      <c r="F182" s="1" t="str">
        <f aca="false">IF('5. Gantt EQUIFILLES'!B186="","",'5. Gantt EQUIFILLES'!G186)</f>
        <v/>
      </c>
      <c r="G182" s="167" t="str">
        <f aca="false">IF('5. Gantt EQUIFILLES'!B186="","",'5. Gantt EQUIFILLES'!H186)</f>
        <v/>
      </c>
      <c r="H182" s="167" t="str">
        <f aca="false">IF('5. Gantt EQUIFILLES'!B186="","",'5. Gantt EQUIFILLES'!I186)</f>
        <v/>
      </c>
      <c r="I182" s="167" t="str">
        <f aca="false">IF('5. Gantt EQUIFILLES'!B186="","",'5. Gantt EQUIFILLES'!K186)</f>
        <v/>
      </c>
      <c r="J182" s="168" t="str">
        <f aca="false">IF('5. Gantt EQUIFILLES'!B186="","",'5. Gantt EQUIFILLES'!M186)</f>
        <v/>
      </c>
      <c r="K182" s="168" t="str">
        <f aca="false">IF('5. Gantt EQUIFILLES'!B186="","",'5. Gantt EQUIFILLES'!N186)</f>
        <v/>
      </c>
      <c r="L182" s="169" t="str">
        <f aca="false">IF('5. Gantt EQUIFILLES'!B186="","",'5. Gantt EQUIFILLES'!O186)</f>
        <v/>
      </c>
      <c r="M182" s="169" t="str">
        <f aca="false">IF('5. Gantt EQUIFILLES'!B186="","",'5. Gantt EQUIFILLES'!P186)</f>
        <v/>
      </c>
      <c r="N182" s="1" t="str">
        <f aca="false">IF('5. Gantt EQUIFILLES'!B186="","",'5. Gantt EQUIFILLES'!Q186)</f>
        <v/>
      </c>
      <c r="O182" s="1" t="str">
        <f aca="false">IF('5. Gantt EQUIFILLES'!B186="","",'5. Gantt EQUIFILLES'!R186)</f>
        <v/>
      </c>
      <c r="P182" s="1" t="str">
        <f aca="false">IF('5. Gantt EQUIFILLES'!B186="","",'5. Gantt EQUIFILLES'!S186)</f>
        <v/>
      </c>
      <c r="Q182" s="1" t="str">
        <f aca="false">IF('5. Gantt EQUIFILLES'!B186="","",'5. Gantt EQUIFILLES'!T186)</f>
        <v/>
      </c>
      <c r="R182" s="1" t="str">
        <f aca="false">IF('5. Gantt EQUIFILLES'!B186="","",'5. Gantt EQUIFILLES'!U186)</f>
        <v/>
      </c>
    </row>
    <row r="183" customFormat="false" ht="15" hidden="false" customHeight="true" outlineLevel="0" collapsed="false">
      <c r="A183" s="1" t="str">
        <f aca="false">IF('5. Gantt EQUIFILLES'!B187="","","EQUIFILLES")</f>
        <v/>
      </c>
      <c r="B183" s="1" t="str">
        <f aca="false">IF('5. Gantt EQUIFILLES'!B187="","",'5. Gantt EQUIFILLES'!B187)</f>
        <v/>
      </c>
      <c r="C183" s="1" t="str">
        <f aca="false">IF('5. Gantt EQUIFILLES'!B187="","",'5. Gantt EQUIFILLES'!C187)</f>
        <v/>
      </c>
      <c r="D183" s="1" t="str">
        <f aca="false">IF('5. Gantt EQUIFILLES'!B187="","",'5. Gantt EQUIFILLES'!D187)</f>
        <v/>
      </c>
      <c r="E183" s="1" t="str">
        <f aca="false">IF('5. Gantt EQUIFILLES'!B187="","",'5. Gantt EQUIFILLES'!E187)</f>
        <v/>
      </c>
      <c r="F183" s="1" t="str">
        <f aca="false">IF('5. Gantt EQUIFILLES'!B187="","",'5. Gantt EQUIFILLES'!G187)</f>
        <v/>
      </c>
      <c r="G183" s="167" t="str">
        <f aca="false">IF('5. Gantt EQUIFILLES'!B187="","",'5. Gantt EQUIFILLES'!H187)</f>
        <v/>
      </c>
      <c r="H183" s="167" t="str">
        <f aca="false">IF('5. Gantt EQUIFILLES'!B187="","",'5. Gantt EQUIFILLES'!I187)</f>
        <v/>
      </c>
      <c r="I183" s="167" t="str">
        <f aca="false">IF('5. Gantt EQUIFILLES'!B187="","",'5. Gantt EQUIFILLES'!K187)</f>
        <v/>
      </c>
      <c r="J183" s="168" t="str">
        <f aca="false">IF('5. Gantt EQUIFILLES'!B187="","",'5. Gantt EQUIFILLES'!M187)</f>
        <v/>
      </c>
      <c r="K183" s="168" t="str">
        <f aca="false">IF('5. Gantt EQUIFILLES'!B187="","",'5. Gantt EQUIFILLES'!N187)</f>
        <v/>
      </c>
      <c r="L183" s="169" t="str">
        <f aca="false">IF('5. Gantt EQUIFILLES'!B187="","",'5. Gantt EQUIFILLES'!O187)</f>
        <v/>
      </c>
      <c r="M183" s="169" t="str">
        <f aca="false">IF('5. Gantt EQUIFILLES'!B187="","",'5. Gantt EQUIFILLES'!P187)</f>
        <v/>
      </c>
      <c r="N183" s="1" t="str">
        <f aca="false">IF('5. Gantt EQUIFILLES'!B187="","",'5. Gantt EQUIFILLES'!Q187)</f>
        <v/>
      </c>
      <c r="O183" s="1" t="str">
        <f aca="false">IF('5. Gantt EQUIFILLES'!B187="","",'5. Gantt EQUIFILLES'!R187)</f>
        <v/>
      </c>
      <c r="P183" s="1" t="str">
        <f aca="false">IF('5. Gantt EQUIFILLES'!B187="","",'5. Gantt EQUIFILLES'!S187)</f>
        <v/>
      </c>
      <c r="Q183" s="1" t="str">
        <f aca="false">IF('5. Gantt EQUIFILLES'!B187="","",'5. Gantt EQUIFILLES'!T187)</f>
        <v/>
      </c>
      <c r="R183" s="1" t="str">
        <f aca="false">IF('5. Gantt EQUIFILLES'!B187="","",'5. Gantt EQUIFILLES'!U187)</f>
        <v/>
      </c>
    </row>
    <row r="184" customFormat="false" ht="15" hidden="false" customHeight="true" outlineLevel="0" collapsed="false">
      <c r="A184" s="1" t="str">
        <f aca="false">IF('5. Gantt EQUIFILLES'!B188="","","EQUIFILLES")</f>
        <v/>
      </c>
      <c r="B184" s="1" t="str">
        <f aca="false">IF('5. Gantt EQUIFILLES'!B188="","",'5. Gantt EQUIFILLES'!B188)</f>
        <v/>
      </c>
      <c r="C184" s="1" t="str">
        <f aca="false">IF('5. Gantt EQUIFILLES'!B188="","",'5. Gantt EQUIFILLES'!C188)</f>
        <v/>
      </c>
      <c r="D184" s="1" t="str">
        <f aca="false">IF('5. Gantt EQUIFILLES'!B188="","",'5. Gantt EQUIFILLES'!D188)</f>
        <v/>
      </c>
      <c r="E184" s="1" t="str">
        <f aca="false">IF('5. Gantt EQUIFILLES'!B188="","",'5. Gantt EQUIFILLES'!E188)</f>
        <v/>
      </c>
      <c r="F184" s="1" t="str">
        <f aca="false">IF('5. Gantt EQUIFILLES'!B188="","",'5. Gantt EQUIFILLES'!G188)</f>
        <v/>
      </c>
      <c r="G184" s="167" t="str">
        <f aca="false">IF('5. Gantt EQUIFILLES'!B188="","",'5. Gantt EQUIFILLES'!H188)</f>
        <v/>
      </c>
      <c r="H184" s="167" t="str">
        <f aca="false">IF('5. Gantt EQUIFILLES'!B188="","",'5. Gantt EQUIFILLES'!I188)</f>
        <v/>
      </c>
      <c r="I184" s="167" t="str">
        <f aca="false">IF('5. Gantt EQUIFILLES'!B188="","",'5. Gantt EQUIFILLES'!K188)</f>
        <v/>
      </c>
      <c r="J184" s="168" t="str">
        <f aca="false">IF('5. Gantt EQUIFILLES'!B188="","",'5. Gantt EQUIFILLES'!M188)</f>
        <v/>
      </c>
      <c r="K184" s="168" t="str">
        <f aca="false">IF('5. Gantt EQUIFILLES'!B188="","",'5. Gantt EQUIFILLES'!N188)</f>
        <v/>
      </c>
      <c r="L184" s="169" t="str">
        <f aca="false">IF('5. Gantt EQUIFILLES'!B188="","",'5. Gantt EQUIFILLES'!O188)</f>
        <v/>
      </c>
      <c r="M184" s="169" t="str">
        <f aca="false">IF('5. Gantt EQUIFILLES'!B188="","",'5. Gantt EQUIFILLES'!P188)</f>
        <v/>
      </c>
      <c r="N184" s="1" t="str">
        <f aca="false">IF('5. Gantt EQUIFILLES'!B188="","",'5. Gantt EQUIFILLES'!Q188)</f>
        <v/>
      </c>
      <c r="O184" s="1" t="str">
        <f aca="false">IF('5. Gantt EQUIFILLES'!B188="","",'5. Gantt EQUIFILLES'!R188)</f>
        <v/>
      </c>
      <c r="P184" s="1" t="str">
        <f aca="false">IF('5. Gantt EQUIFILLES'!B188="","",'5. Gantt EQUIFILLES'!S188)</f>
        <v/>
      </c>
      <c r="Q184" s="1" t="str">
        <f aca="false">IF('5. Gantt EQUIFILLES'!B188="","",'5. Gantt EQUIFILLES'!T188)</f>
        <v/>
      </c>
      <c r="R184" s="1" t="str">
        <f aca="false">IF('5. Gantt EQUIFILLES'!B188="","",'5. Gantt EQUIFILLES'!U188)</f>
        <v/>
      </c>
    </row>
    <row r="185" customFormat="false" ht="15" hidden="false" customHeight="true" outlineLevel="0" collapsed="false">
      <c r="A185" s="1" t="str">
        <f aca="false">IF('5. Gantt EQUIFILLES'!B189="","","EQUIFILLES")</f>
        <v/>
      </c>
      <c r="B185" s="1" t="str">
        <f aca="false">IF('5. Gantt EQUIFILLES'!B189="","",'5. Gantt EQUIFILLES'!B189)</f>
        <v/>
      </c>
      <c r="C185" s="1" t="str">
        <f aca="false">IF('5. Gantt EQUIFILLES'!B189="","",'5. Gantt EQUIFILLES'!C189)</f>
        <v/>
      </c>
      <c r="D185" s="1" t="str">
        <f aca="false">IF('5. Gantt EQUIFILLES'!B189="","",'5. Gantt EQUIFILLES'!D189)</f>
        <v/>
      </c>
      <c r="E185" s="1" t="str">
        <f aca="false">IF('5. Gantt EQUIFILLES'!B189="","",'5. Gantt EQUIFILLES'!E189)</f>
        <v/>
      </c>
      <c r="F185" s="1" t="str">
        <f aca="false">IF('5. Gantt EQUIFILLES'!B189="","",'5. Gantt EQUIFILLES'!G189)</f>
        <v/>
      </c>
      <c r="G185" s="167" t="str">
        <f aca="false">IF('5. Gantt EQUIFILLES'!B189="","",'5. Gantt EQUIFILLES'!H189)</f>
        <v/>
      </c>
      <c r="H185" s="167" t="str">
        <f aca="false">IF('5. Gantt EQUIFILLES'!B189="","",'5. Gantt EQUIFILLES'!I189)</f>
        <v/>
      </c>
      <c r="I185" s="167" t="str">
        <f aca="false">IF('5. Gantt EQUIFILLES'!B189="","",'5. Gantt EQUIFILLES'!K189)</f>
        <v/>
      </c>
      <c r="J185" s="168" t="str">
        <f aca="false">IF('5. Gantt EQUIFILLES'!B189="","",'5. Gantt EQUIFILLES'!M189)</f>
        <v/>
      </c>
      <c r="K185" s="168" t="str">
        <f aca="false">IF('5. Gantt EQUIFILLES'!B189="","",'5. Gantt EQUIFILLES'!N189)</f>
        <v/>
      </c>
      <c r="L185" s="169" t="str">
        <f aca="false">IF('5. Gantt EQUIFILLES'!B189="","",'5. Gantt EQUIFILLES'!O189)</f>
        <v/>
      </c>
      <c r="M185" s="169" t="str">
        <f aca="false">IF('5. Gantt EQUIFILLES'!B189="","",'5. Gantt EQUIFILLES'!P189)</f>
        <v/>
      </c>
      <c r="N185" s="1" t="str">
        <f aca="false">IF('5. Gantt EQUIFILLES'!B189="","",'5. Gantt EQUIFILLES'!Q189)</f>
        <v/>
      </c>
      <c r="O185" s="1" t="str">
        <f aca="false">IF('5. Gantt EQUIFILLES'!B189="","",'5. Gantt EQUIFILLES'!R189)</f>
        <v/>
      </c>
      <c r="P185" s="1" t="str">
        <f aca="false">IF('5. Gantt EQUIFILLES'!B189="","",'5. Gantt EQUIFILLES'!S189)</f>
        <v/>
      </c>
      <c r="Q185" s="1" t="str">
        <f aca="false">IF('5. Gantt EQUIFILLES'!B189="","",'5. Gantt EQUIFILLES'!T189)</f>
        <v/>
      </c>
      <c r="R185" s="1" t="str">
        <f aca="false">IF('5. Gantt EQUIFILLES'!B189="","",'5. Gantt EQUIFILLES'!U189)</f>
        <v/>
      </c>
    </row>
    <row r="186" customFormat="false" ht="15" hidden="false" customHeight="true" outlineLevel="0" collapsed="false">
      <c r="A186" s="1" t="str">
        <f aca="false">IF('5. Gantt EQUIFILLES'!B190="","","EQUIFILLES")</f>
        <v/>
      </c>
      <c r="B186" s="1" t="str">
        <f aca="false">IF('5. Gantt EQUIFILLES'!B190="","",'5. Gantt EQUIFILLES'!B190)</f>
        <v/>
      </c>
      <c r="C186" s="1" t="str">
        <f aca="false">IF('5. Gantt EQUIFILLES'!B190="","",'5. Gantt EQUIFILLES'!C190)</f>
        <v/>
      </c>
      <c r="D186" s="1" t="str">
        <f aca="false">IF('5. Gantt EQUIFILLES'!B190="","",'5. Gantt EQUIFILLES'!D190)</f>
        <v/>
      </c>
      <c r="E186" s="1" t="str">
        <f aca="false">IF('5. Gantt EQUIFILLES'!B190="","",'5. Gantt EQUIFILLES'!E190)</f>
        <v/>
      </c>
      <c r="F186" s="1" t="str">
        <f aca="false">IF('5. Gantt EQUIFILLES'!B190="","",'5. Gantt EQUIFILLES'!G190)</f>
        <v/>
      </c>
      <c r="G186" s="167" t="str">
        <f aca="false">IF('5. Gantt EQUIFILLES'!B190="","",'5. Gantt EQUIFILLES'!H190)</f>
        <v/>
      </c>
      <c r="H186" s="167" t="str">
        <f aca="false">IF('5. Gantt EQUIFILLES'!B190="","",'5. Gantt EQUIFILLES'!I190)</f>
        <v/>
      </c>
      <c r="I186" s="167" t="str">
        <f aca="false">IF('5. Gantt EQUIFILLES'!B190="","",'5. Gantt EQUIFILLES'!K190)</f>
        <v/>
      </c>
      <c r="J186" s="168" t="str">
        <f aca="false">IF('5. Gantt EQUIFILLES'!B190="","",'5. Gantt EQUIFILLES'!M190)</f>
        <v/>
      </c>
      <c r="K186" s="168" t="str">
        <f aca="false">IF('5. Gantt EQUIFILLES'!B190="","",'5. Gantt EQUIFILLES'!N190)</f>
        <v/>
      </c>
      <c r="L186" s="169" t="str">
        <f aca="false">IF('5. Gantt EQUIFILLES'!B190="","",'5. Gantt EQUIFILLES'!O190)</f>
        <v/>
      </c>
      <c r="M186" s="169" t="str">
        <f aca="false">IF('5. Gantt EQUIFILLES'!B190="","",'5. Gantt EQUIFILLES'!P190)</f>
        <v/>
      </c>
      <c r="N186" s="1" t="str">
        <f aca="false">IF('5. Gantt EQUIFILLES'!B190="","",'5. Gantt EQUIFILLES'!Q190)</f>
        <v/>
      </c>
      <c r="O186" s="1" t="str">
        <f aca="false">IF('5. Gantt EQUIFILLES'!B190="","",'5. Gantt EQUIFILLES'!R190)</f>
        <v/>
      </c>
      <c r="P186" s="1" t="str">
        <f aca="false">IF('5. Gantt EQUIFILLES'!B190="","",'5. Gantt EQUIFILLES'!S190)</f>
        <v/>
      </c>
      <c r="Q186" s="1" t="str">
        <f aca="false">IF('5. Gantt EQUIFILLES'!B190="","",'5. Gantt EQUIFILLES'!T190)</f>
        <v/>
      </c>
      <c r="R186" s="1" t="str">
        <f aca="false">IF('5. Gantt EQUIFILLES'!B190="","",'5. Gantt EQUIFILLES'!U190)</f>
        <v/>
      </c>
    </row>
    <row r="187" customFormat="false" ht="15" hidden="false" customHeight="true" outlineLevel="0" collapsed="false">
      <c r="A187" s="1" t="str">
        <f aca="false">IF('5. Gantt EQUIFILLES'!B191="","","EQUIFILLES")</f>
        <v/>
      </c>
      <c r="B187" s="1" t="str">
        <f aca="false">IF('5. Gantt EQUIFILLES'!B191="","",'5. Gantt EQUIFILLES'!B191)</f>
        <v/>
      </c>
      <c r="C187" s="1" t="str">
        <f aca="false">IF('5. Gantt EQUIFILLES'!B191="","",'5. Gantt EQUIFILLES'!C191)</f>
        <v/>
      </c>
      <c r="D187" s="1" t="str">
        <f aca="false">IF('5. Gantt EQUIFILLES'!B191="","",'5. Gantt EQUIFILLES'!D191)</f>
        <v/>
      </c>
      <c r="E187" s="1" t="str">
        <f aca="false">IF('5. Gantt EQUIFILLES'!B191="","",'5. Gantt EQUIFILLES'!E191)</f>
        <v/>
      </c>
      <c r="F187" s="1" t="str">
        <f aca="false">IF('5. Gantt EQUIFILLES'!B191="","",'5. Gantt EQUIFILLES'!G191)</f>
        <v/>
      </c>
      <c r="G187" s="167" t="str">
        <f aca="false">IF('5. Gantt EQUIFILLES'!B191="","",'5. Gantt EQUIFILLES'!H191)</f>
        <v/>
      </c>
      <c r="H187" s="167" t="str">
        <f aca="false">IF('5. Gantt EQUIFILLES'!B191="","",'5. Gantt EQUIFILLES'!I191)</f>
        <v/>
      </c>
      <c r="I187" s="167" t="str">
        <f aca="false">IF('5. Gantt EQUIFILLES'!B191="","",'5. Gantt EQUIFILLES'!K191)</f>
        <v/>
      </c>
      <c r="J187" s="168" t="str">
        <f aca="false">IF('5. Gantt EQUIFILLES'!B191="","",'5. Gantt EQUIFILLES'!M191)</f>
        <v/>
      </c>
      <c r="K187" s="168" t="str">
        <f aca="false">IF('5. Gantt EQUIFILLES'!B191="","",'5. Gantt EQUIFILLES'!N191)</f>
        <v/>
      </c>
      <c r="L187" s="169" t="str">
        <f aca="false">IF('5. Gantt EQUIFILLES'!B191="","",'5. Gantt EQUIFILLES'!O191)</f>
        <v/>
      </c>
      <c r="M187" s="169" t="str">
        <f aca="false">IF('5. Gantt EQUIFILLES'!B191="","",'5. Gantt EQUIFILLES'!P191)</f>
        <v/>
      </c>
      <c r="N187" s="1" t="str">
        <f aca="false">IF('5. Gantt EQUIFILLES'!B191="","",'5. Gantt EQUIFILLES'!Q191)</f>
        <v/>
      </c>
      <c r="O187" s="1" t="str">
        <f aca="false">IF('5. Gantt EQUIFILLES'!B191="","",'5. Gantt EQUIFILLES'!R191)</f>
        <v/>
      </c>
      <c r="P187" s="1" t="str">
        <f aca="false">IF('5. Gantt EQUIFILLES'!B191="","",'5. Gantt EQUIFILLES'!S191)</f>
        <v/>
      </c>
      <c r="Q187" s="1" t="str">
        <f aca="false">IF('5. Gantt EQUIFILLES'!B191="","",'5. Gantt EQUIFILLES'!T191)</f>
        <v/>
      </c>
      <c r="R187" s="1" t="str">
        <f aca="false">IF('5. Gantt EQUIFILLES'!B191="","",'5. Gantt EQUIFILLES'!U191)</f>
        <v/>
      </c>
    </row>
    <row r="188" customFormat="false" ht="15" hidden="false" customHeight="true" outlineLevel="0" collapsed="false">
      <c r="A188" s="1" t="str">
        <f aca="false">IF('5. Gantt EQUIFILLES'!B192="","","EQUIFILLES")</f>
        <v/>
      </c>
      <c r="B188" s="1" t="str">
        <f aca="false">IF('5. Gantt EQUIFILLES'!B192="","",'5. Gantt EQUIFILLES'!B192)</f>
        <v/>
      </c>
      <c r="C188" s="1" t="str">
        <f aca="false">IF('5. Gantt EQUIFILLES'!B192="","",'5. Gantt EQUIFILLES'!C192)</f>
        <v/>
      </c>
      <c r="D188" s="1" t="str">
        <f aca="false">IF('5. Gantt EQUIFILLES'!B192="","",'5. Gantt EQUIFILLES'!D192)</f>
        <v/>
      </c>
      <c r="E188" s="1" t="str">
        <f aca="false">IF('5. Gantt EQUIFILLES'!B192="","",'5. Gantt EQUIFILLES'!E192)</f>
        <v/>
      </c>
      <c r="F188" s="1" t="str">
        <f aca="false">IF('5. Gantt EQUIFILLES'!B192="","",'5. Gantt EQUIFILLES'!G192)</f>
        <v/>
      </c>
      <c r="G188" s="167" t="str">
        <f aca="false">IF('5. Gantt EQUIFILLES'!B192="","",'5. Gantt EQUIFILLES'!H192)</f>
        <v/>
      </c>
      <c r="H188" s="167" t="str">
        <f aca="false">IF('5. Gantt EQUIFILLES'!B192="","",'5. Gantt EQUIFILLES'!I192)</f>
        <v/>
      </c>
      <c r="I188" s="167" t="str">
        <f aca="false">IF('5. Gantt EQUIFILLES'!B192="","",'5. Gantt EQUIFILLES'!K192)</f>
        <v/>
      </c>
      <c r="J188" s="168" t="str">
        <f aca="false">IF('5. Gantt EQUIFILLES'!B192="","",'5. Gantt EQUIFILLES'!M192)</f>
        <v/>
      </c>
      <c r="K188" s="168" t="str">
        <f aca="false">IF('5. Gantt EQUIFILLES'!B192="","",'5. Gantt EQUIFILLES'!N192)</f>
        <v/>
      </c>
      <c r="L188" s="169" t="str">
        <f aca="false">IF('5. Gantt EQUIFILLES'!B192="","",'5. Gantt EQUIFILLES'!O192)</f>
        <v/>
      </c>
      <c r="M188" s="169" t="str">
        <f aca="false">IF('5. Gantt EQUIFILLES'!B192="","",'5. Gantt EQUIFILLES'!P192)</f>
        <v/>
      </c>
      <c r="N188" s="1" t="str">
        <f aca="false">IF('5. Gantt EQUIFILLES'!B192="","",'5. Gantt EQUIFILLES'!Q192)</f>
        <v/>
      </c>
      <c r="O188" s="1" t="str">
        <f aca="false">IF('5. Gantt EQUIFILLES'!B192="","",'5. Gantt EQUIFILLES'!R192)</f>
        <v/>
      </c>
      <c r="P188" s="1" t="str">
        <f aca="false">IF('5. Gantt EQUIFILLES'!B192="","",'5. Gantt EQUIFILLES'!S192)</f>
        <v/>
      </c>
      <c r="Q188" s="1" t="str">
        <f aca="false">IF('5. Gantt EQUIFILLES'!B192="","",'5. Gantt EQUIFILLES'!T192)</f>
        <v/>
      </c>
      <c r="R188" s="1" t="str">
        <f aca="false">IF('5. Gantt EQUIFILLES'!B192="","",'5. Gantt EQUIFILLES'!U192)</f>
        <v/>
      </c>
    </row>
    <row r="189" customFormat="false" ht="15" hidden="false" customHeight="true" outlineLevel="0" collapsed="false">
      <c r="A189" s="1" t="str">
        <f aca="false">IF('5. Gantt EQUIFILLES'!B193="","","EQUIFILLES")</f>
        <v/>
      </c>
      <c r="B189" s="1" t="str">
        <f aca="false">IF('5. Gantt EQUIFILLES'!B193="","",'5. Gantt EQUIFILLES'!B193)</f>
        <v/>
      </c>
      <c r="C189" s="1" t="str">
        <f aca="false">IF('5. Gantt EQUIFILLES'!B193="","",'5. Gantt EQUIFILLES'!C193)</f>
        <v/>
      </c>
      <c r="D189" s="1" t="str">
        <f aca="false">IF('5. Gantt EQUIFILLES'!B193="","",'5. Gantt EQUIFILLES'!D193)</f>
        <v/>
      </c>
      <c r="E189" s="1" t="str">
        <f aca="false">IF('5. Gantt EQUIFILLES'!B193="","",'5. Gantt EQUIFILLES'!E193)</f>
        <v/>
      </c>
      <c r="F189" s="1" t="str">
        <f aca="false">IF('5. Gantt EQUIFILLES'!B193="","",'5. Gantt EQUIFILLES'!G193)</f>
        <v/>
      </c>
      <c r="G189" s="167" t="str">
        <f aca="false">IF('5. Gantt EQUIFILLES'!B193="","",'5. Gantt EQUIFILLES'!H193)</f>
        <v/>
      </c>
      <c r="H189" s="167" t="str">
        <f aca="false">IF('5. Gantt EQUIFILLES'!B193="","",'5. Gantt EQUIFILLES'!I193)</f>
        <v/>
      </c>
      <c r="I189" s="167" t="str">
        <f aca="false">IF('5. Gantt EQUIFILLES'!B193="","",'5. Gantt EQUIFILLES'!K193)</f>
        <v/>
      </c>
      <c r="J189" s="168" t="str">
        <f aca="false">IF('5. Gantt EQUIFILLES'!B193="","",'5. Gantt EQUIFILLES'!M193)</f>
        <v/>
      </c>
      <c r="K189" s="168" t="str">
        <f aca="false">IF('5. Gantt EQUIFILLES'!B193="","",'5. Gantt EQUIFILLES'!N193)</f>
        <v/>
      </c>
      <c r="L189" s="169" t="str">
        <f aca="false">IF('5. Gantt EQUIFILLES'!B193="","",'5. Gantt EQUIFILLES'!O193)</f>
        <v/>
      </c>
      <c r="M189" s="169" t="str">
        <f aca="false">IF('5. Gantt EQUIFILLES'!B193="","",'5. Gantt EQUIFILLES'!P193)</f>
        <v/>
      </c>
      <c r="N189" s="1" t="str">
        <f aca="false">IF('5. Gantt EQUIFILLES'!B193="","",'5. Gantt EQUIFILLES'!Q193)</f>
        <v/>
      </c>
      <c r="O189" s="1" t="str">
        <f aca="false">IF('5. Gantt EQUIFILLES'!B193="","",'5. Gantt EQUIFILLES'!R193)</f>
        <v/>
      </c>
      <c r="P189" s="1" t="str">
        <f aca="false">IF('5. Gantt EQUIFILLES'!B193="","",'5. Gantt EQUIFILLES'!S193)</f>
        <v/>
      </c>
      <c r="Q189" s="1" t="str">
        <f aca="false">IF('5. Gantt EQUIFILLES'!B193="","",'5. Gantt EQUIFILLES'!T193)</f>
        <v/>
      </c>
      <c r="R189" s="1" t="str">
        <f aca="false">IF('5. Gantt EQUIFILLES'!B193="","",'5. Gantt EQUIFILLES'!U193)</f>
        <v/>
      </c>
    </row>
    <row r="190" customFormat="false" ht="15" hidden="false" customHeight="true" outlineLevel="0" collapsed="false">
      <c r="A190" s="1" t="str">
        <f aca="false">IF('5. Gantt EQUIFILLES'!B194="","","EQUIFILLES")</f>
        <v/>
      </c>
      <c r="B190" s="1" t="str">
        <f aca="false">IF('5. Gantt EQUIFILLES'!B194="","",'5. Gantt EQUIFILLES'!B194)</f>
        <v/>
      </c>
      <c r="C190" s="1" t="str">
        <f aca="false">IF('5. Gantt EQUIFILLES'!B194="","",'5. Gantt EQUIFILLES'!C194)</f>
        <v/>
      </c>
      <c r="D190" s="1" t="str">
        <f aca="false">IF('5. Gantt EQUIFILLES'!B194="","",'5. Gantt EQUIFILLES'!D194)</f>
        <v/>
      </c>
      <c r="E190" s="1" t="str">
        <f aca="false">IF('5. Gantt EQUIFILLES'!B194="","",'5. Gantt EQUIFILLES'!E194)</f>
        <v/>
      </c>
      <c r="F190" s="1" t="str">
        <f aca="false">IF('5. Gantt EQUIFILLES'!B194="","",'5. Gantt EQUIFILLES'!G194)</f>
        <v/>
      </c>
      <c r="G190" s="167" t="str">
        <f aca="false">IF('5. Gantt EQUIFILLES'!B194="","",'5. Gantt EQUIFILLES'!H194)</f>
        <v/>
      </c>
      <c r="H190" s="167" t="str">
        <f aca="false">IF('5. Gantt EQUIFILLES'!B194="","",'5. Gantt EQUIFILLES'!I194)</f>
        <v/>
      </c>
      <c r="I190" s="167" t="str">
        <f aca="false">IF('5. Gantt EQUIFILLES'!B194="","",'5. Gantt EQUIFILLES'!K194)</f>
        <v/>
      </c>
      <c r="J190" s="168" t="str">
        <f aca="false">IF('5. Gantt EQUIFILLES'!B194="","",'5. Gantt EQUIFILLES'!M194)</f>
        <v/>
      </c>
      <c r="K190" s="168" t="str">
        <f aca="false">IF('5. Gantt EQUIFILLES'!B194="","",'5. Gantt EQUIFILLES'!N194)</f>
        <v/>
      </c>
      <c r="L190" s="169" t="str">
        <f aca="false">IF('5. Gantt EQUIFILLES'!B194="","",'5. Gantt EQUIFILLES'!O194)</f>
        <v/>
      </c>
      <c r="M190" s="169" t="str">
        <f aca="false">IF('5. Gantt EQUIFILLES'!B194="","",'5. Gantt EQUIFILLES'!P194)</f>
        <v/>
      </c>
      <c r="N190" s="1" t="str">
        <f aca="false">IF('5. Gantt EQUIFILLES'!B194="","",'5. Gantt EQUIFILLES'!Q194)</f>
        <v/>
      </c>
      <c r="O190" s="1" t="str">
        <f aca="false">IF('5. Gantt EQUIFILLES'!B194="","",'5. Gantt EQUIFILLES'!R194)</f>
        <v/>
      </c>
      <c r="P190" s="1" t="str">
        <f aca="false">IF('5. Gantt EQUIFILLES'!B194="","",'5. Gantt EQUIFILLES'!S194)</f>
        <v/>
      </c>
      <c r="Q190" s="1" t="str">
        <f aca="false">IF('5. Gantt EQUIFILLES'!B194="","",'5. Gantt EQUIFILLES'!T194)</f>
        <v/>
      </c>
      <c r="R190" s="1" t="str">
        <f aca="false">IF('5. Gantt EQUIFILLES'!B194="","",'5. Gantt EQUIFILLES'!U194)</f>
        <v/>
      </c>
    </row>
    <row r="191" customFormat="false" ht="15" hidden="false" customHeight="true" outlineLevel="0" collapsed="false">
      <c r="A191" s="1" t="str">
        <f aca="false">IF('5. Gantt EQUIFILLES'!B195="","","EQUIFILLES")</f>
        <v/>
      </c>
      <c r="B191" s="1" t="str">
        <f aca="false">IF('5. Gantt EQUIFILLES'!B195="","",'5. Gantt EQUIFILLES'!B195)</f>
        <v/>
      </c>
      <c r="C191" s="1" t="str">
        <f aca="false">IF('5. Gantt EQUIFILLES'!B195="","",'5. Gantt EQUIFILLES'!C195)</f>
        <v/>
      </c>
      <c r="D191" s="1" t="str">
        <f aca="false">IF('5. Gantt EQUIFILLES'!B195="","",'5. Gantt EQUIFILLES'!D195)</f>
        <v/>
      </c>
      <c r="E191" s="1" t="str">
        <f aca="false">IF('5. Gantt EQUIFILLES'!B195="","",'5. Gantt EQUIFILLES'!E195)</f>
        <v/>
      </c>
      <c r="F191" s="1" t="str">
        <f aca="false">IF('5. Gantt EQUIFILLES'!B195="","",'5. Gantt EQUIFILLES'!G195)</f>
        <v/>
      </c>
      <c r="G191" s="167" t="str">
        <f aca="false">IF('5. Gantt EQUIFILLES'!B195="","",'5. Gantt EQUIFILLES'!H195)</f>
        <v/>
      </c>
      <c r="H191" s="167" t="str">
        <f aca="false">IF('5. Gantt EQUIFILLES'!B195="","",'5. Gantt EQUIFILLES'!I195)</f>
        <v/>
      </c>
      <c r="I191" s="167" t="str">
        <f aca="false">IF('5. Gantt EQUIFILLES'!B195="","",'5. Gantt EQUIFILLES'!K195)</f>
        <v/>
      </c>
      <c r="J191" s="168" t="str">
        <f aca="false">IF('5. Gantt EQUIFILLES'!B195="","",'5. Gantt EQUIFILLES'!M195)</f>
        <v/>
      </c>
      <c r="K191" s="168" t="str">
        <f aca="false">IF('5. Gantt EQUIFILLES'!B195="","",'5. Gantt EQUIFILLES'!N195)</f>
        <v/>
      </c>
      <c r="L191" s="169" t="str">
        <f aca="false">IF('5. Gantt EQUIFILLES'!B195="","",'5. Gantt EQUIFILLES'!O195)</f>
        <v/>
      </c>
      <c r="M191" s="169" t="str">
        <f aca="false">IF('5. Gantt EQUIFILLES'!B195="","",'5. Gantt EQUIFILLES'!P195)</f>
        <v/>
      </c>
      <c r="N191" s="1" t="str">
        <f aca="false">IF('5. Gantt EQUIFILLES'!B195="","",'5. Gantt EQUIFILLES'!Q195)</f>
        <v/>
      </c>
      <c r="O191" s="1" t="str">
        <f aca="false">IF('5. Gantt EQUIFILLES'!B195="","",'5. Gantt EQUIFILLES'!R195)</f>
        <v/>
      </c>
      <c r="P191" s="1" t="str">
        <f aca="false">IF('5. Gantt EQUIFILLES'!B195="","",'5. Gantt EQUIFILLES'!S195)</f>
        <v/>
      </c>
      <c r="Q191" s="1" t="str">
        <f aca="false">IF('5. Gantt EQUIFILLES'!B195="","",'5. Gantt EQUIFILLES'!T195)</f>
        <v/>
      </c>
      <c r="R191" s="1" t="str">
        <f aca="false">IF('5. Gantt EQUIFILLES'!B195="","",'5. Gantt EQUIFILLES'!U195)</f>
        <v/>
      </c>
    </row>
    <row r="192" customFormat="false" ht="15" hidden="false" customHeight="true" outlineLevel="0" collapsed="false">
      <c r="A192" s="1" t="str">
        <f aca="false">IF('5. Gantt EQUIFILLES'!B196="","","EQUIFILLES")</f>
        <v/>
      </c>
      <c r="B192" s="1" t="str">
        <f aca="false">IF('5. Gantt EQUIFILLES'!B196="","",'5. Gantt EQUIFILLES'!B196)</f>
        <v/>
      </c>
      <c r="C192" s="1" t="str">
        <f aca="false">IF('5. Gantt EQUIFILLES'!B196="","",'5. Gantt EQUIFILLES'!C196)</f>
        <v/>
      </c>
      <c r="D192" s="1" t="str">
        <f aca="false">IF('5. Gantt EQUIFILLES'!B196="","",'5. Gantt EQUIFILLES'!D196)</f>
        <v/>
      </c>
      <c r="E192" s="1" t="str">
        <f aca="false">IF('5. Gantt EQUIFILLES'!B196="","",'5. Gantt EQUIFILLES'!E196)</f>
        <v/>
      </c>
      <c r="F192" s="1" t="str">
        <f aca="false">IF('5. Gantt EQUIFILLES'!B196="","",'5. Gantt EQUIFILLES'!G196)</f>
        <v/>
      </c>
      <c r="G192" s="167" t="str">
        <f aca="false">IF('5. Gantt EQUIFILLES'!B196="","",'5. Gantt EQUIFILLES'!H196)</f>
        <v/>
      </c>
      <c r="H192" s="167" t="str">
        <f aca="false">IF('5. Gantt EQUIFILLES'!B196="","",'5. Gantt EQUIFILLES'!I196)</f>
        <v/>
      </c>
      <c r="I192" s="167" t="str">
        <f aca="false">IF('5. Gantt EQUIFILLES'!B196="","",'5. Gantt EQUIFILLES'!K196)</f>
        <v/>
      </c>
      <c r="J192" s="168" t="str">
        <f aca="false">IF('5. Gantt EQUIFILLES'!B196="","",'5. Gantt EQUIFILLES'!M196)</f>
        <v/>
      </c>
      <c r="K192" s="168" t="str">
        <f aca="false">IF('5. Gantt EQUIFILLES'!B196="","",'5. Gantt EQUIFILLES'!N196)</f>
        <v/>
      </c>
      <c r="L192" s="169" t="str">
        <f aca="false">IF('5. Gantt EQUIFILLES'!B196="","",'5. Gantt EQUIFILLES'!O196)</f>
        <v/>
      </c>
      <c r="M192" s="169" t="str">
        <f aca="false">IF('5. Gantt EQUIFILLES'!B196="","",'5. Gantt EQUIFILLES'!P196)</f>
        <v/>
      </c>
      <c r="N192" s="1" t="str">
        <f aca="false">IF('5. Gantt EQUIFILLES'!B196="","",'5. Gantt EQUIFILLES'!Q196)</f>
        <v/>
      </c>
      <c r="O192" s="1" t="str">
        <f aca="false">IF('5. Gantt EQUIFILLES'!B196="","",'5. Gantt EQUIFILLES'!R196)</f>
        <v/>
      </c>
      <c r="P192" s="1" t="str">
        <f aca="false">IF('5. Gantt EQUIFILLES'!B196="","",'5. Gantt EQUIFILLES'!S196)</f>
        <v/>
      </c>
      <c r="Q192" s="1" t="str">
        <f aca="false">IF('5. Gantt EQUIFILLES'!B196="","",'5. Gantt EQUIFILLES'!T196)</f>
        <v/>
      </c>
      <c r="R192" s="1" t="str">
        <f aca="false">IF('5. Gantt EQUIFILLES'!B196="","",'5. Gantt EQUIFILLES'!U196)</f>
        <v/>
      </c>
    </row>
    <row r="193" customFormat="false" ht="15" hidden="false" customHeight="true" outlineLevel="0" collapsed="false">
      <c r="A193" s="1" t="str">
        <f aca="false">IF('5. Gantt EQUIFILLES'!B197="","","EQUIFILLES")</f>
        <v/>
      </c>
      <c r="B193" s="1" t="str">
        <f aca="false">IF('5. Gantt EQUIFILLES'!B197="","",'5. Gantt EQUIFILLES'!B197)</f>
        <v/>
      </c>
      <c r="C193" s="1" t="str">
        <f aca="false">IF('5. Gantt EQUIFILLES'!B197="","",'5. Gantt EQUIFILLES'!C197)</f>
        <v/>
      </c>
      <c r="D193" s="1" t="str">
        <f aca="false">IF('5. Gantt EQUIFILLES'!B197="","",'5. Gantt EQUIFILLES'!D197)</f>
        <v/>
      </c>
      <c r="E193" s="1" t="str">
        <f aca="false">IF('5. Gantt EQUIFILLES'!B197="","",'5. Gantt EQUIFILLES'!E197)</f>
        <v/>
      </c>
      <c r="F193" s="1" t="str">
        <f aca="false">IF('5. Gantt EQUIFILLES'!B197="","",'5. Gantt EQUIFILLES'!G197)</f>
        <v/>
      </c>
      <c r="G193" s="167" t="str">
        <f aca="false">IF('5. Gantt EQUIFILLES'!B197="","",'5. Gantt EQUIFILLES'!H197)</f>
        <v/>
      </c>
      <c r="H193" s="167" t="str">
        <f aca="false">IF('5. Gantt EQUIFILLES'!B197="","",'5. Gantt EQUIFILLES'!I197)</f>
        <v/>
      </c>
      <c r="I193" s="167" t="str">
        <f aca="false">IF('5. Gantt EQUIFILLES'!B197="","",'5. Gantt EQUIFILLES'!K197)</f>
        <v/>
      </c>
      <c r="J193" s="168" t="str">
        <f aca="false">IF('5. Gantt EQUIFILLES'!B197="","",'5. Gantt EQUIFILLES'!M197)</f>
        <v/>
      </c>
      <c r="K193" s="168" t="str">
        <f aca="false">IF('5. Gantt EQUIFILLES'!B197="","",'5. Gantt EQUIFILLES'!N197)</f>
        <v/>
      </c>
      <c r="L193" s="169" t="str">
        <f aca="false">IF('5. Gantt EQUIFILLES'!B197="","",'5. Gantt EQUIFILLES'!O197)</f>
        <v/>
      </c>
      <c r="M193" s="169" t="str">
        <f aca="false">IF('5. Gantt EQUIFILLES'!B197="","",'5. Gantt EQUIFILLES'!P197)</f>
        <v/>
      </c>
      <c r="N193" s="1" t="str">
        <f aca="false">IF('5. Gantt EQUIFILLES'!B197="","",'5. Gantt EQUIFILLES'!Q197)</f>
        <v/>
      </c>
      <c r="O193" s="1" t="str">
        <f aca="false">IF('5. Gantt EQUIFILLES'!B197="","",'5. Gantt EQUIFILLES'!R197)</f>
        <v/>
      </c>
      <c r="P193" s="1" t="str">
        <f aca="false">IF('5. Gantt EQUIFILLES'!B197="","",'5. Gantt EQUIFILLES'!S197)</f>
        <v/>
      </c>
      <c r="Q193" s="1" t="str">
        <f aca="false">IF('5. Gantt EQUIFILLES'!B197="","",'5. Gantt EQUIFILLES'!T197)</f>
        <v/>
      </c>
      <c r="R193" s="1" t="str">
        <f aca="false">IF('5. Gantt EQUIFILLES'!B197="","",'5. Gantt EQUIFILLES'!U197)</f>
        <v/>
      </c>
    </row>
    <row r="194" customFormat="false" ht="15" hidden="false" customHeight="true" outlineLevel="0" collapsed="false">
      <c r="A194" s="1" t="str">
        <f aca="false">IF('5. Gantt EQUIFILLES'!B198="","","EQUIFILLES")</f>
        <v/>
      </c>
      <c r="B194" s="1" t="str">
        <f aca="false">IF('5. Gantt EQUIFILLES'!B198="","",'5. Gantt EQUIFILLES'!B198)</f>
        <v/>
      </c>
      <c r="C194" s="1" t="str">
        <f aca="false">IF('5. Gantt EQUIFILLES'!B198="","",'5. Gantt EQUIFILLES'!C198)</f>
        <v/>
      </c>
      <c r="D194" s="1" t="str">
        <f aca="false">IF('5. Gantt EQUIFILLES'!B198="","",'5. Gantt EQUIFILLES'!D198)</f>
        <v/>
      </c>
      <c r="E194" s="1" t="str">
        <f aca="false">IF('5. Gantt EQUIFILLES'!B198="","",'5. Gantt EQUIFILLES'!E198)</f>
        <v/>
      </c>
      <c r="F194" s="1" t="str">
        <f aca="false">IF('5. Gantt EQUIFILLES'!B198="","",'5. Gantt EQUIFILLES'!G198)</f>
        <v/>
      </c>
      <c r="G194" s="167" t="str">
        <f aca="false">IF('5. Gantt EQUIFILLES'!B198="","",'5. Gantt EQUIFILLES'!H198)</f>
        <v/>
      </c>
      <c r="H194" s="167" t="str">
        <f aca="false">IF('5. Gantt EQUIFILLES'!B198="","",'5. Gantt EQUIFILLES'!I198)</f>
        <v/>
      </c>
      <c r="I194" s="167" t="str">
        <f aca="false">IF('5. Gantt EQUIFILLES'!B198="","",'5. Gantt EQUIFILLES'!K198)</f>
        <v/>
      </c>
      <c r="J194" s="168" t="str">
        <f aca="false">IF('5. Gantt EQUIFILLES'!B198="","",'5. Gantt EQUIFILLES'!M198)</f>
        <v/>
      </c>
      <c r="K194" s="168" t="str">
        <f aca="false">IF('5. Gantt EQUIFILLES'!B198="","",'5. Gantt EQUIFILLES'!N198)</f>
        <v/>
      </c>
      <c r="L194" s="169" t="str">
        <f aca="false">IF('5. Gantt EQUIFILLES'!B198="","",'5. Gantt EQUIFILLES'!O198)</f>
        <v/>
      </c>
      <c r="M194" s="169" t="str">
        <f aca="false">IF('5. Gantt EQUIFILLES'!B198="","",'5. Gantt EQUIFILLES'!P198)</f>
        <v/>
      </c>
      <c r="N194" s="1" t="str">
        <f aca="false">IF('5. Gantt EQUIFILLES'!B198="","",'5. Gantt EQUIFILLES'!Q198)</f>
        <v/>
      </c>
      <c r="O194" s="1" t="str">
        <f aca="false">IF('5. Gantt EQUIFILLES'!B198="","",'5. Gantt EQUIFILLES'!R198)</f>
        <v/>
      </c>
      <c r="P194" s="1" t="str">
        <f aca="false">IF('5. Gantt EQUIFILLES'!B198="","",'5. Gantt EQUIFILLES'!S198)</f>
        <v/>
      </c>
      <c r="Q194" s="1" t="str">
        <f aca="false">IF('5. Gantt EQUIFILLES'!B198="","",'5. Gantt EQUIFILLES'!T198)</f>
        <v/>
      </c>
      <c r="R194" s="1" t="str">
        <f aca="false">IF('5. Gantt EQUIFILLES'!B198="","",'5. Gantt EQUIFILLES'!U198)</f>
        <v/>
      </c>
    </row>
    <row r="195" customFormat="false" ht="15" hidden="false" customHeight="true" outlineLevel="0" collapsed="false">
      <c r="A195" s="1" t="str">
        <f aca="false">IF('5. Gantt EQUIFILLES'!B199="","","EQUIFILLES")</f>
        <v/>
      </c>
      <c r="B195" s="1" t="str">
        <f aca="false">IF('5. Gantt EQUIFILLES'!B199="","",'5. Gantt EQUIFILLES'!B199)</f>
        <v/>
      </c>
      <c r="C195" s="1" t="str">
        <f aca="false">IF('5. Gantt EQUIFILLES'!B199="","",'5. Gantt EQUIFILLES'!C199)</f>
        <v/>
      </c>
      <c r="D195" s="1" t="str">
        <f aca="false">IF('5. Gantt EQUIFILLES'!B199="","",'5. Gantt EQUIFILLES'!D199)</f>
        <v/>
      </c>
      <c r="E195" s="1" t="str">
        <f aca="false">IF('5. Gantt EQUIFILLES'!B199="","",'5. Gantt EQUIFILLES'!E199)</f>
        <v/>
      </c>
      <c r="F195" s="1" t="str">
        <f aca="false">IF('5. Gantt EQUIFILLES'!B199="","",'5. Gantt EQUIFILLES'!G199)</f>
        <v/>
      </c>
      <c r="G195" s="167" t="str">
        <f aca="false">IF('5. Gantt EQUIFILLES'!B199="","",'5. Gantt EQUIFILLES'!H199)</f>
        <v/>
      </c>
      <c r="H195" s="167" t="str">
        <f aca="false">IF('5. Gantt EQUIFILLES'!B199="","",'5. Gantt EQUIFILLES'!I199)</f>
        <v/>
      </c>
      <c r="I195" s="167" t="str">
        <f aca="false">IF('5. Gantt EQUIFILLES'!B199="","",'5. Gantt EQUIFILLES'!K199)</f>
        <v/>
      </c>
      <c r="J195" s="168" t="str">
        <f aca="false">IF('5. Gantt EQUIFILLES'!B199="","",'5. Gantt EQUIFILLES'!M199)</f>
        <v/>
      </c>
      <c r="K195" s="168" t="str">
        <f aca="false">IF('5. Gantt EQUIFILLES'!B199="","",'5. Gantt EQUIFILLES'!N199)</f>
        <v/>
      </c>
      <c r="L195" s="169" t="str">
        <f aca="false">IF('5. Gantt EQUIFILLES'!B199="","",'5. Gantt EQUIFILLES'!O199)</f>
        <v/>
      </c>
      <c r="M195" s="169" t="str">
        <f aca="false">IF('5. Gantt EQUIFILLES'!B199="","",'5. Gantt EQUIFILLES'!P199)</f>
        <v/>
      </c>
      <c r="N195" s="1" t="str">
        <f aca="false">IF('5. Gantt EQUIFILLES'!B199="","",'5. Gantt EQUIFILLES'!Q199)</f>
        <v/>
      </c>
      <c r="O195" s="1" t="str">
        <f aca="false">IF('5. Gantt EQUIFILLES'!B199="","",'5. Gantt EQUIFILLES'!R199)</f>
        <v/>
      </c>
      <c r="P195" s="1" t="str">
        <f aca="false">IF('5. Gantt EQUIFILLES'!B199="","",'5. Gantt EQUIFILLES'!S199)</f>
        <v/>
      </c>
      <c r="Q195" s="1" t="str">
        <f aca="false">IF('5. Gantt EQUIFILLES'!B199="","",'5. Gantt EQUIFILLES'!T199)</f>
        <v/>
      </c>
      <c r="R195" s="1" t="str">
        <f aca="false">IF('5. Gantt EQUIFILLES'!B199="","",'5. Gantt EQUIFILLES'!U199)</f>
        <v/>
      </c>
    </row>
    <row r="196" customFormat="false" ht="15" hidden="false" customHeight="true" outlineLevel="0" collapsed="false">
      <c r="A196" s="1" t="str">
        <f aca="false">IF('5. Gantt EQUIFILLES'!B200="","","EQUIFILLES")</f>
        <v/>
      </c>
      <c r="B196" s="1" t="str">
        <f aca="false">IF('5. Gantt EQUIFILLES'!B200="","",'5. Gantt EQUIFILLES'!B200)</f>
        <v/>
      </c>
      <c r="C196" s="1" t="str">
        <f aca="false">IF('5. Gantt EQUIFILLES'!B200="","",'5. Gantt EQUIFILLES'!C200)</f>
        <v/>
      </c>
      <c r="D196" s="1" t="str">
        <f aca="false">IF('5. Gantt EQUIFILLES'!B200="","",'5. Gantt EQUIFILLES'!D200)</f>
        <v/>
      </c>
      <c r="E196" s="1" t="str">
        <f aca="false">IF('5. Gantt EQUIFILLES'!B200="","",'5. Gantt EQUIFILLES'!E200)</f>
        <v/>
      </c>
      <c r="F196" s="1" t="str">
        <f aca="false">IF('5. Gantt EQUIFILLES'!B200="","",'5. Gantt EQUIFILLES'!G200)</f>
        <v/>
      </c>
      <c r="G196" s="167" t="str">
        <f aca="false">IF('5. Gantt EQUIFILLES'!B200="","",'5. Gantt EQUIFILLES'!H200)</f>
        <v/>
      </c>
      <c r="H196" s="167" t="str">
        <f aca="false">IF('5. Gantt EQUIFILLES'!B200="","",'5. Gantt EQUIFILLES'!I200)</f>
        <v/>
      </c>
      <c r="I196" s="167" t="str">
        <f aca="false">IF('5. Gantt EQUIFILLES'!B200="","",'5. Gantt EQUIFILLES'!K200)</f>
        <v/>
      </c>
      <c r="J196" s="168" t="str">
        <f aca="false">IF('5. Gantt EQUIFILLES'!B200="","",'5. Gantt EQUIFILLES'!M200)</f>
        <v/>
      </c>
      <c r="K196" s="168" t="str">
        <f aca="false">IF('5. Gantt EQUIFILLES'!B200="","",'5. Gantt EQUIFILLES'!N200)</f>
        <v/>
      </c>
      <c r="L196" s="169" t="str">
        <f aca="false">IF('5. Gantt EQUIFILLES'!B200="","",'5. Gantt EQUIFILLES'!O200)</f>
        <v/>
      </c>
      <c r="M196" s="169" t="str">
        <f aca="false">IF('5. Gantt EQUIFILLES'!B200="","",'5. Gantt EQUIFILLES'!P200)</f>
        <v/>
      </c>
      <c r="N196" s="1" t="str">
        <f aca="false">IF('5. Gantt EQUIFILLES'!B200="","",'5. Gantt EQUIFILLES'!Q200)</f>
        <v/>
      </c>
      <c r="O196" s="1" t="str">
        <f aca="false">IF('5. Gantt EQUIFILLES'!B200="","",'5. Gantt EQUIFILLES'!R200)</f>
        <v/>
      </c>
      <c r="P196" s="1" t="str">
        <f aca="false">IF('5. Gantt EQUIFILLES'!B200="","",'5. Gantt EQUIFILLES'!S200)</f>
        <v/>
      </c>
      <c r="Q196" s="1" t="str">
        <f aca="false">IF('5. Gantt EQUIFILLES'!B200="","",'5. Gantt EQUIFILLES'!T200)</f>
        <v/>
      </c>
      <c r="R196" s="1" t="str">
        <f aca="false">IF('5. Gantt EQUIFILLES'!B200="","",'5. Gantt EQUIFILLES'!U200)</f>
        <v/>
      </c>
    </row>
    <row r="197" customFormat="false" ht="15" hidden="false" customHeight="true" outlineLevel="0" collapsed="false">
      <c r="A197" s="1" t="str">
        <f aca="false">IF('5. Gantt EQUIFILLES'!B201="","","EQUIFILLES")</f>
        <v/>
      </c>
      <c r="B197" s="1" t="str">
        <f aca="false">IF('5. Gantt EQUIFILLES'!B201="","",'5. Gantt EQUIFILLES'!B201)</f>
        <v/>
      </c>
      <c r="C197" s="1" t="str">
        <f aca="false">IF('5. Gantt EQUIFILLES'!B201="","",'5. Gantt EQUIFILLES'!C201)</f>
        <v/>
      </c>
      <c r="D197" s="1" t="str">
        <f aca="false">IF('5. Gantt EQUIFILLES'!B201="","",'5. Gantt EQUIFILLES'!D201)</f>
        <v/>
      </c>
      <c r="E197" s="1" t="str">
        <f aca="false">IF('5. Gantt EQUIFILLES'!B201="","",'5. Gantt EQUIFILLES'!E201)</f>
        <v/>
      </c>
      <c r="F197" s="1" t="str">
        <f aca="false">IF('5. Gantt EQUIFILLES'!B201="","",'5. Gantt EQUIFILLES'!G201)</f>
        <v/>
      </c>
      <c r="G197" s="167" t="str">
        <f aca="false">IF('5. Gantt EQUIFILLES'!B201="","",'5. Gantt EQUIFILLES'!H201)</f>
        <v/>
      </c>
      <c r="H197" s="167" t="str">
        <f aca="false">IF('5. Gantt EQUIFILLES'!B201="","",'5. Gantt EQUIFILLES'!I201)</f>
        <v/>
      </c>
      <c r="I197" s="167" t="str">
        <f aca="false">IF('5. Gantt EQUIFILLES'!B201="","",'5. Gantt EQUIFILLES'!K201)</f>
        <v/>
      </c>
      <c r="J197" s="168" t="str">
        <f aca="false">IF('5. Gantt EQUIFILLES'!B201="","",'5. Gantt EQUIFILLES'!M201)</f>
        <v/>
      </c>
      <c r="K197" s="168" t="str">
        <f aca="false">IF('5. Gantt EQUIFILLES'!B201="","",'5. Gantt EQUIFILLES'!N201)</f>
        <v/>
      </c>
      <c r="L197" s="169" t="str">
        <f aca="false">IF('5. Gantt EQUIFILLES'!B201="","",'5. Gantt EQUIFILLES'!O201)</f>
        <v/>
      </c>
      <c r="M197" s="169" t="str">
        <f aca="false">IF('5. Gantt EQUIFILLES'!B201="","",'5. Gantt EQUIFILLES'!P201)</f>
        <v/>
      </c>
      <c r="N197" s="1" t="str">
        <f aca="false">IF('5. Gantt EQUIFILLES'!B201="","",'5. Gantt EQUIFILLES'!Q201)</f>
        <v/>
      </c>
      <c r="O197" s="1" t="str">
        <f aca="false">IF('5. Gantt EQUIFILLES'!B201="","",'5. Gantt EQUIFILLES'!R201)</f>
        <v/>
      </c>
      <c r="P197" s="1" t="str">
        <f aca="false">IF('5. Gantt EQUIFILLES'!B201="","",'5. Gantt EQUIFILLES'!S201)</f>
        <v/>
      </c>
      <c r="Q197" s="1" t="str">
        <f aca="false">IF('5. Gantt EQUIFILLES'!B201="","",'5. Gantt EQUIFILLES'!T201)</f>
        <v/>
      </c>
      <c r="R197" s="1" t="str">
        <f aca="false">IF('5. Gantt EQUIFILLES'!B201="","",'5. Gantt EQUIFILLES'!U201)</f>
        <v/>
      </c>
    </row>
    <row r="198" customFormat="false" ht="15" hidden="false" customHeight="true" outlineLevel="0" collapsed="false">
      <c r="A198" s="1" t="str">
        <f aca="false">IF('5. Gantt EQUIFILLES'!B202="","","EQUIFILLES")</f>
        <v/>
      </c>
      <c r="B198" s="1" t="str">
        <f aca="false">IF('5. Gantt EQUIFILLES'!B202="","",'5. Gantt EQUIFILLES'!B202)</f>
        <v/>
      </c>
      <c r="C198" s="1" t="str">
        <f aca="false">IF('5. Gantt EQUIFILLES'!B202="","",'5. Gantt EQUIFILLES'!C202)</f>
        <v/>
      </c>
      <c r="D198" s="1" t="str">
        <f aca="false">IF('5. Gantt EQUIFILLES'!B202="","",'5. Gantt EQUIFILLES'!D202)</f>
        <v/>
      </c>
      <c r="E198" s="1" t="str">
        <f aca="false">IF('5. Gantt EQUIFILLES'!B202="","",'5. Gantt EQUIFILLES'!E202)</f>
        <v/>
      </c>
      <c r="F198" s="1" t="str">
        <f aca="false">IF('5. Gantt EQUIFILLES'!B202="","",'5. Gantt EQUIFILLES'!G202)</f>
        <v/>
      </c>
      <c r="G198" s="167" t="str">
        <f aca="false">IF('5. Gantt EQUIFILLES'!B202="","",'5. Gantt EQUIFILLES'!H202)</f>
        <v/>
      </c>
      <c r="H198" s="167" t="str">
        <f aca="false">IF('5. Gantt EQUIFILLES'!B202="","",'5. Gantt EQUIFILLES'!I202)</f>
        <v/>
      </c>
      <c r="I198" s="167" t="str">
        <f aca="false">IF('5. Gantt EQUIFILLES'!B202="","",'5. Gantt EQUIFILLES'!K202)</f>
        <v/>
      </c>
      <c r="J198" s="168" t="str">
        <f aca="false">IF('5. Gantt EQUIFILLES'!B202="","",'5. Gantt EQUIFILLES'!M202)</f>
        <v/>
      </c>
      <c r="K198" s="168" t="str">
        <f aca="false">IF('5. Gantt EQUIFILLES'!B202="","",'5. Gantt EQUIFILLES'!N202)</f>
        <v/>
      </c>
      <c r="L198" s="169" t="str">
        <f aca="false">IF('5. Gantt EQUIFILLES'!B202="","",'5. Gantt EQUIFILLES'!O202)</f>
        <v/>
      </c>
      <c r="M198" s="169" t="str">
        <f aca="false">IF('5. Gantt EQUIFILLES'!B202="","",'5. Gantt EQUIFILLES'!P202)</f>
        <v/>
      </c>
      <c r="N198" s="1" t="str">
        <f aca="false">IF('5. Gantt EQUIFILLES'!B202="","",'5. Gantt EQUIFILLES'!Q202)</f>
        <v/>
      </c>
      <c r="O198" s="1" t="str">
        <f aca="false">IF('5. Gantt EQUIFILLES'!B202="","",'5. Gantt EQUIFILLES'!R202)</f>
        <v/>
      </c>
      <c r="P198" s="1" t="str">
        <f aca="false">IF('5. Gantt EQUIFILLES'!B202="","",'5. Gantt EQUIFILLES'!S202)</f>
        <v/>
      </c>
      <c r="Q198" s="1" t="str">
        <f aca="false">IF('5. Gantt EQUIFILLES'!B202="","",'5. Gantt EQUIFILLES'!T202)</f>
        <v/>
      </c>
      <c r="R198" s="1" t="str">
        <f aca="false">IF('5. Gantt EQUIFILLES'!B202="","",'5. Gantt EQUIFILLES'!U202)</f>
        <v/>
      </c>
    </row>
    <row r="199" customFormat="false" ht="15" hidden="false" customHeight="true" outlineLevel="0" collapsed="false">
      <c r="A199" s="1" t="str">
        <f aca="false">IF('5. Gantt EQUIFILLES'!B203="","","EQUIFILLES")</f>
        <v/>
      </c>
      <c r="B199" s="1" t="str">
        <f aca="false">IF('5. Gantt EQUIFILLES'!B203="","",'5. Gantt EQUIFILLES'!B203)</f>
        <v/>
      </c>
      <c r="C199" s="1" t="str">
        <f aca="false">IF('5. Gantt EQUIFILLES'!B203="","",'5. Gantt EQUIFILLES'!C203)</f>
        <v/>
      </c>
      <c r="D199" s="1" t="str">
        <f aca="false">IF('5. Gantt EQUIFILLES'!B203="","",'5. Gantt EQUIFILLES'!D203)</f>
        <v/>
      </c>
      <c r="E199" s="1" t="str">
        <f aca="false">IF('5. Gantt EQUIFILLES'!B203="","",'5. Gantt EQUIFILLES'!E203)</f>
        <v/>
      </c>
      <c r="F199" s="1" t="str">
        <f aca="false">IF('5. Gantt EQUIFILLES'!B203="","",'5. Gantt EQUIFILLES'!G203)</f>
        <v/>
      </c>
      <c r="G199" s="167" t="str">
        <f aca="false">IF('5. Gantt EQUIFILLES'!B203="","",'5. Gantt EQUIFILLES'!H203)</f>
        <v/>
      </c>
      <c r="H199" s="167" t="str">
        <f aca="false">IF('5. Gantt EQUIFILLES'!B203="","",'5. Gantt EQUIFILLES'!I203)</f>
        <v/>
      </c>
      <c r="I199" s="167" t="str">
        <f aca="false">IF('5. Gantt EQUIFILLES'!B203="","",'5. Gantt EQUIFILLES'!K203)</f>
        <v/>
      </c>
      <c r="J199" s="168" t="str">
        <f aca="false">IF('5. Gantt EQUIFILLES'!B203="","",'5. Gantt EQUIFILLES'!M203)</f>
        <v/>
      </c>
      <c r="K199" s="168" t="str">
        <f aca="false">IF('5. Gantt EQUIFILLES'!B203="","",'5. Gantt EQUIFILLES'!N203)</f>
        <v/>
      </c>
      <c r="L199" s="169" t="str">
        <f aca="false">IF('5. Gantt EQUIFILLES'!B203="","",'5. Gantt EQUIFILLES'!O203)</f>
        <v/>
      </c>
      <c r="M199" s="169" t="str">
        <f aca="false">IF('5. Gantt EQUIFILLES'!B203="","",'5. Gantt EQUIFILLES'!P203)</f>
        <v/>
      </c>
      <c r="N199" s="1" t="str">
        <f aca="false">IF('5. Gantt EQUIFILLES'!B203="","",'5. Gantt EQUIFILLES'!Q203)</f>
        <v/>
      </c>
      <c r="O199" s="1" t="str">
        <f aca="false">IF('5. Gantt EQUIFILLES'!B203="","",'5. Gantt EQUIFILLES'!R203)</f>
        <v/>
      </c>
      <c r="P199" s="1" t="str">
        <f aca="false">IF('5. Gantt EQUIFILLES'!B203="","",'5. Gantt EQUIFILLES'!S203)</f>
        <v/>
      </c>
      <c r="Q199" s="1" t="str">
        <f aca="false">IF('5. Gantt EQUIFILLES'!B203="","",'5. Gantt EQUIFILLES'!T203)</f>
        <v/>
      </c>
      <c r="R199" s="1" t="str">
        <f aca="false">IF('5. Gantt EQUIFILLES'!B203="","",'5. Gantt EQUIFILLES'!U203)</f>
        <v/>
      </c>
    </row>
    <row r="200" customFormat="false" ht="15" hidden="false" customHeight="true" outlineLevel="0" collapsed="false">
      <c r="A200" s="1" t="str">
        <f aca="false">IF('5. Gantt EQUIFILLES'!B204="","","EQUIFILLES")</f>
        <v/>
      </c>
      <c r="B200" s="1" t="str">
        <f aca="false">IF('5. Gantt EQUIFILLES'!B204="","",'5. Gantt EQUIFILLES'!B204)</f>
        <v/>
      </c>
      <c r="C200" s="1" t="str">
        <f aca="false">IF('5. Gantt EQUIFILLES'!B204="","",'5. Gantt EQUIFILLES'!C204)</f>
        <v/>
      </c>
      <c r="D200" s="1" t="str">
        <f aca="false">IF('5. Gantt EQUIFILLES'!B204="","",'5. Gantt EQUIFILLES'!D204)</f>
        <v/>
      </c>
      <c r="E200" s="1" t="str">
        <f aca="false">IF('5. Gantt EQUIFILLES'!B204="","",'5. Gantt EQUIFILLES'!E204)</f>
        <v/>
      </c>
      <c r="F200" s="1" t="str">
        <f aca="false">IF('5. Gantt EQUIFILLES'!B204="","",'5. Gantt EQUIFILLES'!G204)</f>
        <v/>
      </c>
      <c r="G200" s="167" t="str">
        <f aca="false">IF('5. Gantt EQUIFILLES'!B204="","",'5. Gantt EQUIFILLES'!H204)</f>
        <v/>
      </c>
      <c r="H200" s="167" t="str">
        <f aca="false">IF('5. Gantt EQUIFILLES'!B204="","",'5. Gantt EQUIFILLES'!I204)</f>
        <v/>
      </c>
      <c r="I200" s="167" t="str">
        <f aca="false">IF('5. Gantt EQUIFILLES'!B204="","",'5. Gantt EQUIFILLES'!K204)</f>
        <v/>
      </c>
      <c r="J200" s="168" t="str">
        <f aca="false">IF('5. Gantt EQUIFILLES'!B204="","",'5. Gantt EQUIFILLES'!M204)</f>
        <v/>
      </c>
      <c r="K200" s="168" t="str">
        <f aca="false">IF('5. Gantt EQUIFILLES'!B204="","",'5. Gantt EQUIFILLES'!N204)</f>
        <v/>
      </c>
      <c r="L200" s="169" t="str">
        <f aca="false">IF('5. Gantt EQUIFILLES'!B204="","",'5. Gantt EQUIFILLES'!O204)</f>
        <v/>
      </c>
      <c r="M200" s="169" t="str">
        <f aca="false">IF('5. Gantt EQUIFILLES'!B204="","",'5. Gantt EQUIFILLES'!P204)</f>
        <v/>
      </c>
      <c r="N200" s="1" t="str">
        <f aca="false">IF('5. Gantt EQUIFILLES'!B204="","",'5. Gantt EQUIFILLES'!Q204)</f>
        <v/>
      </c>
      <c r="O200" s="1" t="str">
        <f aca="false">IF('5. Gantt EQUIFILLES'!B204="","",'5. Gantt EQUIFILLES'!R204)</f>
        <v/>
      </c>
      <c r="P200" s="1" t="str">
        <f aca="false">IF('5. Gantt EQUIFILLES'!B204="","",'5. Gantt EQUIFILLES'!S204)</f>
        <v/>
      </c>
      <c r="Q200" s="1" t="str">
        <f aca="false">IF('5. Gantt EQUIFILLES'!B204="","",'5. Gantt EQUIFILLES'!T204)</f>
        <v/>
      </c>
      <c r="R200" s="1" t="str">
        <f aca="false">IF('5. Gantt EQUIFILLES'!B204="","",'5. Gantt EQUIFILLES'!U204)</f>
        <v/>
      </c>
    </row>
    <row r="201" customFormat="false" ht="15" hidden="false" customHeight="true" outlineLevel="0" collapsed="false">
      <c r="A201" s="1" t="str">
        <f aca="false">IF('5. Gantt EQUIFILLES'!B205="","","EQUIFILLES")</f>
        <v/>
      </c>
      <c r="B201" s="1" t="str">
        <f aca="false">IF('5. Gantt EQUIFILLES'!B205="","",'5. Gantt EQUIFILLES'!B205)</f>
        <v/>
      </c>
      <c r="C201" s="1" t="str">
        <f aca="false">IF('5. Gantt EQUIFILLES'!B205="","",'5. Gantt EQUIFILLES'!C205)</f>
        <v/>
      </c>
      <c r="D201" s="1" t="str">
        <f aca="false">IF('5. Gantt EQUIFILLES'!B205="","",'5. Gantt EQUIFILLES'!D205)</f>
        <v/>
      </c>
      <c r="E201" s="1" t="str">
        <f aca="false">IF('5. Gantt EQUIFILLES'!B205="","",'5. Gantt EQUIFILLES'!E205)</f>
        <v/>
      </c>
      <c r="F201" s="1" t="str">
        <f aca="false">IF('5. Gantt EQUIFILLES'!B205="","",'5. Gantt EQUIFILLES'!G205)</f>
        <v/>
      </c>
      <c r="G201" s="167" t="str">
        <f aca="false">IF('5. Gantt EQUIFILLES'!B205="","",'5. Gantt EQUIFILLES'!H205)</f>
        <v/>
      </c>
      <c r="H201" s="167" t="str">
        <f aca="false">IF('5. Gantt EQUIFILLES'!B205="","",'5. Gantt EQUIFILLES'!I205)</f>
        <v/>
      </c>
      <c r="I201" s="167" t="str">
        <f aca="false">IF('5. Gantt EQUIFILLES'!B205="","",'5. Gantt EQUIFILLES'!K205)</f>
        <v/>
      </c>
      <c r="J201" s="168" t="str">
        <f aca="false">IF('5. Gantt EQUIFILLES'!B205="","",'5. Gantt EQUIFILLES'!M205)</f>
        <v/>
      </c>
      <c r="K201" s="168" t="str">
        <f aca="false">IF('5. Gantt EQUIFILLES'!B205="","",'5. Gantt EQUIFILLES'!N205)</f>
        <v/>
      </c>
      <c r="L201" s="169" t="str">
        <f aca="false">IF('5. Gantt EQUIFILLES'!B205="","",'5. Gantt EQUIFILLES'!O205)</f>
        <v/>
      </c>
      <c r="M201" s="169" t="str">
        <f aca="false">IF('5. Gantt EQUIFILLES'!B205="","",'5. Gantt EQUIFILLES'!P205)</f>
        <v/>
      </c>
      <c r="N201" s="1" t="str">
        <f aca="false">IF('5. Gantt EQUIFILLES'!B205="","",'5. Gantt EQUIFILLES'!Q205)</f>
        <v/>
      </c>
      <c r="O201" s="1" t="str">
        <f aca="false">IF('5. Gantt EQUIFILLES'!B205="","",'5. Gantt EQUIFILLES'!R205)</f>
        <v/>
      </c>
      <c r="P201" s="1" t="str">
        <f aca="false">IF('5. Gantt EQUIFILLES'!B205="","",'5. Gantt EQUIFILLES'!S205)</f>
        <v/>
      </c>
      <c r="Q201" s="1" t="str">
        <f aca="false">IF('5. Gantt EQUIFILLES'!B205="","",'5. Gantt EQUIFILLES'!T205)</f>
        <v/>
      </c>
      <c r="R201" s="1" t="str">
        <f aca="false">IF('5. Gantt EQUIFILLES'!B205="","",'5. Gantt EQUIFILLES'!U205)</f>
        <v/>
      </c>
    </row>
    <row r="202" customFormat="false" ht="15" hidden="false" customHeight="true" outlineLevel="0" collapsed="false">
      <c r="A202" s="1" t="str">
        <f aca="false">IF('10. Gantt S2L'!B6="","","SPACE TO LEAD")</f>
        <v>SPACE TO LEAD</v>
      </c>
      <c r="B202" s="1" t="str">
        <f aca="false">IF('10. Gantt S2L'!B6="","",'10. Gantt S2L'!B6)</f>
        <v>I.0.SAL.1</v>
      </c>
      <c r="C202" s="1" t="str">
        <f aca="false">IF('10. Gantt S2L'!B6="","",'10. Gantt S2L'!C6)</f>
        <v>Charge de programme (100%) - Salaire mensuel × 20 mois</v>
      </c>
      <c r="D202" s="1" t="str">
        <f aca="false">IF('10. Gantt S2L'!B6="","",'10. Gantt S2L'!D6)</f>
        <v>V0</v>
      </c>
      <c r="E202" s="1" t="str">
        <f aca="false">IF('10. Gantt S2L'!B6="","",'10. Gantt S2L'!E6)</f>
        <v>OLOMONCHIN Francis</v>
      </c>
      <c r="F202" s="1" t="n">
        <f aca="false">IF('10. Gantt S2L'!B6="","",'10. Gantt S2L'!G6)</f>
        <v>1</v>
      </c>
      <c r="G202" s="167" t="n">
        <f aca="false">IF('10. Gantt S2L'!B6="","",'10. Gantt S2L'!H6)</f>
        <v>46054</v>
      </c>
      <c r="H202" s="167" t="n">
        <f aca="false">IF('10. Gantt S2L'!B6="","",'10. Gantt S2L'!I6)</f>
        <v>46660</v>
      </c>
      <c r="I202" s="167" t="n">
        <f aca="false">IF('10. Gantt S2L'!B6="","",'10. Gantt S2L'!K6)</f>
        <v>0</v>
      </c>
      <c r="J202" s="168" t="n">
        <f aca="false">IF('10. Gantt S2L'!B6="","",'10. Gantt S2L'!M6)</f>
        <v>18.6468646864686</v>
      </c>
      <c r="K202" s="168" t="n">
        <f aca="false">IF('10. Gantt S2L'!B6="","",'10. Gantt S2L'!N6)</f>
        <v>0</v>
      </c>
      <c r="L202" s="169" t="n">
        <f aca="false">IF('10. Gantt S2L'!B6="","",'10. Gantt S2L'!O6)</f>
        <v>9313080</v>
      </c>
      <c r="M202" s="169" t="n">
        <f aca="false">IF('10. Gantt S2L'!B6="","",'10. Gantt S2L'!P6)</f>
        <v>0</v>
      </c>
      <c r="N202" s="1" t="str">
        <f aca="false">IF('10. Gantt S2L'!B6="","",'10. Gantt S2L'!Q6)</f>
        <v>En retard</v>
      </c>
      <c r="O202" s="1" t="n">
        <f aca="false">IF('10. Gantt S2L'!B6="","",'10. Gantt S2L'!R6)</f>
        <v>25</v>
      </c>
      <c r="P202" s="1" t="str">
        <f aca="false">IF('10. Gantt S2L'!B6="","",'10. Gantt S2L'!S6)</f>
        <v>I.0.SAL.1</v>
      </c>
      <c r="Q202" s="170" t="n">
        <f aca="false">IF('10. Gantt S2L'!B6="","",'10. Gantt S2L'!T6)</f>
        <v>20</v>
      </c>
      <c r="R202" s="170" t="n">
        <f aca="false">IF('10. Gantt S2L'!B6="","",'10. Gantt S2L'!U6)</f>
        <v>0</v>
      </c>
    </row>
    <row r="203" customFormat="false" ht="15" hidden="false" customHeight="true" outlineLevel="0" collapsed="false">
      <c r="A203" s="1" t="str">
        <f aca="false">IF('10. Gantt S2L'!B7="","","SPACE TO LEAD")</f>
        <v>SPACE TO LEAD</v>
      </c>
      <c r="B203" s="1" t="str">
        <f aca="false">IF('10. Gantt S2L'!B7="","",'10. Gantt S2L'!B7)</f>
        <v>I.0.SAL.2</v>
      </c>
      <c r="C203" s="1" t="str">
        <f aca="false">IF('10. Gantt S2L'!B7="","",'10. Gantt S2L'!C7)</f>
        <v>Comptable (100%) - Salaire mensuel × 20 mois</v>
      </c>
      <c r="D203" s="1" t="str">
        <f aca="false">IF('10. Gantt S2L'!B7="","",'10. Gantt S2L'!D7)</f>
        <v>V0</v>
      </c>
      <c r="E203" s="1" t="str">
        <f aca="false">IF('10. Gantt S2L'!B7="","",'10. Gantt S2L'!E7)</f>
        <v>INOUSSA Ousmanou</v>
      </c>
      <c r="F203" s="1" t="n">
        <f aca="false">IF('10. Gantt S2L'!B7="","",'10. Gantt S2L'!G7)</f>
        <v>1</v>
      </c>
      <c r="G203" s="167" t="n">
        <f aca="false">IF('10. Gantt S2L'!B7="","",'10. Gantt S2L'!H7)</f>
        <v>46054</v>
      </c>
      <c r="H203" s="167" t="n">
        <f aca="false">IF('10. Gantt S2L'!B7="","",'10. Gantt S2L'!I7)</f>
        <v>46660</v>
      </c>
      <c r="I203" s="167" t="n">
        <f aca="false">IF('10. Gantt S2L'!B7="","",'10. Gantt S2L'!K7)</f>
        <v>0</v>
      </c>
      <c r="J203" s="168" t="n">
        <f aca="false">IF('10. Gantt S2L'!B7="","",'10. Gantt S2L'!M7)</f>
        <v>18.6468646864686</v>
      </c>
      <c r="K203" s="168" t="n">
        <f aca="false">IF('10. Gantt S2L'!B7="","",'10. Gantt S2L'!N7)</f>
        <v>0</v>
      </c>
      <c r="L203" s="169" t="n">
        <f aca="false">IF('10. Gantt S2L'!B7="","",'10. Gantt S2L'!O7)</f>
        <v>7612720</v>
      </c>
      <c r="M203" s="169" t="n">
        <f aca="false">IF('10. Gantt S2L'!B7="","",'10. Gantt S2L'!P7)</f>
        <v>0</v>
      </c>
      <c r="N203" s="1" t="str">
        <f aca="false">IF('10. Gantt S2L'!B7="","",'10. Gantt S2L'!Q7)</f>
        <v>En retard</v>
      </c>
      <c r="O203" s="1" t="n">
        <f aca="false">IF('10. Gantt S2L'!B7="","",'10. Gantt S2L'!R7)</f>
        <v>25</v>
      </c>
      <c r="P203" s="1" t="str">
        <f aca="false">IF('10. Gantt S2L'!B7="","",'10. Gantt S2L'!S7)</f>
        <v>I.0.SAL.2</v>
      </c>
      <c r="Q203" s="170" t="n">
        <f aca="false">IF('10. Gantt S2L'!B7="","",'10. Gantt S2L'!T7)</f>
        <v>20</v>
      </c>
      <c r="R203" s="170" t="n">
        <f aca="false">IF('10. Gantt S2L'!B7="","",'10. Gantt S2L'!U7)</f>
        <v>0</v>
      </c>
    </row>
    <row r="204" customFormat="false" ht="15" hidden="false" customHeight="true" outlineLevel="0" collapsed="false">
      <c r="A204" s="1" t="str">
        <f aca="false">IF('10. Gantt S2L'!B8="","","SPACE TO LEAD")</f>
        <v>SPACE TO LEAD</v>
      </c>
      <c r="B204" s="1" t="str">
        <f aca="false">IF('10. Gantt S2L'!B8="","",'10. Gantt S2L'!B8)</f>
        <v>I.0.EQ.1</v>
      </c>
      <c r="C204" s="1" t="str">
        <f aca="false">IF('10. Gantt S2L'!B8="","",'10. Gantt S2L'!C8)</f>
        <v>Achat laptops + accessoires (2 unités)</v>
      </c>
      <c r="D204" s="1" t="str">
        <f aca="false">IF('10. Gantt S2L'!B8="","",'10. Gantt S2L'!D8)</f>
        <v>V0</v>
      </c>
      <c r="E204" s="1" t="str">
        <f aca="false">IF('10. Gantt S2L'!B8="","",'10. Gantt S2L'!E8)</f>
        <v>INOUSSA Ousmanou</v>
      </c>
      <c r="F204" s="1" t="n">
        <f aca="false">IF('10. Gantt S2L'!B8="","",'10. Gantt S2L'!G8)</f>
        <v>2</v>
      </c>
      <c r="G204" s="167" t="n">
        <f aca="false">IF('10. Gantt S2L'!B8="","",'10. Gantt S2L'!H8)</f>
        <v>46054</v>
      </c>
      <c r="H204" s="167" t="n">
        <f aca="false">IF('10. Gantt S2L'!B8="","",'10. Gantt S2L'!I8)</f>
        <v>46112</v>
      </c>
      <c r="I204" s="167" t="n">
        <f aca="false">IF('10. Gantt S2L'!B8="","",'10. Gantt S2L'!K8)</f>
        <v>0</v>
      </c>
      <c r="J204" s="168" t="n">
        <f aca="false">IF('10. Gantt S2L'!B8="","",'10. Gantt S2L'!M8)</f>
        <v>100</v>
      </c>
      <c r="K204" s="168" t="n">
        <f aca="false">IF('10. Gantt S2L'!B8="","",'10. Gantt S2L'!N8)</f>
        <v>0</v>
      </c>
      <c r="L204" s="169" t="n">
        <f aca="false">IF('10. Gantt S2L'!B8="","",'10. Gantt S2L'!O8)</f>
        <v>1200000</v>
      </c>
      <c r="M204" s="169" t="n">
        <f aca="false">IF('10. Gantt S2L'!B8="","",'10. Gantt S2L'!P8)</f>
        <v>0</v>
      </c>
      <c r="N204" s="1" t="str">
        <f aca="false">IF('10. Gantt S2L'!B8="","",'10. Gantt S2L'!Q8)</f>
        <v>Critique</v>
      </c>
      <c r="O204" s="1" t="n">
        <f aca="false">IF('10. Gantt S2L'!B8="","",'10. Gantt S2L'!R8)</f>
        <v>10</v>
      </c>
      <c r="P204" s="1" t="str">
        <f aca="false">IF('10. Gantt S2L'!B8="","",'10. Gantt S2L'!S8)</f>
        <v>I.0.EQ.1</v>
      </c>
      <c r="Q204" s="170" t="n">
        <f aca="false">IF('10. Gantt S2L'!B8="","",'10. Gantt S2L'!T8)</f>
        <v>2</v>
      </c>
      <c r="R204" s="170" t="n">
        <f aca="false">IF('10. Gantt S2L'!B8="","",'10. Gantt S2L'!U8)</f>
        <v>0</v>
      </c>
    </row>
    <row r="205" customFormat="false" ht="15" hidden="false" customHeight="true" outlineLevel="0" collapsed="false">
      <c r="A205" s="1" t="str">
        <f aca="false">IF('10. Gantt S2L'!B9="","","SPACE TO LEAD")</f>
        <v>SPACE TO LEAD</v>
      </c>
      <c r="B205" s="1" t="str">
        <f aca="false">IF('10. Gantt S2L'!B9="","",'10. Gantt S2L'!B9)</f>
        <v>I.0.EQ.2</v>
      </c>
      <c r="C205" s="1" t="str">
        <f aca="false">IF('10. Gantt S2L'!B9="","",'10. Gantt S2L'!C9)</f>
        <v>Forfait achat fournitures ONG</v>
      </c>
      <c r="D205" s="1" t="str">
        <f aca="false">IF('10. Gantt S2L'!B9="","",'10. Gantt S2L'!D9)</f>
        <v>V0</v>
      </c>
      <c r="E205" s="1" t="str">
        <f aca="false">IF('10. Gantt S2L'!B9="","",'10. Gantt S2L'!E9)</f>
        <v>INOUSSA Ousmanou</v>
      </c>
      <c r="F205" s="1" t="n">
        <f aca="false">IF('10. Gantt S2L'!B9="","",'10. Gantt S2L'!G9)</f>
        <v>1</v>
      </c>
      <c r="G205" s="167" t="n">
        <f aca="false">IF('10. Gantt S2L'!B9="","",'10. Gantt S2L'!H9)</f>
        <v>46054</v>
      </c>
      <c r="H205" s="167" t="n">
        <f aca="false">IF('10. Gantt S2L'!B9="","",'10. Gantt S2L'!I9)</f>
        <v>46660</v>
      </c>
      <c r="I205" s="167" t="n">
        <f aca="false">IF('10. Gantt S2L'!B9="","",'10. Gantt S2L'!K9)</f>
        <v>0</v>
      </c>
      <c r="J205" s="168" t="n">
        <f aca="false">IF('10. Gantt S2L'!B9="","",'10. Gantt S2L'!M9)</f>
        <v>18.6468646864686</v>
      </c>
      <c r="K205" s="168" t="n">
        <f aca="false">IF('10. Gantt S2L'!B9="","",'10. Gantt S2L'!N9)</f>
        <v>0</v>
      </c>
      <c r="L205" s="169" t="n">
        <f aca="false">IF('10. Gantt S2L'!B9="","",'10. Gantt S2L'!O9)</f>
        <v>450000</v>
      </c>
      <c r="M205" s="169" t="n">
        <f aca="false">IF('10. Gantt S2L'!B9="","",'10. Gantt S2L'!P9)</f>
        <v>0</v>
      </c>
      <c r="N205" s="1" t="str">
        <f aca="false">IF('10. Gantt S2L'!B9="","",'10. Gantt S2L'!Q9)</f>
        <v>En retard</v>
      </c>
      <c r="O205" s="1" t="n">
        <f aca="false">IF('10. Gantt S2L'!B9="","",'10. Gantt S2L'!R9)</f>
        <v>25</v>
      </c>
      <c r="P205" s="1" t="str">
        <f aca="false">IF('10. Gantt S2L'!B9="","",'10. Gantt S2L'!S9)</f>
        <v>I.0.EQ.2</v>
      </c>
      <c r="Q205" s="170" t="n">
        <f aca="false">IF('10. Gantt S2L'!B9="","",'10. Gantt S2L'!T9)</f>
        <v>3</v>
      </c>
      <c r="R205" s="170" t="n">
        <f aca="false">IF('10. Gantt S2L'!B9="","",'10. Gantt S2L'!U9)</f>
        <v>0</v>
      </c>
    </row>
    <row r="206" customFormat="false" ht="15" hidden="false" customHeight="true" outlineLevel="0" collapsed="false">
      <c r="A206" s="1" t="str">
        <f aca="false">IF('10. Gantt S2L'!B10="","","SPACE TO LEAD")</f>
        <v>SPACE TO LEAD</v>
      </c>
      <c r="B206" s="1" t="str">
        <f aca="false">IF('10. Gantt S2L'!B10="","",'10. Gantt S2L'!B10)</f>
        <v>I.0.EQ.3</v>
      </c>
      <c r="C206" s="1" t="str">
        <f aca="false">IF('10. Gantt S2L'!B10="","",'10. Gantt S2L'!C10)</f>
        <v>Kits internet</v>
      </c>
      <c r="D206" s="1" t="str">
        <f aca="false">IF('10. Gantt S2L'!B10="","",'10. Gantt S2L'!D10)</f>
        <v>V0</v>
      </c>
      <c r="E206" s="1" t="str">
        <f aca="false">IF('10. Gantt S2L'!B10="","",'10. Gantt S2L'!E10)</f>
        <v>INOUSSA Ousmanou</v>
      </c>
      <c r="F206" s="1" t="n">
        <f aca="false">IF('10. Gantt S2L'!B10="","",'10. Gantt S2L'!G10)</f>
        <v>1</v>
      </c>
      <c r="G206" s="167" t="n">
        <f aca="false">IF('10. Gantt S2L'!B10="","",'10. Gantt S2L'!H10)</f>
        <v>46054</v>
      </c>
      <c r="H206" s="167" t="n">
        <f aca="false">IF('10. Gantt S2L'!B10="","",'10. Gantt S2L'!I10)</f>
        <v>46112</v>
      </c>
      <c r="I206" s="167" t="n">
        <f aca="false">IF('10. Gantt S2L'!B10="","",'10. Gantt S2L'!K10)</f>
        <v>0</v>
      </c>
      <c r="J206" s="168" t="n">
        <f aca="false">IF('10. Gantt S2L'!B10="","",'10. Gantt S2L'!M10)</f>
        <v>100</v>
      </c>
      <c r="K206" s="168" t="n">
        <f aca="false">IF('10. Gantt S2L'!B10="","",'10. Gantt S2L'!N10)</f>
        <v>0</v>
      </c>
      <c r="L206" s="169" t="n">
        <f aca="false">IF('10. Gantt S2L'!B10="","",'10. Gantt S2L'!O10)</f>
        <v>35000</v>
      </c>
      <c r="M206" s="169" t="n">
        <f aca="false">IF('10. Gantt S2L'!B10="","",'10. Gantt S2L'!P10)</f>
        <v>0</v>
      </c>
      <c r="N206" s="1" t="str">
        <f aca="false">IF('10. Gantt S2L'!B10="","",'10. Gantt S2L'!Q10)</f>
        <v>Critique</v>
      </c>
      <c r="O206" s="1" t="n">
        <f aca="false">IF('10. Gantt S2L'!B10="","",'10. Gantt S2L'!R10)</f>
        <v>10</v>
      </c>
      <c r="P206" s="1" t="str">
        <f aca="false">IF('10. Gantt S2L'!B10="","",'10. Gantt S2L'!S10)</f>
        <v>I.0.EQ.3</v>
      </c>
      <c r="Q206" s="170" t="n">
        <f aca="false">IF('10. Gantt S2L'!B10="","",'10. Gantt S2L'!T10)</f>
        <v>1</v>
      </c>
      <c r="R206" s="170" t="n">
        <f aca="false">IF('10. Gantt S2L'!B10="","",'10. Gantt S2L'!U10)</f>
        <v>0</v>
      </c>
    </row>
    <row r="207" customFormat="false" ht="15" hidden="false" customHeight="true" outlineLevel="0" collapsed="false">
      <c r="A207" s="1" t="str">
        <f aca="false">IF('10. Gantt S2L'!B11="","","SPACE TO LEAD")</f>
        <v>SPACE TO LEAD</v>
      </c>
      <c r="B207" s="1" t="str">
        <f aca="false">IF('10. Gantt S2L'!B11="","",'10. Gantt S2L'!B11)</f>
        <v>I.0.ME.1</v>
      </c>
      <c r="C207" s="1" t="str">
        <f aca="false">IF('10. Gantt S2L'!B11="","",'10. Gantt S2L'!C11)</f>
        <v>Mission de suivi de coordination des OSC</v>
      </c>
      <c r="D207" s="1" t="str">
        <f aca="false">IF('10. Gantt S2L'!B11="","",'10. Gantt S2L'!D11)</f>
        <v>V0</v>
      </c>
      <c r="E207" s="1" t="str">
        <f aca="false">IF('10. Gantt S2L'!B11="","",'10. Gantt S2L'!E11)</f>
        <v>OLOMONCHIN Francis</v>
      </c>
      <c r="F207" s="1" t="n">
        <f aca="false">IF('10. Gantt S2L'!B11="","",'10. Gantt S2L'!G11)</f>
        <v>2</v>
      </c>
      <c r="G207" s="167" t="n">
        <f aca="false">IF('10. Gantt S2L'!B11="","",'10. Gantt S2L'!H11)</f>
        <v>46113</v>
      </c>
      <c r="H207" s="167" t="n">
        <f aca="false">IF('10. Gantt S2L'!B11="","",'10. Gantt S2L'!I11)</f>
        <v>46660</v>
      </c>
      <c r="I207" s="167" t="n">
        <f aca="false">IF('10. Gantt S2L'!B11="","",'10. Gantt S2L'!K11)</f>
        <v>0</v>
      </c>
      <c r="J207" s="168" t="n">
        <f aca="false">IF('10. Gantt S2L'!B11="","",'10. Gantt S2L'!M11)</f>
        <v>9.87202925045704</v>
      </c>
      <c r="K207" s="168" t="n">
        <f aca="false">IF('10. Gantt S2L'!B11="","",'10. Gantt S2L'!N11)</f>
        <v>0</v>
      </c>
      <c r="L207" s="169" t="n">
        <f aca="false">IF('10. Gantt S2L'!B11="","",'10. Gantt S2L'!O11)</f>
        <v>1500000</v>
      </c>
      <c r="M207" s="169" t="n">
        <f aca="false">IF('10. Gantt S2L'!B11="","",'10. Gantt S2L'!P11)</f>
        <v>0</v>
      </c>
      <c r="N207" s="1" t="str">
        <f aca="false">IF('10. Gantt S2L'!B11="","",'10. Gantt S2L'!Q11)</f>
        <v>En retard</v>
      </c>
      <c r="O207" s="1" t="n">
        <f aca="false">IF('10. Gantt S2L'!B11="","",'10. Gantt S2L'!R11)</f>
        <v>25</v>
      </c>
      <c r="P207" s="1" t="str">
        <f aca="false">IF('10. Gantt S2L'!B11="","",'10. Gantt S2L'!S11)</f>
        <v>I.0.ME.1</v>
      </c>
      <c r="Q207" s="170" t="n">
        <f aca="false">IF('10. Gantt S2L'!B11="","",'10. Gantt S2L'!T11)</f>
        <v>3</v>
      </c>
      <c r="R207" s="170" t="n">
        <f aca="false">IF('10. Gantt S2L'!B11="","",'10. Gantt S2L'!U11)</f>
        <v>0</v>
      </c>
    </row>
    <row r="208" customFormat="false" ht="15" hidden="false" customHeight="true" outlineLevel="0" collapsed="false">
      <c r="A208" s="1" t="str">
        <f aca="false">IF('10. Gantt S2L'!B12="","","SPACE TO LEAD")</f>
        <v>SPACE TO LEAD</v>
      </c>
      <c r="B208" s="1" t="str">
        <f aca="false">IF('10. Gantt S2L'!B12="","",'10. Gantt S2L'!B12)</f>
        <v>I.0.SC.1</v>
      </c>
      <c r="C208" s="1" t="str">
        <f aca="false">IF('10. Gantt S2L'!B12="","",'10. Gantt S2L'!C12)</f>
        <v>Contribution salaire management</v>
      </c>
      <c r="D208" s="1" t="str">
        <f aca="false">IF('10. Gantt S2L'!B12="","",'10. Gantt S2L'!D12)</f>
        <v>V0</v>
      </c>
      <c r="E208" s="1" t="str">
        <f aca="false">IF('10. Gantt S2L'!B12="","",'10. Gantt S2L'!E12)</f>
        <v>KASSIMOU Mountarou</v>
      </c>
      <c r="F208" s="1" t="n">
        <f aca="false">IF('10. Gantt S2L'!B12="","",'10. Gantt S2L'!G12)</f>
        <v>1</v>
      </c>
      <c r="G208" s="167" t="n">
        <f aca="false">IF('10. Gantt S2L'!B12="","",'10. Gantt S2L'!H12)</f>
        <v>46054</v>
      </c>
      <c r="H208" s="167" t="n">
        <f aca="false">IF('10. Gantt S2L'!B12="","",'10. Gantt S2L'!I12)</f>
        <v>46660</v>
      </c>
      <c r="I208" s="167" t="n">
        <f aca="false">IF('10. Gantt S2L'!B12="","",'10. Gantt S2L'!K12)</f>
        <v>0</v>
      </c>
      <c r="J208" s="168" t="n">
        <f aca="false">IF('10. Gantt S2L'!B12="","",'10. Gantt S2L'!M12)</f>
        <v>18.6468646864686</v>
      </c>
      <c r="K208" s="168" t="n">
        <f aca="false">IF('10. Gantt S2L'!B12="","",'10. Gantt S2L'!N12)</f>
        <v>0</v>
      </c>
      <c r="L208" s="169" t="n">
        <f aca="false">IF('10. Gantt S2L'!B12="","",'10. Gantt S2L'!O12)</f>
        <v>2000000</v>
      </c>
      <c r="M208" s="169" t="n">
        <f aca="false">IF('10. Gantt S2L'!B12="","",'10. Gantt S2L'!P12)</f>
        <v>0</v>
      </c>
      <c r="N208" s="1" t="str">
        <f aca="false">IF('10. Gantt S2L'!B12="","",'10. Gantt S2L'!Q12)</f>
        <v>En retard</v>
      </c>
      <c r="O208" s="1" t="n">
        <f aca="false">IF('10. Gantt S2L'!B12="","",'10. Gantt S2L'!R12)</f>
        <v>25</v>
      </c>
      <c r="P208" s="1" t="str">
        <f aca="false">IF('10. Gantt S2L'!B12="","",'10. Gantt S2L'!S12)</f>
        <v>I.0.SC.1</v>
      </c>
      <c r="Q208" s="170" t="n">
        <f aca="false">IF('10. Gantt S2L'!B12="","",'10. Gantt S2L'!T12)</f>
        <v>20</v>
      </c>
      <c r="R208" s="170" t="n">
        <f aca="false">IF('10. Gantt S2L'!B12="","",'10. Gantt S2L'!U12)</f>
        <v>0</v>
      </c>
    </row>
    <row r="209" customFormat="false" ht="15" hidden="false" customHeight="true" outlineLevel="0" collapsed="false">
      <c r="A209" s="1" t="str">
        <f aca="false">IF('10. Gantt S2L'!B13="","","SPACE TO LEAD")</f>
        <v>SPACE TO LEAD</v>
      </c>
      <c r="B209" s="1" t="str">
        <f aca="false">IF('10. Gantt S2L'!B13="","",'10. Gantt S2L'!B13)</f>
        <v>I.0.SC.2</v>
      </c>
      <c r="C209" s="1" t="str">
        <f aca="false">IF('10. Gantt S2L'!B13="","",'10. Gantt S2L'!C13)</f>
        <v>Contribution loyer/eau/électricité/gardiennage</v>
      </c>
      <c r="D209" s="1" t="str">
        <f aca="false">IF('10. Gantt S2L'!B13="","",'10. Gantt S2L'!D13)</f>
        <v>V0</v>
      </c>
      <c r="E209" s="1" t="str">
        <f aca="false">IF('10. Gantt S2L'!B13="","",'10. Gantt S2L'!E13)</f>
        <v>INOUSSA Ousmanou</v>
      </c>
      <c r="F209" s="1" t="n">
        <f aca="false">IF('10. Gantt S2L'!B13="","",'10. Gantt S2L'!G13)</f>
        <v>1</v>
      </c>
      <c r="G209" s="167" t="n">
        <f aca="false">IF('10. Gantt S2L'!B13="","",'10. Gantt S2L'!H13)</f>
        <v>46054</v>
      </c>
      <c r="H209" s="167" t="n">
        <f aca="false">IF('10. Gantt S2L'!B13="","",'10. Gantt S2L'!I13)</f>
        <v>46660</v>
      </c>
      <c r="I209" s="167" t="n">
        <f aca="false">IF('10. Gantt S2L'!B13="","",'10. Gantt S2L'!K13)</f>
        <v>0</v>
      </c>
      <c r="J209" s="168" t="n">
        <f aca="false">IF('10. Gantt S2L'!B13="","",'10. Gantt S2L'!M13)</f>
        <v>18.6468646864686</v>
      </c>
      <c r="K209" s="168" t="n">
        <f aca="false">IF('10. Gantt S2L'!B13="","",'10. Gantt S2L'!N13)</f>
        <v>0</v>
      </c>
      <c r="L209" s="169" t="n">
        <f aca="false">IF('10. Gantt S2L'!B13="","",'10. Gantt S2L'!O13)</f>
        <v>2000000</v>
      </c>
      <c r="M209" s="169" t="n">
        <f aca="false">IF('10. Gantt S2L'!B13="","",'10. Gantt S2L'!P13)</f>
        <v>0</v>
      </c>
      <c r="N209" s="1" t="str">
        <f aca="false">IF('10. Gantt S2L'!B13="","",'10. Gantt S2L'!Q13)</f>
        <v>En retard</v>
      </c>
      <c r="O209" s="1" t="n">
        <f aca="false">IF('10. Gantt S2L'!B13="","",'10. Gantt S2L'!R13)</f>
        <v>25</v>
      </c>
      <c r="P209" s="1" t="str">
        <f aca="false">IF('10. Gantt S2L'!B13="","",'10. Gantt S2L'!S13)</f>
        <v>I.0.SC.2</v>
      </c>
      <c r="Q209" s="170" t="n">
        <f aca="false">IF('10. Gantt S2L'!B13="","",'10. Gantt S2L'!T13)</f>
        <v>20</v>
      </c>
      <c r="R209" s="170" t="n">
        <f aca="false">IF('10. Gantt S2L'!B13="","",'10. Gantt S2L'!U13)</f>
        <v>0</v>
      </c>
    </row>
    <row r="210" customFormat="false" ht="15" hidden="false" customHeight="true" outlineLevel="0" collapsed="false">
      <c r="A210" s="1" t="str">
        <f aca="false">IF('10. Gantt S2L'!B14="","","SPACE TO LEAD")</f>
        <v>SPACE TO LEAD</v>
      </c>
      <c r="B210" s="1" t="str">
        <f aca="false">IF('10. Gantt S2L'!B14="","",'10. Gantt S2L'!B14)</f>
        <v>I.0.SC.3</v>
      </c>
      <c r="C210" s="1" t="str">
        <f aca="false">IF('10. Gantt S2L'!B14="","",'10. Gantt S2L'!C14)</f>
        <v>Connexion internet ONG</v>
      </c>
      <c r="D210" s="1" t="str">
        <f aca="false">IF('10. Gantt S2L'!B14="","",'10. Gantt S2L'!D14)</f>
        <v>V0</v>
      </c>
      <c r="E210" s="1" t="str">
        <f aca="false">IF('10. Gantt S2L'!B14="","",'10. Gantt S2L'!E14)</f>
        <v>INOUSSA Ousmanou</v>
      </c>
      <c r="F210" s="1" t="n">
        <f aca="false">IF('10. Gantt S2L'!B14="","",'10. Gantt S2L'!G14)</f>
        <v>1</v>
      </c>
      <c r="G210" s="167" t="n">
        <f aca="false">IF('10. Gantt S2L'!B14="","",'10. Gantt S2L'!H14)</f>
        <v>46054</v>
      </c>
      <c r="H210" s="167" t="n">
        <f aca="false">IF('10. Gantt S2L'!B14="","",'10. Gantt S2L'!I14)</f>
        <v>46660</v>
      </c>
      <c r="I210" s="167" t="n">
        <f aca="false">IF('10. Gantt S2L'!B14="","",'10. Gantt S2L'!K14)</f>
        <v>0</v>
      </c>
      <c r="J210" s="168" t="n">
        <f aca="false">IF('10. Gantt S2L'!B14="","",'10. Gantt S2L'!M14)</f>
        <v>18.6468646864686</v>
      </c>
      <c r="K210" s="168" t="n">
        <f aca="false">IF('10. Gantt S2L'!B14="","",'10. Gantt S2L'!N14)</f>
        <v>0</v>
      </c>
      <c r="L210" s="169" t="n">
        <f aca="false">IF('10. Gantt S2L'!B14="","",'10. Gantt S2L'!O14)</f>
        <v>1040000</v>
      </c>
      <c r="M210" s="169" t="n">
        <f aca="false">IF('10. Gantt S2L'!B14="","",'10. Gantt S2L'!P14)</f>
        <v>0</v>
      </c>
      <c r="N210" s="1" t="str">
        <f aca="false">IF('10. Gantt S2L'!B14="","",'10. Gantt S2L'!Q14)</f>
        <v>En retard</v>
      </c>
      <c r="O210" s="1" t="n">
        <f aca="false">IF('10. Gantt S2L'!B14="","",'10. Gantt S2L'!R14)</f>
        <v>25</v>
      </c>
      <c r="P210" s="1" t="str">
        <f aca="false">IF('10. Gantt S2L'!B14="","",'10. Gantt S2L'!S14)</f>
        <v>I.0.SC.3</v>
      </c>
      <c r="Q210" s="170" t="n">
        <f aca="false">IF('10. Gantt S2L'!B14="","",'10. Gantt S2L'!T14)</f>
        <v>20</v>
      </c>
      <c r="R210" s="170" t="n">
        <f aca="false">IF('10. Gantt S2L'!B14="","",'10. Gantt S2L'!U14)</f>
        <v>0</v>
      </c>
    </row>
    <row r="211" customFormat="false" ht="15" hidden="false" customHeight="true" outlineLevel="0" collapsed="false">
      <c r="A211" s="1" t="str">
        <f aca="false">IF('10. Gantt S2L'!B15="","","SPACE TO LEAD")</f>
        <v>SPACE TO LEAD</v>
      </c>
      <c r="B211" s="1" t="str">
        <f aca="false">IF('10. Gantt S2L'!B15="","",'10. Gantt S2L'!B15)</f>
        <v>A.DCO.1</v>
      </c>
      <c r="C211" s="1" t="str">
        <f aca="false">IF('10. Gantt S2L'!B15="","",'10. Gantt S2L'!C15)</f>
        <v>Auto-évaluation des OSC (10 OSC × 9 participants × 2 jours)</v>
      </c>
      <c r="D211" s="1" t="str">
        <f aca="false">IF('10. Gantt S2L'!B15="","",'10. Gantt S2L'!D15)</f>
        <v>VA</v>
      </c>
      <c r="E211" s="1" t="str">
        <f aca="false">IF('10. Gantt S2L'!B15="","",'10. Gantt S2L'!E15)</f>
        <v>KASSIMOU Mountarou</v>
      </c>
      <c r="F211" s="1" t="n">
        <f aca="false">IF('10. Gantt S2L'!B15="","",'10. Gantt S2L'!G15)</f>
        <v>2</v>
      </c>
      <c r="G211" s="167" t="n">
        <f aca="false">IF('10. Gantt S2L'!B15="","",'10. Gantt S2L'!H15)</f>
        <v>46054</v>
      </c>
      <c r="H211" s="167" t="n">
        <f aca="false">IF('10. Gantt S2L'!B15="","",'10. Gantt S2L'!I15)</f>
        <v>46081</v>
      </c>
      <c r="I211" s="167" t="n">
        <f aca="false">IF('10. Gantt S2L'!B15="","",'10. Gantt S2L'!K15)</f>
        <v>0</v>
      </c>
      <c r="J211" s="168" t="n">
        <f aca="false">IF('10. Gantt S2L'!B15="","",'10. Gantt S2L'!M15)</f>
        <v>100</v>
      </c>
      <c r="K211" s="168" t="n">
        <f aca="false">IF('10. Gantt S2L'!B15="","",'10. Gantt S2L'!N15)</f>
        <v>0</v>
      </c>
      <c r="L211" s="169" t="n">
        <f aca="false">IF('10. Gantt S2L'!B15="","",'10. Gantt S2L'!O15)</f>
        <v>250000</v>
      </c>
      <c r="M211" s="169" t="n">
        <f aca="false">IF('10. Gantt S2L'!B15="","",'10. Gantt S2L'!P15)</f>
        <v>0</v>
      </c>
      <c r="N211" s="1" t="str">
        <f aca="false">IF('10. Gantt S2L'!B15="","",'10. Gantt S2L'!Q15)</f>
        <v>Critique</v>
      </c>
      <c r="O211" s="1" t="n">
        <f aca="false">IF('10. Gantt S2L'!B15="","",'10. Gantt S2L'!R15)</f>
        <v>10</v>
      </c>
      <c r="P211" s="1" t="str">
        <f aca="false">IF('10. Gantt S2L'!B15="","",'10. Gantt S2L'!S15)</f>
        <v>A.DCO.1</v>
      </c>
      <c r="Q211" s="170" t="n">
        <f aca="false">IF('10. Gantt S2L'!B15="","",'10. Gantt S2L'!T15)</f>
        <v>1</v>
      </c>
      <c r="R211" s="170" t="n">
        <f aca="false">IF('10. Gantt S2L'!B15="","",'10. Gantt S2L'!U15)</f>
        <v>0</v>
      </c>
    </row>
    <row r="212" customFormat="false" ht="15" hidden="false" customHeight="true" outlineLevel="0" collapsed="false">
      <c r="A212" s="1" t="str">
        <f aca="false">IF('10. Gantt S2L'!B16="","","SPACE TO LEAD")</f>
        <v>SPACE TO LEAD</v>
      </c>
      <c r="B212" s="1" t="str">
        <f aca="false">IF('10. Gantt S2L'!B16="","",'10. Gantt S2L'!B16)</f>
        <v>A.DCO.2</v>
      </c>
      <c r="C212" s="1" t="str">
        <f aca="false">IF('10. Gantt S2L'!B16="","",'10. Gantt S2L'!C16)</f>
        <v>Élaboration du plan DCO (10 OSC × 9 participants × 2 jours)</v>
      </c>
      <c r="D212" s="1" t="str">
        <f aca="false">IF('10. Gantt S2L'!B16="","",'10. Gantt S2L'!D16)</f>
        <v>VA</v>
      </c>
      <c r="E212" s="1" t="str">
        <f aca="false">IF('10. Gantt S2L'!B16="","",'10. Gantt S2L'!E16)</f>
        <v>KASSIMOU Mountarou</v>
      </c>
      <c r="F212" s="1" t="n">
        <f aca="false">IF('10. Gantt S2L'!B16="","",'10. Gantt S2L'!G16)</f>
        <v>3</v>
      </c>
      <c r="G212" s="167" t="n">
        <f aca="false">IF('10. Gantt S2L'!B16="","",'10. Gantt S2L'!H16)</f>
        <v>46068</v>
      </c>
      <c r="H212" s="167" t="n">
        <f aca="false">IF('10. Gantt S2L'!B16="","",'10. Gantt S2L'!I16)</f>
        <v>46096</v>
      </c>
      <c r="I212" s="167" t="n">
        <f aca="false">IF('10. Gantt S2L'!B16="","",'10. Gantt S2L'!K16)</f>
        <v>0</v>
      </c>
      <c r="J212" s="168" t="n">
        <f aca="false">IF('10. Gantt S2L'!B16="","",'10. Gantt S2L'!M16)</f>
        <v>100</v>
      </c>
      <c r="K212" s="168" t="n">
        <f aca="false">IF('10. Gantt S2L'!B16="","",'10. Gantt S2L'!N16)</f>
        <v>0</v>
      </c>
      <c r="L212" s="169" t="n">
        <f aca="false">IF('10. Gantt S2L'!B16="","",'10. Gantt S2L'!O16)</f>
        <v>250000</v>
      </c>
      <c r="M212" s="169" t="n">
        <f aca="false">IF('10. Gantt S2L'!B16="","",'10. Gantt S2L'!P16)</f>
        <v>0</v>
      </c>
      <c r="N212" s="1" t="str">
        <f aca="false">IF('10. Gantt S2L'!B16="","",'10. Gantt S2L'!Q16)</f>
        <v>Critique</v>
      </c>
      <c r="O212" s="1" t="n">
        <f aca="false">IF('10. Gantt S2L'!B16="","",'10. Gantt S2L'!R16)</f>
        <v>10</v>
      </c>
      <c r="P212" s="1" t="str">
        <f aca="false">IF('10. Gantt S2L'!B16="","",'10. Gantt S2L'!S16)</f>
        <v>A.DCO.2</v>
      </c>
      <c r="Q212" s="170" t="n">
        <f aca="false">IF('10. Gantt S2L'!B16="","",'10. Gantt S2L'!T16)</f>
        <v>1</v>
      </c>
      <c r="R212" s="170" t="n">
        <f aca="false">IF('10. Gantt S2L'!B16="","",'10. Gantt S2L'!U16)</f>
        <v>0</v>
      </c>
    </row>
    <row r="213" customFormat="false" ht="15" hidden="false" customHeight="true" outlineLevel="0" collapsed="false">
      <c r="A213" s="1" t="str">
        <f aca="false">IF('10. Gantt S2L'!B17="","","SPACE TO LEAD")</f>
        <v>SPACE TO LEAD</v>
      </c>
      <c r="B213" s="1" t="str">
        <f aca="false">IF('10. Gantt S2L'!B17="","",'10. Gantt S2L'!B17)</f>
        <v>A.DCO.MEP1</v>
      </c>
      <c r="C213" s="1" t="str">
        <f aca="false">IF('10. Gantt S2L'!B17="","",'10. Gantt S2L'!C17)</f>
        <v>Mise en œuvre plans DCO - Vague 1 (15% budget OSC)</v>
      </c>
      <c r="D213" s="1" t="str">
        <f aca="false">IF('10. Gantt S2L'!B17="","",'10. Gantt S2L'!D17)</f>
        <v>VA</v>
      </c>
      <c r="E213" s="1" t="str">
        <f aca="false">IF('10. Gantt S2L'!B17="","",'10. Gantt S2L'!E17)</f>
        <v>OLOMONCHIN Francis</v>
      </c>
      <c r="F213" s="1" t="n">
        <f aca="false">IF('10. Gantt S2L'!B17="","",'10. Gantt S2L'!G17)</f>
        <v>3</v>
      </c>
      <c r="G213" s="167" t="n">
        <f aca="false">IF('10. Gantt S2L'!B17="","",'10. Gantt S2L'!H17)</f>
        <v>46113</v>
      </c>
      <c r="H213" s="167" t="n">
        <f aca="false">IF('10. Gantt S2L'!B17="","",'10. Gantt S2L'!I17)</f>
        <v>46295</v>
      </c>
      <c r="I213" s="167" t="n">
        <f aca="false">IF('10. Gantt S2L'!B17="","",'10. Gantt S2L'!K17)</f>
        <v>0</v>
      </c>
      <c r="J213" s="168" t="n">
        <f aca="false">IF('10. Gantt S2L'!B17="","",'10. Gantt S2L'!M17)</f>
        <v>29.6703296703297</v>
      </c>
      <c r="K213" s="168" t="n">
        <f aca="false">IF('10. Gantt S2L'!B17="","",'10. Gantt S2L'!N17)</f>
        <v>0</v>
      </c>
      <c r="L213" s="169" t="n">
        <f aca="false">IF('10. Gantt S2L'!B17="","",'10. Gantt S2L'!O17)</f>
        <v>2500000</v>
      </c>
      <c r="M213" s="169" t="n">
        <f aca="false">IF('10. Gantt S2L'!B17="","",'10. Gantt S2L'!P17)</f>
        <v>0</v>
      </c>
      <c r="N213" s="1" t="str">
        <f aca="false">IF('10. Gantt S2L'!B17="","",'10. Gantt S2L'!Q17)</f>
        <v>En retard</v>
      </c>
      <c r="O213" s="1" t="n">
        <f aca="false">IF('10. Gantt S2L'!B17="","",'10. Gantt S2L'!R17)</f>
        <v>25</v>
      </c>
      <c r="P213" s="1" t="str">
        <f aca="false">IF('10. Gantt S2L'!B17="","",'10. Gantt S2L'!S17)</f>
        <v>A.DCO.MEP</v>
      </c>
      <c r="Q213" s="170" t="n">
        <f aca="false">IF('10. Gantt S2L'!B17="","",'10. Gantt S2L'!T17)</f>
        <v>1</v>
      </c>
      <c r="R213" s="170" t="n">
        <f aca="false">IF('10. Gantt S2L'!B17="","",'10. Gantt S2L'!U17)</f>
        <v>0</v>
      </c>
    </row>
    <row r="214" customFormat="false" ht="15" hidden="false" customHeight="true" outlineLevel="0" collapsed="false">
      <c r="A214" s="1" t="str">
        <f aca="false">IF('10. Gantt S2L'!B18="","","SPACE TO LEAD")</f>
        <v>SPACE TO LEAD</v>
      </c>
      <c r="B214" s="1" t="str">
        <f aca="false">IF('10. Gantt S2L'!B18="","",'10. Gantt S2L'!B18)</f>
        <v>A.DCO.MEP2</v>
      </c>
      <c r="C214" s="1" t="str">
        <f aca="false">IF('10. Gantt S2L'!B18="","",'10. Gantt S2L'!C18)</f>
        <v>Mise en œuvre plans DCO - Vague 2</v>
      </c>
      <c r="D214" s="1" t="str">
        <f aca="false">IF('10. Gantt S2L'!B18="","",'10. Gantt S2L'!D18)</f>
        <v>VA</v>
      </c>
      <c r="E214" s="1" t="str">
        <f aca="false">IF('10. Gantt S2L'!B18="","",'10. Gantt S2L'!E18)</f>
        <v>OLOMONCHIN Francis</v>
      </c>
      <c r="F214" s="1" t="n">
        <f aca="false">IF('10. Gantt S2L'!B18="","",'10. Gantt S2L'!G18)</f>
        <v>3</v>
      </c>
      <c r="G214" s="167" t="n">
        <f aca="false">IF('10. Gantt S2L'!B18="","",'10. Gantt S2L'!H18)</f>
        <v>46296</v>
      </c>
      <c r="H214" s="167" t="n">
        <f aca="false">IF('10. Gantt S2L'!B18="","",'10. Gantt S2L'!I18)</f>
        <v>46477</v>
      </c>
      <c r="I214" s="167" t="n">
        <f aca="false">IF('10. Gantt S2L'!B18="","",'10. Gantt S2L'!K18)</f>
        <v>0</v>
      </c>
      <c r="J214" s="168" t="n">
        <f aca="false">IF('10. Gantt S2L'!B18="","",'10. Gantt S2L'!M18)</f>
        <v>0</v>
      </c>
      <c r="K214" s="168" t="n">
        <f aca="false">IF('10. Gantt S2L'!B18="","",'10. Gantt S2L'!N18)</f>
        <v>0</v>
      </c>
      <c r="L214" s="169" t="n">
        <f aca="false">IF('10. Gantt S2L'!B18="","",'10. Gantt S2L'!O18)</f>
        <v>2500000</v>
      </c>
      <c r="M214" s="169" t="n">
        <f aca="false">IF('10. Gantt S2L'!B18="","",'10. Gantt S2L'!P18)</f>
        <v>0</v>
      </c>
      <c r="N214" s="1" t="str">
        <f aca="false">IF('10. Gantt S2L'!B18="","",'10. Gantt S2L'!Q18)</f>
        <v>En attente</v>
      </c>
      <c r="O214" s="1" t="n">
        <f aca="false">IF('10. Gantt S2L'!B18="","",'10. Gantt S2L'!R18)</f>
        <v>50</v>
      </c>
      <c r="P214" s="1" t="str">
        <f aca="false">IF('10. Gantt S2L'!B18="","",'10. Gantt S2L'!S18)</f>
        <v>A.DCO.MEP</v>
      </c>
      <c r="Q214" s="170" t="n">
        <f aca="false">IF('10. Gantt S2L'!B18="","",'10. Gantt S2L'!T18)</f>
        <v>1</v>
      </c>
      <c r="R214" s="170" t="n">
        <f aca="false">IF('10. Gantt S2L'!B18="","",'10. Gantt S2L'!U18)</f>
        <v>0</v>
      </c>
    </row>
    <row r="215" customFormat="false" ht="15" hidden="false" customHeight="true" outlineLevel="0" collapsed="false">
      <c r="A215" s="1" t="str">
        <f aca="false">IF('10. Gantt S2L'!B19="","","SPACE TO LEAD")</f>
        <v>SPACE TO LEAD</v>
      </c>
      <c r="B215" s="1" t="str">
        <f aca="false">IF('10. Gantt S2L'!B19="","",'10. Gantt S2L'!B19)</f>
        <v>A.DCO.MEP3</v>
      </c>
      <c r="C215" s="1" t="str">
        <f aca="false">IF('10. Gantt S2L'!B19="","",'10. Gantt S2L'!C19)</f>
        <v>Mise en œuvre plans DCO - Vague 3</v>
      </c>
      <c r="D215" s="1" t="str">
        <f aca="false">IF('10. Gantt S2L'!B19="","",'10. Gantt S2L'!D19)</f>
        <v>VA</v>
      </c>
      <c r="E215" s="1" t="str">
        <f aca="false">IF('10. Gantt S2L'!B19="","",'10. Gantt S2L'!E19)</f>
        <v>OLOMONCHIN Francis</v>
      </c>
      <c r="F215" s="1" t="n">
        <f aca="false">IF('10. Gantt S2L'!B19="","",'10. Gantt S2L'!G19)</f>
        <v>3</v>
      </c>
      <c r="G215" s="167" t="n">
        <f aca="false">IF('10. Gantt S2L'!B19="","",'10. Gantt S2L'!H19)</f>
        <v>46478</v>
      </c>
      <c r="H215" s="167" t="n">
        <f aca="false">IF('10. Gantt S2L'!B19="","",'10. Gantt S2L'!I19)</f>
        <v>46660</v>
      </c>
      <c r="I215" s="167" t="n">
        <f aca="false">IF('10. Gantt S2L'!B19="","",'10. Gantt S2L'!K19)</f>
        <v>0</v>
      </c>
      <c r="J215" s="168" t="n">
        <f aca="false">IF('10. Gantt S2L'!B19="","",'10. Gantt S2L'!M19)</f>
        <v>0</v>
      </c>
      <c r="K215" s="168" t="n">
        <f aca="false">IF('10. Gantt S2L'!B19="","",'10. Gantt S2L'!N19)</f>
        <v>0</v>
      </c>
      <c r="L215" s="169" t="n">
        <f aca="false">IF('10. Gantt S2L'!B19="","",'10. Gantt S2L'!O19)</f>
        <v>2500000</v>
      </c>
      <c r="M215" s="169" t="n">
        <f aca="false">IF('10. Gantt S2L'!B19="","",'10. Gantt S2L'!P19)</f>
        <v>0</v>
      </c>
      <c r="N215" s="1" t="str">
        <f aca="false">IF('10. Gantt S2L'!B19="","",'10. Gantt S2L'!Q19)</f>
        <v>En attente</v>
      </c>
      <c r="O215" s="1" t="n">
        <f aca="false">IF('10. Gantt S2L'!B19="","",'10. Gantt S2L'!R19)</f>
        <v>50</v>
      </c>
      <c r="P215" s="1" t="str">
        <f aca="false">IF('10. Gantt S2L'!B19="","",'10. Gantt S2L'!S19)</f>
        <v>A.DCO.MEP</v>
      </c>
      <c r="Q215" s="170" t="n">
        <f aca="false">IF('10. Gantt S2L'!B19="","",'10. Gantt S2L'!T19)</f>
        <v>1</v>
      </c>
      <c r="R215" s="170" t="n">
        <f aca="false">IF('10. Gantt S2L'!B19="","",'10. Gantt S2L'!U19)</f>
        <v>0</v>
      </c>
    </row>
    <row r="216" customFormat="false" ht="15" hidden="false" customHeight="true" outlineLevel="0" collapsed="false">
      <c r="A216" s="1" t="str">
        <f aca="false">IF('10. Gantt S2L'!B20="","","SPACE TO LEAD")</f>
        <v>SPACE TO LEAD</v>
      </c>
      <c r="B216" s="1" t="str">
        <f aca="false">IF('10. Gantt S2L'!B20="","",'10. Gantt S2L'!B20)</f>
        <v>A.DCO.PAEC1</v>
      </c>
      <c r="C216" s="1" t="str">
        <f aca="false">IF('10. Gantt S2L'!B20="","",'10. Gantt S2L'!C20)</f>
        <v>Plan amélioration espace civique - Vague 1</v>
      </c>
      <c r="D216" s="1" t="str">
        <f aca="false">IF('10. Gantt S2L'!B20="","",'10. Gantt S2L'!D20)</f>
        <v>VA</v>
      </c>
      <c r="E216" s="1" t="str">
        <f aca="false">IF('10. Gantt S2L'!B20="","",'10. Gantt S2L'!E20)</f>
        <v>OLOMONCHIN Francis</v>
      </c>
      <c r="F216" s="1" t="n">
        <f aca="false">IF('10. Gantt S2L'!B20="","",'10. Gantt S2L'!G20)</f>
        <v>2</v>
      </c>
      <c r="G216" s="167" t="n">
        <f aca="false">IF('10. Gantt S2L'!B20="","",'10. Gantt S2L'!H20)</f>
        <v>46113</v>
      </c>
      <c r="H216" s="167" t="n">
        <f aca="false">IF('10. Gantt S2L'!B20="","",'10. Gantt S2L'!I20)</f>
        <v>46295</v>
      </c>
      <c r="I216" s="167" t="n">
        <f aca="false">IF('10. Gantt S2L'!B20="","",'10. Gantt S2L'!K20)</f>
        <v>0</v>
      </c>
      <c r="J216" s="168" t="n">
        <f aca="false">IF('10. Gantt S2L'!B20="","",'10. Gantt S2L'!M20)</f>
        <v>29.6703296703297</v>
      </c>
      <c r="K216" s="168" t="n">
        <f aca="false">IF('10. Gantt S2L'!B20="","",'10. Gantt S2L'!N20)</f>
        <v>0</v>
      </c>
      <c r="L216" s="169" t="n">
        <f aca="false">IF('10. Gantt S2L'!B20="","",'10. Gantt S2L'!O20)</f>
        <v>2500000</v>
      </c>
      <c r="M216" s="169" t="n">
        <f aca="false">IF('10. Gantt S2L'!B20="","",'10. Gantt S2L'!P20)</f>
        <v>0</v>
      </c>
      <c r="N216" s="1" t="str">
        <f aca="false">IF('10. Gantt S2L'!B20="","",'10. Gantt S2L'!Q20)</f>
        <v>En retard</v>
      </c>
      <c r="O216" s="1" t="n">
        <f aca="false">IF('10. Gantt S2L'!B20="","",'10. Gantt S2L'!R20)</f>
        <v>25</v>
      </c>
      <c r="P216" s="1" t="str">
        <f aca="false">IF('10. Gantt S2L'!B20="","",'10. Gantt S2L'!S20)</f>
        <v>A.DCO.PAEC</v>
      </c>
      <c r="Q216" s="170" t="n">
        <f aca="false">IF('10. Gantt S2L'!B20="","",'10. Gantt S2L'!T20)</f>
        <v>1</v>
      </c>
      <c r="R216" s="170" t="n">
        <f aca="false">IF('10. Gantt S2L'!B20="","",'10. Gantt S2L'!U20)</f>
        <v>0</v>
      </c>
    </row>
    <row r="217" customFormat="false" ht="15" hidden="false" customHeight="true" outlineLevel="0" collapsed="false">
      <c r="A217" s="1" t="str">
        <f aca="false">IF('10. Gantt S2L'!B21="","","SPACE TO LEAD")</f>
        <v>SPACE TO LEAD</v>
      </c>
      <c r="B217" s="1" t="str">
        <f aca="false">IF('10. Gantt S2L'!B21="","",'10. Gantt S2L'!B21)</f>
        <v>A.DCO.PAEC2</v>
      </c>
      <c r="C217" s="1" t="str">
        <f aca="false">IF('10. Gantt S2L'!B21="","",'10. Gantt S2L'!C21)</f>
        <v>Plan amélioration espace civique - Vague 2</v>
      </c>
      <c r="D217" s="1" t="str">
        <f aca="false">IF('10. Gantt S2L'!B21="","",'10. Gantt S2L'!D21)</f>
        <v>VA</v>
      </c>
      <c r="E217" s="1" t="str">
        <f aca="false">IF('10. Gantt S2L'!B21="","",'10. Gantt S2L'!E21)</f>
        <v>OLOMONCHIN Francis</v>
      </c>
      <c r="F217" s="1" t="n">
        <f aca="false">IF('10. Gantt S2L'!B21="","",'10. Gantt S2L'!G21)</f>
        <v>2</v>
      </c>
      <c r="G217" s="167" t="n">
        <f aca="false">IF('10. Gantt S2L'!B21="","",'10. Gantt S2L'!H21)</f>
        <v>46296</v>
      </c>
      <c r="H217" s="167" t="n">
        <f aca="false">IF('10. Gantt S2L'!B21="","",'10. Gantt S2L'!I21)</f>
        <v>46477</v>
      </c>
      <c r="I217" s="167" t="n">
        <f aca="false">IF('10. Gantt S2L'!B21="","",'10. Gantt S2L'!K21)</f>
        <v>0</v>
      </c>
      <c r="J217" s="168" t="n">
        <f aca="false">IF('10. Gantt S2L'!B21="","",'10. Gantt S2L'!M21)</f>
        <v>0</v>
      </c>
      <c r="K217" s="168" t="n">
        <f aca="false">IF('10. Gantt S2L'!B21="","",'10. Gantt S2L'!N21)</f>
        <v>0</v>
      </c>
      <c r="L217" s="169" t="n">
        <f aca="false">IF('10. Gantt S2L'!B21="","",'10. Gantt S2L'!O21)</f>
        <v>2500000</v>
      </c>
      <c r="M217" s="169" t="n">
        <f aca="false">IF('10. Gantt S2L'!B21="","",'10. Gantt S2L'!P21)</f>
        <v>0</v>
      </c>
      <c r="N217" s="1" t="str">
        <f aca="false">IF('10. Gantt S2L'!B21="","",'10. Gantt S2L'!Q21)</f>
        <v>En attente</v>
      </c>
      <c r="O217" s="1" t="n">
        <f aca="false">IF('10. Gantt S2L'!B21="","",'10. Gantt S2L'!R21)</f>
        <v>50</v>
      </c>
      <c r="P217" s="1" t="str">
        <f aca="false">IF('10. Gantt S2L'!B21="","",'10. Gantt S2L'!S21)</f>
        <v>A.DCO.PAEC</v>
      </c>
      <c r="Q217" s="170" t="n">
        <f aca="false">IF('10. Gantt S2L'!B21="","",'10. Gantt S2L'!T21)</f>
        <v>1</v>
      </c>
      <c r="R217" s="170" t="n">
        <f aca="false">IF('10. Gantt S2L'!B21="","",'10. Gantt S2L'!U21)</f>
        <v>0</v>
      </c>
    </row>
    <row r="218" customFormat="false" ht="15" hidden="false" customHeight="true" outlineLevel="0" collapsed="false">
      <c r="A218" s="1" t="str">
        <f aca="false">IF('10. Gantt S2L'!B22="","","SPACE TO LEAD")</f>
        <v>SPACE TO LEAD</v>
      </c>
      <c r="B218" s="1" t="str">
        <f aca="false">IF('10. Gantt S2L'!B22="","",'10. Gantt S2L'!B22)</f>
        <v>A.DCO.PAEC3</v>
      </c>
      <c r="C218" s="1" t="str">
        <f aca="false">IF('10. Gantt S2L'!B22="","",'10. Gantt S2L'!C22)</f>
        <v>Plan amélioration espace civique - Vague 3</v>
      </c>
      <c r="D218" s="1" t="str">
        <f aca="false">IF('10. Gantt S2L'!B22="","",'10. Gantt S2L'!D22)</f>
        <v>VA</v>
      </c>
      <c r="E218" s="1" t="str">
        <f aca="false">IF('10. Gantt S2L'!B22="","",'10. Gantt S2L'!E22)</f>
        <v>OLOMONCHIN Francis</v>
      </c>
      <c r="F218" s="1" t="n">
        <f aca="false">IF('10. Gantt S2L'!B22="","",'10. Gantt S2L'!G22)</f>
        <v>2</v>
      </c>
      <c r="G218" s="167" t="n">
        <f aca="false">IF('10. Gantt S2L'!B22="","",'10. Gantt S2L'!H22)</f>
        <v>46478</v>
      </c>
      <c r="H218" s="167" t="n">
        <f aca="false">IF('10. Gantt S2L'!B22="","",'10. Gantt S2L'!I22)</f>
        <v>46660</v>
      </c>
      <c r="I218" s="167" t="n">
        <f aca="false">IF('10. Gantt S2L'!B22="","",'10. Gantt S2L'!K22)</f>
        <v>0</v>
      </c>
      <c r="J218" s="168" t="n">
        <f aca="false">IF('10. Gantt S2L'!B22="","",'10. Gantt S2L'!M22)</f>
        <v>0</v>
      </c>
      <c r="K218" s="168" t="n">
        <f aca="false">IF('10. Gantt S2L'!B22="","",'10. Gantt S2L'!N22)</f>
        <v>0</v>
      </c>
      <c r="L218" s="169" t="n">
        <f aca="false">IF('10. Gantt S2L'!B22="","",'10. Gantt S2L'!O22)</f>
        <v>2500000</v>
      </c>
      <c r="M218" s="169" t="n">
        <f aca="false">IF('10. Gantt S2L'!B22="","",'10. Gantt S2L'!P22)</f>
        <v>0</v>
      </c>
      <c r="N218" s="1" t="str">
        <f aca="false">IF('10. Gantt S2L'!B22="","",'10. Gantt S2L'!Q22)</f>
        <v>En attente</v>
      </c>
      <c r="O218" s="1" t="n">
        <f aca="false">IF('10. Gantt S2L'!B22="","",'10. Gantt S2L'!R22)</f>
        <v>50</v>
      </c>
      <c r="P218" s="1" t="str">
        <f aca="false">IF('10. Gantt S2L'!B22="","",'10. Gantt S2L'!S22)</f>
        <v>A.DCO.PAEC</v>
      </c>
      <c r="Q218" s="170" t="n">
        <f aca="false">IF('10. Gantt S2L'!B22="","",'10. Gantt S2L'!T22)</f>
        <v>1</v>
      </c>
      <c r="R218" s="170" t="n">
        <f aca="false">IF('10. Gantt S2L'!B22="","",'10. Gantt S2L'!U22)</f>
        <v>0</v>
      </c>
    </row>
    <row r="219" customFormat="false" ht="15" hidden="false" customHeight="true" outlineLevel="0" collapsed="false">
      <c r="A219" s="1" t="str">
        <f aca="false">IF('10. Gantt S2L'!B23="","","SPACE TO LEAD")</f>
        <v>SPACE TO LEAD</v>
      </c>
      <c r="B219" s="1" t="str">
        <f aca="false">IF('10. Gantt S2L'!B23="","",'10. Gantt S2L'!B23)</f>
        <v>A.DCO.SI</v>
      </c>
      <c r="C219" s="1" t="str">
        <f aca="false">IF('10. Gantt S2L'!B23="","",'10. Gantt S2L'!C23)</f>
        <v>Système informatisé S&amp;E (PRÉSENT LIVRABLE)</v>
      </c>
      <c r="D219" s="1" t="str">
        <f aca="false">IF('10. Gantt S2L'!B23="","",'10. Gantt S2L'!D23)</f>
        <v>VA</v>
      </c>
      <c r="E219" s="1" t="str">
        <f aca="false">IF('10. Gantt S2L'!B23="","",'10. Gantt S2L'!E23)</f>
        <v>KASSIMOU Mountarou</v>
      </c>
      <c r="F219" s="1" t="n">
        <f aca="false">IF('10. Gantt S2L'!B23="","",'10. Gantt S2L'!G23)</f>
        <v>3</v>
      </c>
      <c r="G219" s="167" t="n">
        <f aca="false">IF('10. Gantt S2L'!B23="","",'10. Gantt S2L'!H23)</f>
        <v>46054</v>
      </c>
      <c r="H219" s="167" t="n">
        <f aca="false">IF('10. Gantt S2L'!B23="","",'10. Gantt S2L'!I23)</f>
        <v>46112</v>
      </c>
      <c r="I219" s="167" t="n">
        <f aca="false">IF('10. Gantt S2L'!B23="","",'10. Gantt S2L'!K23)</f>
        <v>0</v>
      </c>
      <c r="J219" s="168" t="n">
        <f aca="false">IF('10. Gantt S2L'!B23="","",'10. Gantt S2L'!M23)</f>
        <v>100</v>
      </c>
      <c r="K219" s="168" t="n">
        <f aca="false">IF('10. Gantt S2L'!B23="","",'10. Gantt S2L'!N23)</f>
        <v>0</v>
      </c>
      <c r="L219" s="169" t="n">
        <f aca="false">IF('10. Gantt S2L'!B23="","",'10. Gantt S2L'!O23)</f>
        <v>435000</v>
      </c>
      <c r="M219" s="169" t="n">
        <f aca="false">IF('10. Gantt S2L'!B23="","",'10. Gantt S2L'!P23)</f>
        <v>0</v>
      </c>
      <c r="N219" s="1" t="str">
        <f aca="false">IF('10. Gantt S2L'!B23="","",'10. Gantt S2L'!Q23)</f>
        <v>Critique</v>
      </c>
      <c r="O219" s="1" t="n">
        <f aca="false">IF('10. Gantt S2L'!B23="","",'10. Gantt S2L'!R23)</f>
        <v>10</v>
      </c>
      <c r="P219" s="1" t="n">
        <f aca="false">IF('10. Gantt S2L'!B23="","",'10. Gantt S2L'!S23)</f>
        <v>0</v>
      </c>
      <c r="Q219" s="170" t="n">
        <f aca="false">IF('10. Gantt S2L'!B23="","",'10. Gantt S2L'!T23)</f>
        <v>0</v>
      </c>
      <c r="R219" s="170" t="n">
        <f aca="false">IF('10. Gantt S2L'!B23="","",'10. Gantt S2L'!U23)</f>
        <v>0</v>
      </c>
    </row>
    <row r="220" customFormat="false" ht="15" hidden="false" customHeight="true" outlineLevel="0" collapsed="false">
      <c r="A220" s="1" t="str">
        <f aca="false">IF('10. Gantt S2L'!B24="","","SPACE TO LEAD")</f>
        <v>SPACE TO LEAD</v>
      </c>
      <c r="B220" s="1" t="str">
        <f aca="false">IF('10. Gantt S2L'!B24="","",'10. Gantt S2L'!B24)</f>
        <v>A.3.1.4.NORD</v>
      </c>
      <c r="C220" s="1" t="str">
        <f aca="false">IF('10. Gantt S2L'!B24="","",'10. Gantt S2L'!C24)</f>
        <v>Ateliers OSC jeunes - Volet ateliers (Nord)</v>
      </c>
      <c r="D220" s="1" t="str">
        <f aca="false">IF('10. Gantt S2L'!B24="","",'10. Gantt S2L'!D24)</f>
        <v>VB</v>
      </c>
      <c r="E220" s="1" t="str">
        <f aca="false">IF('10. Gantt S2L'!B24="","",'10. Gantt S2L'!E24)</f>
        <v>OLOMONCHIN Francis</v>
      </c>
      <c r="F220" s="1" t="n">
        <f aca="false">IF('10. Gantt S2L'!B24="","",'10. Gantt S2L'!G24)</f>
        <v>3</v>
      </c>
      <c r="G220" s="167" t="n">
        <f aca="false">IF('10. Gantt S2L'!B24="","",'10. Gantt S2L'!H24)</f>
        <v>46113</v>
      </c>
      <c r="H220" s="167" t="n">
        <f aca="false">IF('10. Gantt S2L'!B24="","",'10. Gantt S2L'!I24)</f>
        <v>46203</v>
      </c>
      <c r="I220" s="167" t="n">
        <f aca="false">IF('10. Gantt S2L'!B24="","",'10. Gantt S2L'!K24)</f>
        <v>0</v>
      </c>
      <c r="J220" s="168" t="n">
        <f aca="false">IF('10. Gantt S2L'!B24="","",'10. Gantt S2L'!M24)</f>
        <v>60</v>
      </c>
      <c r="K220" s="168" t="n">
        <f aca="false">IF('10. Gantt S2L'!B24="","",'10. Gantt S2L'!N24)</f>
        <v>0</v>
      </c>
      <c r="L220" s="169" t="n">
        <f aca="false">IF('10. Gantt S2L'!B24="","",'10. Gantt S2L'!O24)</f>
        <v>1500000</v>
      </c>
      <c r="M220" s="169" t="n">
        <f aca="false">IF('10. Gantt S2L'!B24="","",'10. Gantt S2L'!P24)</f>
        <v>0</v>
      </c>
      <c r="N220" s="1" t="str">
        <f aca="false">IF('10. Gantt S2L'!B24="","",'10. Gantt S2L'!Q24)</f>
        <v>En retard</v>
      </c>
      <c r="O220" s="1" t="n">
        <f aca="false">IF('10. Gantt S2L'!B24="","",'10. Gantt S2L'!R24)</f>
        <v>25</v>
      </c>
      <c r="P220" s="1" t="str">
        <f aca="false">IF('10. Gantt S2L'!B24="","",'10. Gantt S2L'!S24)</f>
        <v>I.3.1.4.a</v>
      </c>
      <c r="Q220" s="170" t="n">
        <f aca="false">IF('10. Gantt S2L'!B24="","",'10. Gantt S2L'!T24)</f>
        <v>3</v>
      </c>
      <c r="R220" s="170" t="n">
        <f aca="false">IF('10. Gantt S2L'!B24="","",'10. Gantt S2L'!U24)</f>
        <v>0</v>
      </c>
    </row>
    <row r="221" customFormat="false" ht="15" hidden="false" customHeight="true" outlineLevel="0" collapsed="false">
      <c r="A221" s="1" t="str">
        <f aca="false">IF('10. Gantt S2L'!B25="","","SPACE TO LEAD")</f>
        <v>SPACE TO LEAD</v>
      </c>
      <c r="B221" s="1" t="str">
        <f aca="false">IF('10. Gantt S2L'!B25="","",'10. Gantt S2L'!B25)</f>
        <v>A.3.1.4.PART</v>
      </c>
      <c r="C221" s="1" t="str">
        <f aca="false">IF('10. Gantt S2L'!B25="","",'10. Gantt S2L'!C25)</f>
        <v>Ateliers OSC jeunes - Volet participants formés</v>
      </c>
      <c r="D221" s="1" t="str">
        <f aca="false">IF('10. Gantt S2L'!B25="","",'10. Gantt S2L'!D25)</f>
        <v>VB</v>
      </c>
      <c r="E221" s="1" t="str">
        <f aca="false">IF('10. Gantt S2L'!B25="","",'10. Gantt S2L'!E25)</f>
        <v>OLOMONCHIN Francis</v>
      </c>
      <c r="F221" s="1" t="n">
        <f aca="false">IF('10. Gantt S2L'!B25="","",'10. Gantt S2L'!G25)</f>
        <v>3</v>
      </c>
      <c r="G221" s="167" t="n">
        <f aca="false">IF('10. Gantt S2L'!B25="","",'10. Gantt S2L'!H25)</f>
        <v>46113</v>
      </c>
      <c r="H221" s="167" t="n">
        <f aca="false">IF('10. Gantt S2L'!B25="","",'10. Gantt S2L'!I25)</f>
        <v>46203</v>
      </c>
      <c r="I221" s="167" t="n">
        <f aca="false">IF('10. Gantt S2L'!B25="","",'10. Gantt S2L'!K25)</f>
        <v>0</v>
      </c>
      <c r="J221" s="168" t="n">
        <f aca="false">IF('10. Gantt S2L'!B25="","",'10. Gantt S2L'!M25)</f>
        <v>60</v>
      </c>
      <c r="K221" s="168" t="n">
        <f aca="false">IF('10. Gantt S2L'!B25="","",'10. Gantt S2L'!N25)</f>
        <v>0</v>
      </c>
      <c r="L221" s="169" t="n">
        <f aca="false">IF('10. Gantt S2L'!B25="","",'10. Gantt S2L'!O25)</f>
        <v>1000000</v>
      </c>
      <c r="M221" s="169" t="n">
        <f aca="false">IF('10. Gantt S2L'!B25="","",'10. Gantt S2L'!P25)</f>
        <v>0</v>
      </c>
      <c r="N221" s="1" t="str">
        <f aca="false">IF('10. Gantt S2L'!B25="","",'10. Gantt S2L'!Q25)</f>
        <v>En retard</v>
      </c>
      <c r="O221" s="1" t="n">
        <f aca="false">IF('10. Gantt S2L'!B25="","",'10. Gantt S2L'!R25)</f>
        <v>25</v>
      </c>
      <c r="P221" s="1" t="str">
        <f aca="false">IF('10. Gantt S2L'!B25="","",'10. Gantt S2L'!S25)</f>
        <v>I.3.1.4.b</v>
      </c>
      <c r="Q221" s="170" t="n">
        <f aca="false">IF('10. Gantt S2L'!B25="","",'10. Gantt S2L'!T25)</f>
        <v>60</v>
      </c>
      <c r="R221" s="170" t="n">
        <f aca="false">IF('10. Gantt S2L'!B25="","",'10. Gantt S2L'!U25)</f>
        <v>0</v>
      </c>
    </row>
    <row r="222" customFormat="false" ht="15" hidden="false" customHeight="true" outlineLevel="0" collapsed="false">
      <c r="A222" s="1" t="str">
        <f aca="false">IF('10. Gantt S2L'!B26="","","SPACE TO LEAD")</f>
        <v>SPACE TO LEAD</v>
      </c>
      <c r="B222" s="1" t="str">
        <f aca="false">IF('10. Gantt S2L'!B26="","",'10. Gantt S2L'!B26)</f>
        <v>A.3.1.4.PLAN</v>
      </c>
      <c r="C222" s="1" t="str">
        <f aca="false">IF('10. Gantt S2L'!B26="","",'10. Gantt S2L'!C26)</f>
        <v>Ateliers OSC jeunes - Volet plans plaidoyer élaborés</v>
      </c>
      <c r="D222" s="1" t="str">
        <f aca="false">IF('10. Gantt S2L'!B26="","",'10. Gantt S2L'!D26)</f>
        <v>VB</v>
      </c>
      <c r="E222" s="1" t="str">
        <f aca="false">IF('10. Gantt S2L'!B26="","",'10. Gantt S2L'!E26)</f>
        <v>OLOMONCHIN Francis</v>
      </c>
      <c r="F222" s="1" t="n">
        <f aca="false">IF('10. Gantt S2L'!B26="","",'10. Gantt S2L'!G26)</f>
        <v>3</v>
      </c>
      <c r="G222" s="167" t="n">
        <f aca="false">IF('10. Gantt S2L'!B26="","",'10. Gantt S2L'!H26)</f>
        <v>46143</v>
      </c>
      <c r="H222" s="167" t="n">
        <f aca="false">IF('10. Gantt S2L'!B26="","",'10. Gantt S2L'!I26)</f>
        <v>46203</v>
      </c>
      <c r="I222" s="167" t="n">
        <f aca="false">IF('10. Gantt S2L'!B26="","",'10. Gantt S2L'!K26)</f>
        <v>0</v>
      </c>
      <c r="J222" s="168" t="n">
        <f aca="false">IF('10. Gantt S2L'!B26="","",'10. Gantt S2L'!M26)</f>
        <v>40</v>
      </c>
      <c r="K222" s="168" t="n">
        <f aca="false">IF('10. Gantt S2L'!B26="","",'10. Gantt S2L'!N26)</f>
        <v>0</v>
      </c>
      <c r="L222" s="169" t="n">
        <f aca="false">IF('10. Gantt S2L'!B26="","",'10. Gantt S2L'!O26)</f>
        <v>737000</v>
      </c>
      <c r="M222" s="169" t="n">
        <f aca="false">IF('10. Gantt S2L'!B26="","",'10. Gantt S2L'!P26)</f>
        <v>0</v>
      </c>
      <c r="N222" s="1" t="str">
        <f aca="false">IF('10. Gantt S2L'!B26="","",'10. Gantt S2L'!Q26)</f>
        <v>En retard</v>
      </c>
      <c r="O222" s="1" t="n">
        <f aca="false">IF('10. Gantt S2L'!B26="","",'10. Gantt S2L'!R26)</f>
        <v>25</v>
      </c>
      <c r="P222" s="1" t="str">
        <f aca="false">IF('10. Gantt S2L'!B26="","",'10. Gantt S2L'!S26)</f>
        <v>I.3.1.4.c</v>
      </c>
      <c r="Q222" s="170" t="n">
        <f aca="false">IF('10. Gantt S2L'!B26="","",'10. Gantt S2L'!T26)</f>
        <v>3</v>
      </c>
      <c r="R222" s="170" t="n">
        <f aca="false">IF('10. Gantt S2L'!B26="","",'10. Gantt S2L'!U26)</f>
        <v>0</v>
      </c>
    </row>
    <row r="223" customFormat="false" ht="15" hidden="false" customHeight="true" outlineLevel="0" collapsed="false">
      <c r="A223" s="1" t="str">
        <f aca="false">IF('10. Gantt S2L'!B27="","","SPACE TO LEAD")</f>
        <v>SPACE TO LEAD</v>
      </c>
      <c r="B223" s="1" t="str">
        <f aca="false">IF('10. Gantt S2L'!B27="","",'10. Gantt S2L'!B27)</f>
        <v>A.3.1.9.AT</v>
      </c>
      <c r="C223" s="1" t="str">
        <f aca="false">IF('10. Gantt S2L'!B27="","",'10. Gantt S2L'!C27)</f>
        <v>Plaidoyer DSSR Atacora</v>
      </c>
      <c r="D223" s="1" t="str">
        <f aca="false">IF('10. Gantt S2L'!B27="","",'10. Gantt S2L'!D27)</f>
        <v>VB</v>
      </c>
      <c r="E223" s="1" t="str">
        <f aca="false">IF('10. Gantt S2L'!B27="","",'10. Gantt S2L'!E27)</f>
        <v>OLOMONCHIN Francis</v>
      </c>
      <c r="F223" s="1" t="n">
        <f aca="false">IF('10. Gantt S2L'!B27="","",'10. Gantt S2L'!G27)</f>
        <v>2</v>
      </c>
      <c r="G223" s="167" t="n">
        <f aca="false">IF('10. Gantt S2L'!B27="","",'10. Gantt S2L'!H27)</f>
        <v>46204</v>
      </c>
      <c r="H223" s="167" t="n">
        <f aca="false">IF('10. Gantt S2L'!B27="","",'10. Gantt S2L'!I27)</f>
        <v>46387</v>
      </c>
      <c r="I223" s="167" t="n">
        <f aca="false">IF('10. Gantt S2L'!B27="","",'10. Gantt S2L'!K27)</f>
        <v>0</v>
      </c>
      <c r="J223" s="168" t="n">
        <f aca="false">IF('10. Gantt S2L'!B27="","",'10. Gantt S2L'!M27)</f>
        <v>0</v>
      </c>
      <c r="K223" s="168" t="n">
        <f aca="false">IF('10. Gantt S2L'!B27="","",'10. Gantt S2L'!N27)</f>
        <v>0</v>
      </c>
      <c r="L223" s="169" t="n">
        <f aca="false">IF('10. Gantt S2L'!B27="","",'10. Gantt S2L'!O27)</f>
        <v>1090000</v>
      </c>
      <c r="M223" s="169" t="n">
        <f aca="false">IF('10. Gantt S2L'!B27="","",'10. Gantt S2L'!P27)</f>
        <v>0</v>
      </c>
      <c r="N223" s="1" t="str">
        <f aca="false">IF('10. Gantt S2L'!B27="","",'10. Gantt S2L'!Q27)</f>
        <v>En attente</v>
      </c>
      <c r="O223" s="1" t="n">
        <f aca="false">IF('10. Gantt S2L'!B27="","",'10. Gantt S2L'!R27)</f>
        <v>50</v>
      </c>
      <c r="P223" s="1" t="str">
        <f aca="false">IF('10. Gantt S2L'!B27="","",'10. Gantt S2L'!S27)</f>
        <v>I.3.1.9.A</v>
      </c>
      <c r="Q223" s="170" t="n">
        <f aca="false">IF('10. Gantt S2L'!B27="","",'10. Gantt S2L'!T27)</f>
        <v>1</v>
      </c>
      <c r="R223" s="170" t="n">
        <f aca="false">IF('10. Gantt S2L'!B27="","",'10. Gantt S2L'!U27)</f>
        <v>0</v>
      </c>
    </row>
    <row r="224" customFormat="false" ht="15" hidden="false" customHeight="true" outlineLevel="0" collapsed="false">
      <c r="A224" s="1" t="str">
        <f aca="false">IF('10. Gantt S2L'!B28="","","SPACE TO LEAD")</f>
        <v>SPACE TO LEAD</v>
      </c>
      <c r="B224" s="1" t="str">
        <f aca="false">IF('10. Gantt S2L'!B28="","",'10. Gantt S2L'!B28)</f>
        <v>A.3.1.9.CO</v>
      </c>
      <c r="C224" s="1" t="str">
        <f aca="false">IF('10. Gantt S2L'!B28="","",'10. Gantt S2L'!C28)</f>
        <v>Plaidoyer DSSR Couffo</v>
      </c>
      <c r="D224" s="1" t="str">
        <f aca="false">IF('10. Gantt S2L'!B28="","",'10. Gantt S2L'!D28)</f>
        <v>VB</v>
      </c>
      <c r="E224" s="1" t="str">
        <f aca="false">IF('10. Gantt S2L'!B28="","",'10. Gantt S2L'!E28)</f>
        <v>OLOMONCHIN Francis</v>
      </c>
      <c r="F224" s="1" t="n">
        <f aca="false">IF('10. Gantt S2L'!B28="","",'10. Gantt S2L'!G28)</f>
        <v>2</v>
      </c>
      <c r="G224" s="167" t="n">
        <f aca="false">IF('10. Gantt S2L'!B28="","",'10. Gantt S2L'!H28)</f>
        <v>46296</v>
      </c>
      <c r="H224" s="167" t="n">
        <f aca="false">IF('10. Gantt S2L'!B28="","",'10. Gantt S2L'!I28)</f>
        <v>46477</v>
      </c>
      <c r="I224" s="167" t="n">
        <f aca="false">IF('10. Gantt S2L'!B28="","",'10. Gantt S2L'!K28)</f>
        <v>0</v>
      </c>
      <c r="J224" s="168" t="n">
        <f aca="false">IF('10. Gantt S2L'!B28="","",'10. Gantt S2L'!M28)</f>
        <v>0</v>
      </c>
      <c r="K224" s="168" t="n">
        <f aca="false">IF('10. Gantt S2L'!B28="","",'10. Gantt S2L'!N28)</f>
        <v>0</v>
      </c>
      <c r="L224" s="169" t="n">
        <f aca="false">IF('10. Gantt S2L'!B28="","",'10. Gantt S2L'!O28)</f>
        <v>1090000</v>
      </c>
      <c r="M224" s="169" t="n">
        <f aca="false">IF('10. Gantt S2L'!B28="","",'10. Gantt S2L'!P28)</f>
        <v>0</v>
      </c>
      <c r="N224" s="1" t="str">
        <f aca="false">IF('10. Gantt S2L'!B28="","",'10. Gantt S2L'!Q28)</f>
        <v>En attente</v>
      </c>
      <c r="O224" s="1" t="n">
        <f aca="false">IF('10. Gantt S2L'!B28="","",'10. Gantt S2L'!R28)</f>
        <v>50</v>
      </c>
      <c r="P224" s="1" t="str">
        <f aca="false">IF('10. Gantt S2L'!B28="","",'10. Gantt S2L'!S28)</f>
        <v>I.3.1.9.C</v>
      </c>
      <c r="Q224" s="170" t="n">
        <f aca="false">IF('10. Gantt S2L'!B28="","",'10. Gantt S2L'!T28)</f>
        <v>1</v>
      </c>
      <c r="R224" s="170" t="n">
        <f aca="false">IF('10. Gantt S2L'!B28="","",'10. Gantt S2L'!U28)</f>
        <v>0</v>
      </c>
    </row>
    <row r="225" customFormat="false" ht="15" hidden="false" customHeight="true" outlineLevel="0" collapsed="false">
      <c r="A225" s="1" t="str">
        <f aca="false">IF('10. Gantt S2L'!B29="","","SPACE TO LEAD")</f>
        <v>SPACE TO LEAD</v>
      </c>
      <c r="B225" s="1" t="str">
        <f aca="false">IF('10. Gantt S2L'!B29="","",'10. Gantt S2L'!B29)</f>
        <v>A.3.1.10</v>
      </c>
      <c r="C225" s="1" t="str">
        <f aca="false">IF('10. Gantt S2L'!B29="","",'10. Gantt S2L'!C29)</f>
        <v>Suivi recommandations plaidoyer</v>
      </c>
      <c r="D225" s="1" t="str">
        <f aca="false">IF('10. Gantt S2L'!B29="","",'10. Gantt S2L'!D29)</f>
        <v>VB</v>
      </c>
      <c r="E225" s="1" t="str">
        <f aca="false">IF('10. Gantt S2L'!B29="","",'10. Gantt S2L'!E29)</f>
        <v>OLOMONCHIN Francis</v>
      </c>
      <c r="F225" s="1" t="n">
        <f aca="false">IF('10. Gantt S2L'!B29="","",'10. Gantt S2L'!G29)</f>
        <v>2</v>
      </c>
      <c r="G225" s="167" t="n">
        <f aca="false">IF('10. Gantt S2L'!B29="","",'10. Gantt S2L'!H29)</f>
        <v>46296</v>
      </c>
      <c r="H225" s="167" t="n">
        <f aca="false">IF('10. Gantt S2L'!B29="","",'10. Gantt S2L'!I29)</f>
        <v>46660</v>
      </c>
      <c r="I225" s="167" t="n">
        <f aca="false">IF('10. Gantt S2L'!B29="","",'10. Gantt S2L'!K29)</f>
        <v>0</v>
      </c>
      <c r="J225" s="168" t="n">
        <f aca="false">IF('10. Gantt S2L'!B29="","",'10. Gantt S2L'!M29)</f>
        <v>0</v>
      </c>
      <c r="K225" s="168" t="n">
        <f aca="false">IF('10. Gantt S2L'!B29="","",'10. Gantt S2L'!N29)</f>
        <v>0</v>
      </c>
      <c r="L225" s="169" t="n">
        <f aca="false">IF('10. Gantt S2L'!B29="","",'10. Gantt S2L'!O29)</f>
        <v>0</v>
      </c>
      <c r="M225" s="169" t="n">
        <f aca="false">IF('10. Gantt S2L'!B29="","",'10. Gantt S2L'!P29)</f>
        <v>0</v>
      </c>
      <c r="N225" s="1" t="str">
        <f aca="false">IF('10. Gantt S2L'!B29="","",'10. Gantt S2L'!Q29)</f>
        <v>En attente</v>
      </c>
      <c r="O225" s="1" t="n">
        <f aca="false">IF('10. Gantt S2L'!B29="","",'10. Gantt S2L'!R29)</f>
        <v>50</v>
      </c>
      <c r="P225" s="1" t="str">
        <f aca="false">IF('10. Gantt S2L'!B29="","",'10. Gantt S2L'!S29)</f>
        <v>I.3.1.10</v>
      </c>
      <c r="Q225" s="170" t="n">
        <f aca="false">IF('10. Gantt S2L'!B29="","",'10. Gantt S2L'!T29)</f>
        <v>4</v>
      </c>
      <c r="R225" s="170" t="n">
        <f aca="false">IF('10. Gantt S2L'!B29="","",'10. Gantt S2L'!U29)</f>
        <v>0</v>
      </c>
    </row>
    <row r="226" customFormat="false" ht="15" hidden="false" customHeight="true" outlineLevel="0" collapsed="false">
      <c r="A226" s="1" t="str">
        <f aca="false">IF('10. Gantt S2L'!B30="","","SPACE TO LEAD")</f>
        <v>SPACE TO LEAD</v>
      </c>
      <c r="B226" s="1" t="str">
        <f aca="false">IF('10. Gantt S2L'!B30="","",'10. Gantt S2L'!B30)</f>
        <v>A.3.2.3.ID</v>
      </c>
      <c r="C226" s="1" t="str">
        <f aca="false">IF('10. Gantt S2L'!B30="","",'10. Gantt S2L'!C30)</f>
        <v>Identification des espaces sûrs</v>
      </c>
      <c r="D226" s="1" t="str">
        <f aca="false">IF('10. Gantt S2L'!B30="","",'10. Gantt S2L'!D30)</f>
        <v>VC</v>
      </c>
      <c r="E226" s="1" t="str">
        <f aca="false">IF('10. Gantt S2L'!B30="","",'10. Gantt S2L'!E30)</f>
        <v>OLOMONCHIN Francis</v>
      </c>
      <c r="F226" s="1" t="n">
        <f aca="false">IF('10. Gantt S2L'!B30="","",'10. Gantt S2L'!G30)</f>
        <v>3</v>
      </c>
      <c r="G226" s="167" t="n">
        <f aca="false">IF('10. Gantt S2L'!B30="","",'10. Gantt S2L'!H30)</f>
        <v>46204</v>
      </c>
      <c r="H226" s="167" t="n">
        <f aca="false">IF('10. Gantt S2L'!B30="","",'10. Gantt S2L'!I30)</f>
        <v>46295</v>
      </c>
      <c r="I226" s="167" t="n">
        <f aca="false">IF('10. Gantt S2L'!B30="","",'10. Gantt S2L'!K30)</f>
        <v>0</v>
      </c>
      <c r="J226" s="168" t="n">
        <f aca="false">IF('10. Gantt S2L'!B30="","",'10. Gantt S2L'!M30)</f>
        <v>0</v>
      </c>
      <c r="K226" s="168" t="n">
        <f aca="false">IF('10. Gantt S2L'!B30="","",'10. Gantt S2L'!N30)</f>
        <v>0</v>
      </c>
      <c r="L226" s="169" t="n">
        <f aca="false">IF('10. Gantt S2L'!B30="","",'10. Gantt S2L'!O30)</f>
        <v>0</v>
      </c>
      <c r="M226" s="169" t="n">
        <f aca="false">IF('10. Gantt S2L'!B30="","",'10. Gantt S2L'!P30)</f>
        <v>0</v>
      </c>
      <c r="N226" s="1" t="str">
        <f aca="false">IF('10. Gantt S2L'!B30="","",'10. Gantt S2L'!Q30)</f>
        <v>En attente</v>
      </c>
      <c r="O226" s="1" t="n">
        <f aca="false">IF('10. Gantt S2L'!B30="","",'10. Gantt S2L'!R30)</f>
        <v>50</v>
      </c>
      <c r="P226" s="1" t="str">
        <f aca="false">IF('10. Gantt S2L'!B30="","",'10. Gantt S2L'!S30)</f>
        <v>I.3.2.3.a</v>
      </c>
      <c r="Q226" s="170" t="n">
        <f aca="false">IF('10. Gantt S2L'!B30="","",'10. Gantt S2L'!T30)</f>
        <v>3</v>
      </c>
      <c r="R226" s="170" t="n">
        <f aca="false">IF('10. Gantt S2L'!B30="","",'10. Gantt S2L'!U30)</f>
        <v>0</v>
      </c>
    </row>
    <row r="227" customFormat="false" ht="15" hidden="false" customHeight="true" outlineLevel="0" collapsed="false">
      <c r="A227" s="1" t="str">
        <f aca="false">IF('10. Gantt S2L'!B31="","","SPACE TO LEAD")</f>
        <v>SPACE TO LEAD</v>
      </c>
      <c r="B227" s="1" t="str">
        <f aca="false">IF('10. Gantt S2L'!B31="","",'10. Gantt S2L'!B31)</f>
        <v>A.3.2.3.EQ</v>
      </c>
      <c r="C227" s="1" t="str">
        <f aca="false">IF('10. Gantt S2L'!B31="","",'10. Gantt S2L'!C31)</f>
        <v>Rénovation/équipement espaces sûrs</v>
      </c>
      <c r="D227" s="1" t="str">
        <f aca="false">IF('10. Gantt S2L'!B31="","",'10. Gantt S2L'!D31)</f>
        <v>VC</v>
      </c>
      <c r="E227" s="1" t="str">
        <f aca="false">IF('10. Gantt S2L'!B31="","",'10. Gantt S2L'!E31)</f>
        <v>OLOMONCHIN Francis</v>
      </c>
      <c r="F227" s="1" t="n">
        <f aca="false">IF('10. Gantt S2L'!B31="","",'10. Gantt S2L'!G31)</f>
        <v>3</v>
      </c>
      <c r="G227" s="167" t="n">
        <f aca="false">IF('10. Gantt S2L'!B31="","",'10. Gantt S2L'!H31)</f>
        <v>46296</v>
      </c>
      <c r="H227" s="167" t="n">
        <f aca="false">IF('10. Gantt S2L'!B31="","",'10. Gantt S2L'!I31)</f>
        <v>46477</v>
      </c>
      <c r="I227" s="167" t="n">
        <f aca="false">IF('10. Gantt S2L'!B31="","",'10. Gantt S2L'!K31)</f>
        <v>0</v>
      </c>
      <c r="J227" s="168" t="n">
        <f aca="false">IF('10. Gantt S2L'!B31="","",'10. Gantt S2L'!M31)</f>
        <v>0</v>
      </c>
      <c r="K227" s="168" t="n">
        <f aca="false">IF('10. Gantt S2L'!B31="","",'10. Gantt S2L'!N31)</f>
        <v>0</v>
      </c>
      <c r="L227" s="169" t="n">
        <f aca="false">IF('10. Gantt S2L'!B31="","",'10. Gantt S2L'!O31)</f>
        <v>9000000</v>
      </c>
      <c r="M227" s="169" t="n">
        <f aca="false">IF('10. Gantt S2L'!B31="","",'10. Gantt S2L'!P31)</f>
        <v>0</v>
      </c>
      <c r="N227" s="1" t="str">
        <f aca="false">IF('10. Gantt S2L'!B31="","",'10. Gantt S2L'!Q31)</f>
        <v>En attente</v>
      </c>
      <c r="O227" s="1" t="n">
        <f aca="false">IF('10. Gantt S2L'!B31="","",'10. Gantt S2L'!R31)</f>
        <v>50</v>
      </c>
      <c r="P227" s="1" t="str">
        <f aca="false">IF('10. Gantt S2L'!B31="","",'10. Gantt S2L'!S31)</f>
        <v>I.3.2.3.b</v>
      </c>
      <c r="Q227" s="170" t="n">
        <f aca="false">IF('10. Gantt S2L'!B31="","",'10. Gantt S2L'!T31)</f>
        <v>3</v>
      </c>
      <c r="R227" s="170" t="n">
        <f aca="false">IF('10. Gantt S2L'!B31="","",'10. Gantt S2L'!U31)</f>
        <v>0</v>
      </c>
    </row>
    <row r="228" customFormat="false" ht="15" hidden="false" customHeight="true" outlineLevel="0" collapsed="false">
      <c r="A228" s="1" t="str">
        <f aca="false">IF('10. Gantt S2L'!B32="","","SPACE TO LEAD")</f>
        <v>SPACE TO LEAD</v>
      </c>
      <c r="B228" s="1" t="str">
        <f aca="false">IF('10. Gantt S2L'!B32="","",'10. Gantt S2L'!B32)</f>
        <v>A.3.3.7</v>
      </c>
      <c r="C228" s="1" t="str">
        <f aca="false">IF('10. Gantt S2L'!B32="","",'10. Gantt S2L'!C32)</f>
        <v>Kits de dignité (zone Nord)</v>
      </c>
      <c r="D228" s="1" t="str">
        <f aca="false">IF('10. Gantt S2L'!B32="","",'10. Gantt S2L'!D32)</f>
        <v>VD</v>
      </c>
      <c r="E228" s="1" t="str">
        <f aca="false">IF('10. Gantt S2L'!B32="","",'10. Gantt S2L'!E32)</f>
        <v>OLOMONCHIN Francis</v>
      </c>
      <c r="F228" s="1" t="n">
        <f aca="false">IF('10. Gantt S2L'!B32="","",'10. Gantt S2L'!G32)</f>
        <v>2</v>
      </c>
      <c r="G228" s="167" t="n">
        <f aca="false">IF('10. Gantt S2L'!B32="","",'10. Gantt S2L'!H32)</f>
        <v>46388</v>
      </c>
      <c r="H228" s="167" t="n">
        <f aca="false">IF('10. Gantt S2L'!B32="","",'10. Gantt S2L'!I32)</f>
        <v>46477</v>
      </c>
      <c r="I228" s="167" t="n">
        <f aca="false">IF('10. Gantt S2L'!B32="","",'10. Gantt S2L'!K32)</f>
        <v>0</v>
      </c>
      <c r="J228" s="168" t="n">
        <f aca="false">IF('10. Gantt S2L'!B32="","",'10. Gantt S2L'!M32)</f>
        <v>0</v>
      </c>
      <c r="K228" s="168" t="n">
        <f aca="false">IF('10. Gantt S2L'!B32="","",'10. Gantt S2L'!N32)</f>
        <v>0</v>
      </c>
      <c r="L228" s="169" t="n">
        <f aca="false">IF('10. Gantt S2L'!B32="","",'10. Gantt S2L'!O32)</f>
        <v>4000000</v>
      </c>
      <c r="M228" s="169" t="n">
        <f aca="false">IF('10. Gantt S2L'!B32="","",'10. Gantt S2L'!P32)</f>
        <v>0</v>
      </c>
      <c r="N228" s="1" t="str">
        <f aca="false">IF('10. Gantt S2L'!B32="","",'10. Gantt S2L'!Q32)</f>
        <v>En attente</v>
      </c>
      <c r="O228" s="1" t="n">
        <f aca="false">IF('10. Gantt S2L'!B32="","",'10. Gantt S2L'!R32)</f>
        <v>50</v>
      </c>
      <c r="P228" s="1" t="str">
        <f aca="false">IF('10. Gantt S2L'!B32="","",'10. Gantt S2L'!S32)</f>
        <v>I.3.3.7</v>
      </c>
      <c r="Q228" s="170" t="n">
        <f aca="false">IF('10. Gantt S2L'!B32="","",'10. Gantt S2L'!T32)</f>
        <v>50</v>
      </c>
      <c r="R228" s="170" t="n">
        <f aca="false">IF('10. Gantt S2L'!B32="","",'10. Gantt S2L'!U32)</f>
        <v>0</v>
      </c>
    </row>
    <row r="229" customFormat="false" ht="15" hidden="false" customHeight="true" outlineLevel="0" collapsed="false">
      <c r="A229" s="1" t="str">
        <f aca="false">IF('10. Gantt S2L'!B33="","","SPACE TO LEAD")</f>
        <v>SPACE TO LEAD</v>
      </c>
      <c r="B229" s="1" t="str">
        <f aca="false">IF('10. Gantt S2L'!B33="","",'10. Gantt S2L'!B33)</f>
        <v>A.3.3.8</v>
      </c>
      <c r="C229" s="1" t="str">
        <f aca="false">IF('10. Gantt S2L'!B33="","",'10. Gantt S2L'!C33)</f>
        <v>Ateliers formation ECS jeunes (Nord)</v>
      </c>
      <c r="D229" s="1" t="str">
        <f aca="false">IF('10. Gantt S2L'!B33="","",'10. Gantt S2L'!D33)</f>
        <v>VE</v>
      </c>
      <c r="E229" s="1" t="str">
        <f aca="false">IF('10. Gantt S2L'!B33="","",'10. Gantt S2L'!E33)</f>
        <v>OLOMONCHIN Francis</v>
      </c>
      <c r="F229" s="1" t="n">
        <f aca="false">IF('10. Gantt S2L'!B33="","",'10. Gantt S2L'!G33)</f>
        <v>2</v>
      </c>
      <c r="G229" s="167" t="n">
        <f aca="false">IF('10. Gantt S2L'!B33="","",'10. Gantt S2L'!H33)</f>
        <v>46478</v>
      </c>
      <c r="H229" s="167" t="n">
        <f aca="false">IF('10. Gantt S2L'!B33="","",'10. Gantt S2L'!I33)</f>
        <v>46568</v>
      </c>
      <c r="I229" s="167" t="n">
        <f aca="false">IF('10. Gantt S2L'!B33="","",'10. Gantt S2L'!K33)</f>
        <v>0</v>
      </c>
      <c r="J229" s="168" t="n">
        <f aca="false">IF('10. Gantt S2L'!B33="","",'10. Gantt S2L'!M33)</f>
        <v>0</v>
      </c>
      <c r="K229" s="168" t="n">
        <f aca="false">IF('10. Gantt S2L'!B33="","",'10. Gantt S2L'!N33)</f>
        <v>0</v>
      </c>
      <c r="L229" s="169" t="n">
        <f aca="false">IF('10. Gantt S2L'!B33="","",'10. Gantt S2L'!O33)</f>
        <v>4118800</v>
      </c>
      <c r="M229" s="169" t="n">
        <f aca="false">IF('10. Gantt S2L'!B33="","",'10. Gantt S2L'!P33)</f>
        <v>0</v>
      </c>
      <c r="N229" s="1" t="str">
        <f aca="false">IF('10. Gantt S2L'!B33="","",'10. Gantt S2L'!Q33)</f>
        <v>En attente</v>
      </c>
      <c r="O229" s="1" t="n">
        <f aca="false">IF('10. Gantt S2L'!B33="","",'10. Gantt S2L'!R33)</f>
        <v>50</v>
      </c>
      <c r="P229" s="1" t="str">
        <f aca="false">IF('10. Gantt S2L'!B33="","",'10. Gantt S2L'!S33)</f>
        <v>I.3.3.8</v>
      </c>
      <c r="Q229" s="170" t="n">
        <f aca="false">IF('10. Gantt S2L'!B33="","",'10. Gantt S2L'!T33)</f>
        <v>30</v>
      </c>
      <c r="R229" s="170" t="n">
        <f aca="false">IF('10. Gantt S2L'!B33="","",'10. Gantt S2L'!U33)</f>
        <v>0</v>
      </c>
    </row>
    <row r="230" customFormat="false" ht="15" hidden="false" customHeight="true" outlineLevel="0" collapsed="false">
      <c r="A230" s="1" t="str">
        <f aca="false">IF('10. Gantt S2L'!B34="","","SPACE TO LEAD")</f>
        <v>SPACE TO LEAD</v>
      </c>
      <c r="B230" s="1" t="str">
        <f aca="false">IF('10. Gantt S2L'!B34="","",'10. Gantt S2L'!B34)</f>
        <v>TOTAL</v>
      </c>
      <c r="C230" s="1" t="n">
        <f aca="false">IF('10. Gantt S2L'!B34="","",'10. Gantt S2L'!C34)</f>
        <v>0</v>
      </c>
      <c r="D230" s="1" t="n">
        <f aca="false">IF('10. Gantt S2L'!B34="","",'10. Gantt S2L'!D34)</f>
        <v>0</v>
      </c>
      <c r="E230" s="1" t="n">
        <f aca="false">IF('10. Gantt S2L'!B34="","",'10. Gantt S2L'!E34)</f>
        <v>0</v>
      </c>
      <c r="F230" s="1" t="n">
        <f aca="false">IF('10. Gantt S2L'!B34="","",'10. Gantt S2L'!G34)</f>
        <v>0</v>
      </c>
      <c r="G230" s="167" t="n">
        <f aca="false">IF('10. Gantt S2L'!B34="","",'10. Gantt S2L'!H34)</f>
        <v>0</v>
      </c>
      <c r="H230" s="167" t="n">
        <f aca="false">IF('10. Gantt S2L'!B34="","",'10. Gantt S2L'!I34)</f>
        <v>0</v>
      </c>
      <c r="I230" s="167" t="n">
        <f aca="false">IF('10. Gantt S2L'!B34="","",'10. Gantt S2L'!K34)</f>
        <v>0</v>
      </c>
      <c r="J230" s="168" t="n">
        <f aca="false">IF('10. Gantt S2L'!B34="","",'10. Gantt S2L'!M34)</f>
        <v>0</v>
      </c>
      <c r="K230" s="168" t="n">
        <f aca="false">IF('10. Gantt S2L'!B34="","",'10. Gantt S2L'!N34)</f>
        <v>0</v>
      </c>
      <c r="L230" s="169" t="n">
        <f aca="false">IF('10. Gantt S2L'!B34="","",'10. Gantt S2L'!O34)</f>
        <v>63621600</v>
      </c>
      <c r="M230" s="169" t="n">
        <f aca="false">IF('10. Gantt S2L'!B34="","",'10. Gantt S2L'!P34)</f>
        <v>0</v>
      </c>
      <c r="N230" s="1" t="n">
        <f aca="false">IF('10. Gantt S2L'!B34="","",'10. Gantt S2L'!Q34)</f>
        <v>0</v>
      </c>
      <c r="O230" s="1" t="n">
        <f aca="false">IF('10. Gantt S2L'!B34="","",'10. Gantt S2L'!R34)</f>
        <v>0</v>
      </c>
      <c r="P230" s="1" t="n">
        <f aca="false">IF('10. Gantt S2L'!B34="","",'10. Gantt S2L'!S34)</f>
        <v>0</v>
      </c>
      <c r="Q230" s="1" t="n">
        <f aca="false">IF('10. Gantt S2L'!B34="","",'10. Gantt S2L'!T34)</f>
        <v>0</v>
      </c>
      <c r="R230" s="1" t="n">
        <f aca="false">IF('10. Gantt S2L'!B34="","",'10. Gantt S2L'!U34)</f>
        <v>0</v>
      </c>
    </row>
    <row r="231" customFormat="false" ht="15" hidden="false" customHeight="true" outlineLevel="0" collapsed="false">
      <c r="A231" s="1" t="str">
        <f aca="false">IF('10. Gantt S2L'!B35="","","SPACE TO LEAD")</f>
        <v/>
      </c>
      <c r="B231" s="1" t="str">
        <f aca="false">IF('10. Gantt S2L'!B35="","",'10. Gantt S2L'!B35)</f>
        <v/>
      </c>
      <c r="C231" s="1" t="str">
        <f aca="false">IF('10. Gantt S2L'!B35="","",'10. Gantt S2L'!C35)</f>
        <v/>
      </c>
      <c r="D231" s="1" t="str">
        <f aca="false">IF('10. Gantt S2L'!B35="","",'10. Gantt S2L'!D35)</f>
        <v/>
      </c>
      <c r="E231" s="1" t="str">
        <f aca="false">IF('10. Gantt S2L'!B35="","",'10. Gantt S2L'!E35)</f>
        <v/>
      </c>
      <c r="F231" s="1" t="str">
        <f aca="false">IF('10. Gantt S2L'!B35="","",'10. Gantt S2L'!G35)</f>
        <v/>
      </c>
      <c r="G231" s="167" t="str">
        <f aca="false">IF('10. Gantt S2L'!B35="","",'10. Gantt S2L'!H35)</f>
        <v/>
      </c>
      <c r="H231" s="167" t="str">
        <f aca="false">IF('10. Gantt S2L'!B35="","",'10. Gantt S2L'!I35)</f>
        <v/>
      </c>
      <c r="I231" s="167" t="str">
        <f aca="false">IF('10. Gantt S2L'!B35="","",'10. Gantt S2L'!K35)</f>
        <v/>
      </c>
      <c r="J231" s="168" t="str">
        <f aca="false">IF('10. Gantt S2L'!B35="","",'10. Gantt S2L'!M35)</f>
        <v/>
      </c>
      <c r="K231" s="168" t="str">
        <f aca="false">IF('10. Gantt S2L'!B35="","",'10. Gantt S2L'!N35)</f>
        <v/>
      </c>
      <c r="L231" s="169" t="str">
        <f aca="false">IF('10. Gantt S2L'!B35="","",'10. Gantt S2L'!O35)</f>
        <v/>
      </c>
      <c r="M231" s="169" t="str">
        <f aca="false">IF('10. Gantt S2L'!B35="","",'10. Gantt S2L'!P35)</f>
        <v/>
      </c>
      <c r="N231" s="1" t="str">
        <f aca="false">IF('10. Gantt S2L'!B35="","",'10. Gantt S2L'!Q35)</f>
        <v/>
      </c>
      <c r="O231" s="1" t="str">
        <f aca="false">IF('10. Gantt S2L'!B35="","",'10. Gantt S2L'!R35)</f>
        <v/>
      </c>
      <c r="P231" s="1" t="str">
        <f aca="false">IF('10. Gantt S2L'!B35="","",'10. Gantt S2L'!S35)</f>
        <v/>
      </c>
      <c r="Q231" s="1" t="str">
        <f aca="false">IF('10. Gantt S2L'!B35="","",'10. Gantt S2L'!T35)</f>
        <v/>
      </c>
      <c r="R231" s="1" t="str">
        <f aca="false">IF('10. Gantt S2L'!B35="","",'10. Gantt S2L'!U35)</f>
        <v/>
      </c>
    </row>
    <row r="232" customFormat="false" ht="15" hidden="false" customHeight="true" outlineLevel="0" collapsed="false">
      <c r="A232" s="1" t="str">
        <f aca="false">IF('10. Gantt S2L'!B36="","","SPACE TO LEAD")</f>
        <v/>
      </c>
      <c r="B232" s="1" t="str">
        <f aca="false">IF('10. Gantt S2L'!B36="","",'10. Gantt S2L'!B36)</f>
        <v/>
      </c>
      <c r="C232" s="1" t="str">
        <f aca="false">IF('10. Gantt S2L'!B36="","",'10. Gantt S2L'!C36)</f>
        <v/>
      </c>
      <c r="D232" s="1" t="str">
        <f aca="false">IF('10. Gantt S2L'!B36="","",'10. Gantt S2L'!D36)</f>
        <v/>
      </c>
      <c r="E232" s="1" t="str">
        <f aca="false">IF('10. Gantt S2L'!B36="","",'10. Gantt S2L'!E36)</f>
        <v/>
      </c>
      <c r="F232" s="1" t="str">
        <f aca="false">IF('10. Gantt S2L'!B36="","",'10. Gantt S2L'!G36)</f>
        <v/>
      </c>
      <c r="G232" s="167" t="str">
        <f aca="false">IF('10. Gantt S2L'!B36="","",'10. Gantt S2L'!H36)</f>
        <v/>
      </c>
      <c r="H232" s="167" t="str">
        <f aca="false">IF('10. Gantt S2L'!B36="","",'10. Gantt S2L'!I36)</f>
        <v/>
      </c>
      <c r="I232" s="167" t="str">
        <f aca="false">IF('10. Gantt S2L'!B36="","",'10. Gantt S2L'!K36)</f>
        <v/>
      </c>
      <c r="J232" s="168" t="str">
        <f aca="false">IF('10. Gantt S2L'!B36="","",'10. Gantt S2L'!M36)</f>
        <v/>
      </c>
      <c r="K232" s="168" t="str">
        <f aca="false">IF('10. Gantt S2L'!B36="","",'10. Gantt S2L'!N36)</f>
        <v/>
      </c>
      <c r="L232" s="169" t="str">
        <f aca="false">IF('10. Gantt S2L'!B36="","",'10. Gantt S2L'!O36)</f>
        <v/>
      </c>
      <c r="M232" s="169" t="str">
        <f aca="false">IF('10. Gantt S2L'!B36="","",'10. Gantt S2L'!P36)</f>
        <v/>
      </c>
      <c r="N232" s="1" t="str">
        <f aca="false">IF('10. Gantt S2L'!B36="","",'10. Gantt S2L'!Q36)</f>
        <v/>
      </c>
      <c r="O232" s="1" t="str">
        <f aca="false">IF('10. Gantt S2L'!B36="","",'10. Gantt S2L'!R36)</f>
        <v/>
      </c>
      <c r="P232" s="1" t="str">
        <f aca="false">IF('10. Gantt S2L'!B36="","",'10. Gantt S2L'!S36)</f>
        <v/>
      </c>
      <c r="Q232" s="1" t="str">
        <f aca="false">IF('10. Gantt S2L'!B36="","",'10. Gantt S2L'!T36)</f>
        <v/>
      </c>
      <c r="R232" s="1" t="str">
        <f aca="false">IF('10. Gantt S2L'!B36="","",'10. Gantt S2L'!U36)</f>
        <v/>
      </c>
    </row>
    <row r="233" customFormat="false" ht="15" hidden="false" customHeight="true" outlineLevel="0" collapsed="false">
      <c r="A233" s="1" t="str">
        <f aca="false">IF('10. Gantt S2L'!B37="","","SPACE TO LEAD")</f>
        <v/>
      </c>
      <c r="B233" s="1" t="str">
        <f aca="false">IF('10. Gantt S2L'!B37="","",'10. Gantt S2L'!B37)</f>
        <v/>
      </c>
      <c r="C233" s="1" t="str">
        <f aca="false">IF('10. Gantt S2L'!B37="","",'10. Gantt S2L'!C37)</f>
        <v/>
      </c>
      <c r="D233" s="1" t="str">
        <f aca="false">IF('10. Gantt S2L'!B37="","",'10. Gantt S2L'!D37)</f>
        <v/>
      </c>
      <c r="E233" s="1" t="str">
        <f aca="false">IF('10. Gantt S2L'!B37="","",'10. Gantt S2L'!E37)</f>
        <v/>
      </c>
      <c r="F233" s="1" t="str">
        <f aca="false">IF('10. Gantt S2L'!B37="","",'10. Gantt S2L'!G37)</f>
        <v/>
      </c>
      <c r="G233" s="167" t="str">
        <f aca="false">IF('10. Gantt S2L'!B37="","",'10. Gantt S2L'!H37)</f>
        <v/>
      </c>
      <c r="H233" s="167" t="str">
        <f aca="false">IF('10. Gantt S2L'!B37="","",'10. Gantt S2L'!I37)</f>
        <v/>
      </c>
      <c r="I233" s="167" t="str">
        <f aca="false">IF('10. Gantt S2L'!B37="","",'10. Gantt S2L'!K37)</f>
        <v/>
      </c>
      <c r="J233" s="168" t="str">
        <f aca="false">IF('10. Gantt S2L'!B37="","",'10. Gantt S2L'!M37)</f>
        <v/>
      </c>
      <c r="K233" s="168" t="str">
        <f aca="false">IF('10. Gantt S2L'!B37="","",'10. Gantt S2L'!N37)</f>
        <v/>
      </c>
      <c r="L233" s="169" t="str">
        <f aca="false">IF('10. Gantt S2L'!B37="","",'10. Gantt S2L'!O37)</f>
        <v/>
      </c>
      <c r="M233" s="169" t="str">
        <f aca="false">IF('10. Gantt S2L'!B37="","",'10. Gantt S2L'!P37)</f>
        <v/>
      </c>
      <c r="N233" s="1" t="str">
        <f aca="false">IF('10. Gantt S2L'!B37="","",'10. Gantt S2L'!Q37)</f>
        <v/>
      </c>
      <c r="O233" s="1" t="str">
        <f aca="false">IF('10. Gantt S2L'!B37="","",'10. Gantt S2L'!R37)</f>
        <v/>
      </c>
      <c r="P233" s="1" t="str">
        <f aca="false">IF('10. Gantt S2L'!B37="","",'10. Gantt S2L'!S37)</f>
        <v/>
      </c>
      <c r="Q233" s="1" t="str">
        <f aca="false">IF('10. Gantt S2L'!B37="","",'10. Gantt S2L'!T37)</f>
        <v/>
      </c>
      <c r="R233" s="1" t="str">
        <f aca="false">IF('10. Gantt S2L'!B37="","",'10. Gantt S2L'!U37)</f>
        <v/>
      </c>
    </row>
    <row r="234" customFormat="false" ht="15" hidden="false" customHeight="true" outlineLevel="0" collapsed="false">
      <c r="A234" s="1" t="str">
        <f aca="false">IF('10. Gantt S2L'!B38="","","SPACE TO LEAD")</f>
        <v/>
      </c>
      <c r="B234" s="1" t="str">
        <f aca="false">IF('10. Gantt S2L'!B38="","",'10. Gantt S2L'!B38)</f>
        <v/>
      </c>
      <c r="C234" s="1" t="str">
        <f aca="false">IF('10. Gantt S2L'!B38="","",'10. Gantt S2L'!C38)</f>
        <v/>
      </c>
      <c r="D234" s="1" t="str">
        <f aca="false">IF('10. Gantt S2L'!B38="","",'10. Gantt S2L'!D38)</f>
        <v/>
      </c>
      <c r="E234" s="1" t="str">
        <f aca="false">IF('10. Gantt S2L'!B38="","",'10. Gantt S2L'!E38)</f>
        <v/>
      </c>
      <c r="F234" s="1" t="str">
        <f aca="false">IF('10. Gantt S2L'!B38="","",'10. Gantt S2L'!G38)</f>
        <v/>
      </c>
      <c r="G234" s="167" t="str">
        <f aca="false">IF('10. Gantt S2L'!B38="","",'10. Gantt S2L'!H38)</f>
        <v/>
      </c>
      <c r="H234" s="167" t="str">
        <f aca="false">IF('10. Gantt S2L'!B38="","",'10. Gantt S2L'!I38)</f>
        <v/>
      </c>
      <c r="I234" s="167" t="str">
        <f aca="false">IF('10. Gantt S2L'!B38="","",'10. Gantt S2L'!K38)</f>
        <v/>
      </c>
      <c r="J234" s="168" t="str">
        <f aca="false">IF('10. Gantt S2L'!B38="","",'10. Gantt S2L'!M38)</f>
        <v/>
      </c>
      <c r="K234" s="168" t="str">
        <f aca="false">IF('10. Gantt S2L'!B38="","",'10. Gantt S2L'!N38)</f>
        <v/>
      </c>
      <c r="L234" s="169" t="str">
        <f aca="false">IF('10. Gantt S2L'!B38="","",'10. Gantt S2L'!O38)</f>
        <v/>
      </c>
      <c r="M234" s="169" t="str">
        <f aca="false">IF('10. Gantt S2L'!B38="","",'10. Gantt S2L'!P38)</f>
        <v/>
      </c>
      <c r="N234" s="1" t="str">
        <f aca="false">IF('10. Gantt S2L'!B38="","",'10. Gantt S2L'!Q38)</f>
        <v/>
      </c>
      <c r="O234" s="1" t="str">
        <f aca="false">IF('10. Gantt S2L'!B38="","",'10. Gantt S2L'!R38)</f>
        <v/>
      </c>
      <c r="P234" s="1" t="str">
        <f aca="false">IF('10. Gantt S2L'!B38="","",'10. Gantt S2L'!S38)</f>
        <v/>
      </c>
      <c r="Q234" s="1" t="str">
        <f aca="false">IF('10. Gantt S2L'!B38="","",'10. Gantt S2L'!T38)</f>
        <v/>
      </c>
      <c r="R234" s="1" t="str">
        <f aca="false">IF('10. Gantt S2L'!B38="","",'10. Gantt S2L'!U38)</f>
        <v/>
      </c>
    </row>
    <row r="235" customFormat="false" ht="15" hidden="false" customHeight="true" outlineLevel="0" collapsed="false">
      <c r="A235" s="1" t="str">
        <f aca="false">IF('10. Gantt S2L'!B39="","","SPACE TO LEAD")</f>
        <v/>
      </c>
      <c r="B235" s="1" t="str">
        <f aca="false">IF('10. Gantt S2L'!B39="","",'10. Gantt S2L'!B39)</f>
        <v/>
      </c>
      <c r="C235" s="1" t="str">
        <f aca="false">IF('10. Gantt S2L'!B39="","",'10. Gantt S2L'!C39)</f>
        <v/>
      </c>
      <c r="D235" s="1" t="str">
        <f aca="false">IF('10. Gantt S2L'!B39="","",'10. Gantt S2L'!D39)</f>
        <v/>
      </c>
      <c r="E235" s="1" t="str">
        <f aca="false">IF('10. Gantt S2L'!B39="","",'10. Gantt S2L'!E39)</f>
        <v/>
      </c>
      <c r="F235" s="1" t="str">
        <f aca="false">IF('10. Gantt S2L'!B39="","",'10. Gantt S2L'!G39)</f>
        <v/>
      </c>
      <c r="G235" s="167" t="str">
        <f aca="false">IF('10. Gantt S2L'!B39="","",'10. Gantt S2L'!H39)</f>
        <v/>
      </c>
      <c r="H235" s="167" t="str">
        <f aca="false">IF('10. Gantt S2L'!B39="","",'10. Gantt S2L'!I39)</f>
        <v/>
      </c>
      <c r="I235" s="167" t="str">
        <f aca="false">IF('10. Gantt S2L'!B39="","",'10. Gantt S2L'!K39)</f>
        <v/>
      </c>
      <c r="J235" s="168" t="str">
        <f aca="false">IF('10. Gantt S2L'!B39="","",'10. Gantt S2L'!M39)</f>
        <v/>
      </c>
      <c r="K235" s="168" t="str">
        <f aca="false">IF('10. Gantt S2L'!B39="","",'10. Gantt S2L'!N39)</f>
        <v/>
      </c>
      <c r="L235" s="169" t="str">
        <f aca="false">IF('10. Gantt S2L'!B39="","",'10. Gantt S2L'!O39)</f>
        <v/>
      </c>
      <c r="M235" s="169" t="str">
        <f aca="false">IF('10. Gantt S2L'!B39="","",'10. Gantt S2L'!P39)</f>
        <v/>
      </c>
      <c r="N235" s="1" t="str">
        <f aca="false">IF('10. Gantt S2L'!B39="","",'10. Gantt S2L'!Q39)</f>
        <v/>
      </c>
      <c r="O235" s="1" t="str">
        <f aca="false">IF('10. Gantt S2L'!B39="","",'10. Gantt S2L'!R39)</f>
        <v/>
      </c>
      <c r="P235" s="1" t="str">
        <f aca="false">IF('10. Gantt S2L'!B39="","",'10. Gantt S2L'!S39)</f>
        <v/>
      </c>
      <c r="Q235" s="1" t="str">
        <f aca="false">IF('10. Gantt S2L'!B39="","",'10. Gantt S2L'!T39)</f>
        <v/>
      </c>
      <c r="R235" s="1" t="str">
        <f aca="false">IF('10. Gantt S2L'!B39="","",'10. Gantt S2L'!U39)</f>
        <v/>
      </c>
    </row>
    <row r="236" customFormat="false" ht="15" hidden="false" customHeight="true" outlineLevel="0" collapsed="false">
      <c r="A236" s="1" t="str">
        <f aca="false">IF('10. Gantt S2L'!B40="","","SPACE TO LEAD")</f>
        <v/>
      </c>
      <c r="B236" s="1" t="str">
        <f aca="false">IF('10. Gantt S2L'!B40="","",'10. Gantt S2L'!B40)</f>
        <v/>
      </c>
      <c r="C236" s="1" t="str">
        <f aca="false">IF('10. Gantt S2L'!B40="","",'10. Gantt S2L'!C40)</f>
        <v/>
      </c>
      <c r="D236" s="1" t="str">
        <f aca="false">IF('10. Gantt S2L'!B40="","",'10. Gantt S2L'!D40)</f>
        <v/>
      </c>
      <c r="E236" s="1" t="str">
        <f aca="false">IF('10. Gantt S2L'!B40="","",'10. Gantt S2L'!E40)</f>
        <v/>
      </c>
      <c r="F236" s="1" t="str">
        <f aca="false">IF('10. Gantt S2L'!B40="","",'10. Gantt S2L'!G40)</f>
        <v/>
      </c>
      <c r="G236" s="167" t="str">
        <f aca="false">IF('10. Gantt S2L'!B40="","",'10. Gantt S2L'!H40)</f>
        <v/>
      </c>
      <c r="H236" s="167" t="str">
        <f aca="false">IF('10. Gantt S2L'!B40="","",'10. Gantt S2L'!I40)</f>
        <v/>
      </c>
      <c r="I236" s="167" t="str">
        <f aca="false">IF('10. Gantt S2L'!B40="","",'10. Gantt S2L'!K40)</f>
        <v/>
      </c>
      <c r="J236" s="168" t="str">
        <f aca="false">IF('10. Gantt S2L'!B40="","",'10. Gantt S2L'!M40)</f>
        <v/>
      </c>
      <c r="K236" s="168" t="str">
        <f aca="false">IF('10. Gantt S2L'!B40="","",'10. Gantt S2L'!N40)</f>
        <v/>
      </c>
      <c r="L236" s="169" t="str">
        <f aca="false">IF('10. Gantt S2L'!B40="","",'10. Gantt S2L'!O40)</f>
        <v/>
      </c>
      <c r="M236" s="169" t="str">
        <f aca="false">IF('10. Gantt S2L'!B40="","",'10. Gantt S2L'!P40)</f>
        <v/>
      </c>
      <c r="N236" s="1" t="str">
        <f aca="false">IF('10. Gantt S2L'!B40="","",'10. Gantt S2L'!Q40)</f>
        <v/>
      </c>
      <c r="O236" s="1" t="str">
        <f aca="false">IF('10. Gantt S2L'!B40="","",'10. Gantt S2L'!R40)</f>
        <v/>
      </c>
      <c r="P236" s="1" t="str">
        <f aca="false">IF('10. Gantt S2L'!B40="","",'10. Gantt S2L'!S40)</f>
        <v/>
      </c>
      <c r="Q236" s="1" t="str">
        <f aca="false">IF('10. Gantt S2L'!B40="","",'10. Gantt S2L'!T40)</f>
        <v/>
      </c>
      <c r="R236" s="1" t="str">
        <f aca="false">IF('10. Gantt S2L'!B40="","",'10. Gantt S2L'!U40)</f>
        <v/>
      </c>
    </row>
    <row r="237" customFormat="false" ht="15" hidden="false" customHeight="true" outlineLevel="0" collapsed="false">
      <c r="A237" s="1" t="str">
        <f aca="false">IF('10. Gantt S2L'!B41="","","SPACE TO LEAD")</f>
        <v/>
      </c>
      <c r="B237" s="1" t="str">
        <f aca="false">IF('10. Gantt S2L'!B41="","",'10. Gantt S2L'!B41)</f>
        <v/>
      </c>
      <c r="C237" s="1" t="str">
        <f aca="false">IF('10. Gantt S2L'!B41="","",'10. Gantt S2L'!C41)</f>
        <v/>
      </c>
      <c r="D237" s="1" t="str">
        <f aca="false">IF('10. Gantt S2L'!B41="","",'10. Gantt S2L'!D41)</f>
        <v/>
      </c>
      <c r="E237" s="1" t="str">
        <f aca="false">IF('10. Gantt S2L'!B41="","",'10. Gantt S2L'!E41)</f>
        <v/>
      </c>
      <c r="F237" s="1" t="str">
        <f aca="false">IF('10. Gantt S2L'!B41="","",'10. Gantt S2L'!G41)</f>
        <v/>
      </c>
      <c r="G237" s="167" t="str">
        <f aca="false">IF('10. Gantt S2L'!B41="","",'10. Gantt S2L'!H41)</f>
        <v/>
      </c>
      <c r="H237" s="167" t="str">
        <f aca="false">IF('10. Gantt S2L'!B41="","",'10. Gantt S2L'!I41)</f>
        <v/>
      </c>
      <c r="I237" s="167" t="str">
        <f aca="false">IF('10. Gantt S2L'!B41="","",'10. Gantt S2L'!K41)</f>
        <v/>
      </c>
      <c r="J237" s="168" t="str">
        <f aca="false">IF('10. Gantt S2L'!B41="","",'10. Gantt S2L'!M41)</f>
        <v/>
      </c>
      <c r="K237" s="168" t="str">
        <f aca="false">IF('10. Gantt S2L'!B41="","",'10. Gantt S2L'!N41)</f>
        <v/>
      </c>
      <c r="L237" s="169" t="str">
        <f aca="false">IF('10. Gantt S2L'!B41="","",'10. Gantt S2L'!O41)</f>
        <v/>
      </c>
      <c r="M237" s="169" t="str">
        <f aca="false">IF('10. Gantt S2L'!B41="","",'10. Gantt S2L'!P41)</f>
        <v/>
      </c>
      <c r="N237" s="1" t="str">
        <f aca="false">IF('10. Gantt S2L'!B41="","",'10. Gantt S2L'!Q41)</f>
        <v/>
      </c>
      <c r="O237" s="1" t="str">
        <f aca="false">IF('10. Gantt S2L'!B41="","",'10. Gantt S2L'!R41)</f>
        <v/>
      </c>
      <c r="P237" s="1" t="str">
        <f aca="false">IF('10. Gantt S2L'!B41="","",'10. Gantt S2L'!S41)</f>
        <v/>
      </c>
      <c r="Q237" s="1" t="str">
        <f aca="false">IF('10. Gantt S2L'!B41="","",'10. Gantt S2L'!T41)</f>
        <v/>
      </c>
      <c r="R237" s="1" t="str">
        <f aca="false">IF('10. Gantt S2L'!B41="","",'10. Gantt S2L'!U41)</f>
        <v/>
      </c>
    </row>
    <row r="238" customFormat="false" ht="15" hidden="false" customHeight="true" outlineLevel="0" collapsed="false">
      <c r="A238" s="1" t="str">
        <f aca="false">IF('10. Gantt S2L'!B42="","","SPACE TO LEAD")</f>
        <v/>
      </c>
      <c r="B238" s="1" t="str">
        <f aca="false">IF('10. Gantt S2L'!B42="","",'10. Gantt S2L'!B42)</f>
        <v/>
      </c>
      <c r="C238" s="1" t="str">
        <f aca="false">IF('10. Gantt S2L'!B42="","",'10. Gantt S2L'!C42)</f>
        <v/>
      </c>
      <c r="D238" s="1" t="str">
        <f aca="false">IF('10. Gantt S2L'!B42="","",'10. Gantt S2L'!D42)</f>
        <v/>
      </c>
      <c r="E238" s="1" t="str">
        <f aca="false">IF('10. Gantt S2L'!B42="","",'10. Gantt S2L'!E42)</f>
        <v/>
      </c>
      <c r="F238" s="1" t="str">
        <f aca="false">IF('10. Gantt S2L'!B42="","",'10. Gantt S2L'!G42)</f>
        <v/>
      </c>
      <c r="G238" s="167" t="str">
        <f aca="false">IF('10. Gantt S2L'!B42="","",'10. Gantt S2L'!H42)</f>
        <v/>
      </c>
      <c r="H238" s="167" t="str">
        <f aca="false">IF('10. Gantt S2L'!B42="","",'10. Gantt S2L'!I42)</f>
        <v/>
      </c>
      <c r="I238" s="167" t="str">
        <f aca="false">IF('10. Gantt S2L'!B42="","",'10. Gantt S2L'!K42)</f>
        <v/>
      </c>
      <c r="J238" s="168" t="str">
        <f aca="false">IF('10. Gantt S2L'!B42="","",'10. Gantt S2L'!M42)</f>
        <v/>
      </c>
      <c r="K238" s="168" t="str">
        <f aca="false">IF('10. Gantt S2L'!B42="","",'10. Gantt S2L'!N42)</f>
        <v/>
      </c>
      <c r="L238" s="169" t="str">
        <f aca="false">IF('10. Gantt S2L'!B42="","",'10. Gantt S2L'!O42)</f>
        <v/>
      </c>
      <c r="M238" s="169" t="str">
        <f aca="false">IF('10. Gantt S2L'!B42="","",'10. Gantt S2L'!P42)</f>
        <v/>
      </c>
      <c r="N238" s="1" t="str">
        <f aca="false">IF('10. Gantt S2L'!B42="","",'10. Gantt S2L'!Q42)</f>
        <v/>
      </c>
      <c r="O238" s="1" t="str">
        <f aca="false">IF('10. Gantt S2L'!B42="","",'10. Gantt S2L'!R42)</f>
        <v/>
      </c>
      <c r="P238" s="1" t="str">
        <f aca="false">IF('10. Gantt S2L'!B42="","",'10. Gantt S2L'!S42)</f>
        <v/>
      </c>
      <c r="Q238" s="1" t="str">
        <f aca="false">IF('10. Gantt S2L'!B42="","",'10. Gantt S2L'!T42)</f>
        <v/>
      </c>
      <c r="R238" s="1" t="str">
        <f aca="false">IF('10. Gantt S2L'!B42="","",'10. Gantt S2L'!U42)</f>
        <v/>
      </c>
    </row>
    <row r="239" customFormat="false" ht="15" hidden="false" customHeight="true" outlineLevel="0" collapsed="false">
      <c r="A239" s="1" t="str">
        <f aca="false">IF('10. Gantt S2L'!B43="","","SPACE TO LEAD")</f>
        <v/>
      </c>
      <c r="B239" s="1" t="str">
        <f aca="false">IF('10. Gantt S2L'!B43="","",'10. Gantt S2L'!B43)</f>
        <v/>
      </c>
      <c r="C239" s="1" t="str">
        <f aca="false">IF('10. Gantt S2L'!B43="","",'10. Gantt S2L'!C43)</f>
        <v/>
      </c>
      <c r="D239" s="1" t="str">
        <f aca="false">IF('10. Gantt S2L'!B43="","",'10. Gantt S2L'!D43)</f>
        <v/>
      </c>
      <c r="E239" s="1" t="str">
        <f aca="false">IF('10. Gantt S2L'!B43="","",'10. Gantt S2L'!E43)</f>
        <v/>
      </c>
      <c r="F239" s="1" t="str">
        <f aca="false">IF('10. Gantt S2L'!B43="","",'10. Gantt S2L'!G43)</f>
        <v/>
      </c>
      <c r="G239" s="167" t="str">
        <f aca="false">IF('10. Gantt S2L'!B43="","",'10. Gantt S2L'!H43)</f>
        <v/>
      </c>
      <c r="H239" s="167" t="str">
        <f aca="false">IF('10. Gantt S2L'!B43="","",'10. Gantt S2L'!I43)</f>
        <v/>
      </c>
      <c r="I239" s="167" t="str">
        <f aca="false">IF('10. Gantt S2L'!B43="","",'10. Gantt S2L'!K43)</f>
        <v/>
      </c>
      <c r="J239" s="168" t="str">
        <f aca="false">IF('10. Gantt S2L'!B43="","",'10. Gantt S2L'!M43)</f>
        <v/>
      </c>
      <c r="K239" s="168" t="str">
        <f aca="false">IF('10. Gantt S2L'!B43="","",'10. Gantt S2L'!N43)</f>
        <v/>
      </c>
      <c r="L239" s="169" t="str">
        <f aca="false">IF('10. Gantt S2L'!B43="","",'10. Gantt S2L'!O43)</f>
        <v/>
      </c>
      <c r="M239" s="169" t="str">
        <f aca="false">IF('10. Gantt S2L'!B43="","",'10. Gantt S2L'!P43)</f>
        <v/>
      </c>
      <c r="N239" s="1" t="str">
        <f aca="false">IF('10. Gantt S2L'!B43="","",'10. Gantt S2L'!Q43)</f>
        <v/>
      </c>
      <c r="O239" s="1" t="str">
        <f aca="false">IF('10. Gantt S2L'!B43="","",'10. Gantt S2L'!R43)</f>
        <v/>
      </c>
      <c r="P239" s="1" t="str">
        <f aca="false">IF('10. Gantt S2L'!B43="","",'10. Gantt S2L'!S43)</f>
        <v/>
      </c>
      <c r="Q239" s="1" t="str">
        <f aca="false">IF('10. Gantt S2L'!B43="","",'10. Gantt S2L'!T43)</f>
        <v/>
      </c>
      <c r="R239" s="1" t="str">
        <f aca="false">IF('10. Gantt S2L'!B43="","",'10. Gantt S2L'!U43)</f>
        <v/>
      </c>
    </row>
    <row r="240" customFormat="false" ht="15" hidden="false" customHeight="true" outlineLevel="0" collapsed="false">
      <c r="A240" s="1" t="str">
        <f aca="false">IF('10. Gantt S2L'!B44="","","SPACE TO LEAD")</f>
        <v/>
      </c>
      <c r="B240" s="1" t="str">
        <f aca="false">IF('10. Gantt S2L'!B44="","",'10. Gantt S2L'!B44)</f>
        <v/>
      </c>
      <c r="C240" s="1" t="str">
        <f aca="false">IF('10. Gantt S2L'!B44="","",'10. Gantt S2L'!C44)</f>
        <v/>
      </c>
      <c r="D240" s="1" t="str">
        <f aca="false">IF('10. Gantt S2L'!B44="","",'10. Gantt S2L'!D44)</f>
        <v/>
      </c>
      <c r="E240" s="1" t="str">
        <f aca="false">IF('10. Gantt S2L'!B44="","",'10. Gantt S2L'!E44)</f>
        <v/>
      </c>
      <c r="F240" s="1" t="str">
        <f aca="false">IF('10. Gantt S2L'!B44="","",'10. Gantt S2L'!G44)</f>
        <v/>
      </c>
      <c r="G240" s="167" t="str">
        <f aca="false">IF('10. Gantt S2L'!B44="","",'10. Gantt S2L'!H44)</f>
        <v/>
      </c>
      <c r="H240" s="167" t="str">
        <f aca="false">IF('10. Gantt S2L'!B44="","",'10. Gantt S2L'!I44)</f>
        <v/>
      </c>
      <c r="I240" s="167" t="str">
        <f aca="false">IF('10. Gantt S2L'!B44="","",'10. Gantt S2L'!K44)</f>
        <v/>
      </c>
      <c r="J240" s="168" t="str">
        <f aca="false">IF('10. Gantt S2L'!B44="","",'10. Gantt S2L'!M44)</f>
        <v/>
      </c>
      <c r="K240" s="168" t="str">
        <f aca="false">IF('10. Gantt S2L'!B44="","",'10. Gantt S2L'!N44)</f>
        <v/>
      </c>
      <c r="L240" s="169" t="str">
        <f aca="false">IF('10. Gantt S2L'!B44="","",'10. Gantt S2L'!O44)</f>
        <v/>
      </c>
      <c r="M240" s="169" t="str">
        <f aca="false">IF('10. Gantt S2L'!B44="","",'10. Gantt S2L'!P44)</f>
        <v/>
      </c>
      <c r="N240" s="1" t="str">
        <f aca="false">IF('10. Gantt S2L'!B44="","",'10. Gantt S2L'!Q44)</f>
        <v/>
      </c>
      <c r="O240" s="1" t="str">
        <f aca="false">IF('10. Gantt S2L'!B44="","",'10. Gantt S2L'!R44)</f>
        <v/>
      </c>
      <c r="P240" s="1" t="str">
        <f aca="false">IF('10. Gantt S2L'!B44="","",'10. Gantt S2L'!S44)</f>
        <v/>
      </c>
      <c r="Q240" s="1" t="str">
        <f aca="false">IF('10. Gantt S2L'!B44="","",'10. Gantt S2L'!T44)</f>
        <v/>
      </c>
      <c r="R240" s="1" t="str">
        <f aca="false">IF('10. Gantt S2L'!B44="","",'10. Gantt S2L'!U44)</f>
        <v/>
      </c>
    </row>
    <row r="241" customFormat="false" ht="15" hidden="false" customHeight="true" outlineLevel="0" collapsed="false">
      <c r="A241" s="1" t="str">
        <f aca="false">IF('10. Gantt S2L'!B45="","","SPACE TO LEAD")</f>
        <v/>
      </c>
      <c r="B241" s="1" t="str">
        <f aca="false">IF('10. Gantt S2L'!B45="","",'10. Gantt S2L'!B45)</f>
        <v/>
      </c>
      <c r="C241" s="1" t="str">
        <f aca="false">IF('10. Gantt S2L'!B45="","",'10. Gantt S2L'!C45)</f>
        <v/>
      </c>
      <c r="D241" s="1" t="str">
        <f aca="false">IF('10. Gantt S2L'!B45="","",'10. Gantt S2L'!D45)</f>
        <v/>
      </c>
      <c r="E241" s="1" t="str">
        <f aca="false">IF('10. Gantt S2L'!B45="","",'10. Gantt S2L'!E45)</f>
        <v/>
      </c>
      <c r="F241" s="1" t="str">
        <f aca="false">IF('10. Gantt S2L'!B45="","",'10. Gantt S2L'!G45)</f>
        <v/>
      </c>
      <c r="G241" s="167" t="str">
        <f aca="false">IF('10. Gantt S2L'!B45="","",'10. Gantt S2L'!H45)</f>
        <v/>
      </c>
      <c r="H241" s="167" t="str">
        <f aca="false">IF('10. Gantt S2L'!B45="","",'10. Gantt S2L'!I45)</f>
        <v/>
      </c>
      <c r="I241" s="167" t="str">
        <f aca="false">IF('10. Gantt S2L'!B45="","",'10. Gantt S2L'!K45)</f>
        <v/>
      </c>
      <c r="J241" s="168" t="str">
        <f aca="false">IF('10. Gantt S2L'!B45="","",'10. Gantt S2L'!M45)</f>
        <v/>
      </c>
      <c r="K241" s="168" t="str">
        <f aca="false">IF('10. Gantt S2L'!B45="","",'10. Gantt S2L'!N45)</f>
        <v/>
      </c>
      <c r="L241" s="169" t="str">
        <f aca="false">IF('10. Gantt S2L'!B45="","",'10. Gantt S2L'!O45)</f>
        <v/>
      </c>
      <c r="M241" s="169" t="str">
        <f aca="false">IF('10. Gantt S2L'!B45="","",'10. Gantt S2L'!P45)</f>
        <v/>
      </c>
      <c r="N241" s="1" t="str">
        <f aca="false">IF('10. Gantt S2L'!B45="","",'10. Gantt S2L'!Q45)</f>
        <v/>
      </c>
      <c r="O241" s="1" t="str">
        <f aca="false">IF('10. Gantt S2L'!B45="","",'10. Gantt S2L'!R45)</f>
        <v/>
      </c>
      <c r="P241" s="1" t="str">
        <f aca="false">IF('10. Gantt S2L'!B45="","",'10. Gantt S2L'!S45)</f>
        <v/>
      </c>
      <c r="Q241" s="1" t="str">
        <f aca="false">IF('10. Gantt S2L'!B45="","",'10. Gantt S2L'!T45)</f>
        <v/>
      </c>
      <c r="R241" s="1" t="str">
        <f aca="false">IF('10. Gantt S2L'!B45="","",'10. Gantt S2L'!U45)</f>
        <v/>
      </c>
    </row>
    <row r="242" customFormat="false" ht="15" hidden="false" customHeight="true" outlineLevel="0" collapsed="false">
      <c r="A242" s="1" t="str">
        <f aca="false">IF('10. Gantt S2L'!B46="","","SPACE TO LEAD")</f>
        <v/>
      </c>
      <c r="B242" s="1" t="str">
        <f aca="false">IF('10. Gantt S2L'!B46="","",'10. Gantt S2L'!B46)</f>
        <v/>
      </c>
      <c r="C242" s="1" t="str">
        <f aca="false">IF('10. Gantt S2L'!B46="","",'10. Gantt S2L'!C46)</f>
        <v/>
      </c>
      <c r="D242" s="1" t="str">
        <f aca="false">IF('10. Gantt S2L'!B46="","",'10. Gantt S2L'!D46)</f>
        <v/>
      </c>
      <c r="E242" s="1" t="str">
        <f aca="false">IF('10. Gantt S2L'!B46="","",'10. Gantt S2L'!E46)</f>
        <v/>
      </c>
      <c r="F242" s="1" t="str">
        <f aca="false">IF('10. Gantt S2L'!B46="","",'10. Gantt S2L'!G46)</f>
        <v/>
      </c>
      <c r="G242" s="167" t="str">
        <f aca="false">IF('10. Gantt S2L'!B46="","",'10. Gantt S2L'!H46)</f>
        <v/>
      </c>
      <c r="H242" s="167" t="str">
        <f aca="false">IF('10. Gantt S2L'!B46="","",'10. Gantt S2L'!I46)</f>
        <v/>
      </c>
      <c r="I242" s="167" t="str">
        <f aca="false">IF('10. Gantt S2L'!B46="","",'10. Gantt S2L'!K46)</f>
        <v/>
      </c>
      <c r="J242" s="168" t="str">
        <f aca="false">IF('10. Gantt S2L'!B46="","",'10. Gantt S2L'!M46)</f>
        <v/>
      </c>
      <c r="K242" s="168" t="str">
        <f aca="false">IF('10. Gantt S2L'!B46="","",'10. Gantt S2L'!N46)</f>
        <v/>
      </c>
      <c r="L242" s="169" t="str">
        <f aca="false">IF('10. Gantt S2L'!B46="","",'10. Gantt S2L'!O46)</f>
        <v/>
      </c>
      <c r="M242" s="169" t="str">
        <f aca="false">IF('10. Gantt S2L'!B46="","",'10. Gantt S2L'!P46)</f>
        <v/>
      </c>
      <c r="N242" s="1" t="str">
        <f aca="false">IF('10. Gantt S2L'!B46="","",'10. Gantt S2L'!Q46)</f>
        <v/>
      </c>
      <c r="O242" s="1" t="str">
        <f aca="false">IF('10. Gantt S2L'!B46="","",'10. Gantt S2L'!R46)</f>
        <v/>
      </c>
      <c r="P242" s="1" t="str">
        <f aca="false">IF('10. Gantt S2L'!B46="","",'10. Gantt S2L'!S46)</f>
        <v/>
      </c>
      <c r="Q242" s="1" t="str">
        <f aca="false">IF('10. Gantt S2L'!B46="","",'10. Gantt S2L'!T46)</f>
        <v/>
      </c>
      <c r="R242" s="1" t="str">
        <f aca="false">IF('10. Gantt S2L'!B46="","",'10. Gantt S2L'!U46)</f>
        <v/>
      </c>
    </row>
    <row r="243" customFormat="false" ht="15" hidden="false" customHeight="true" outlineLevel="0" collapsed="false">
      <c r="A243" s="1" t="str">
        <f aca="false">IF('10. Gantt S2L'!B47="","","SPACE TO LEAD")</f>
        <v/>
      </c>
      <c r="B243" s="1" t="str">
        <f aca="false">IF('10. Gantt S2L'!B47="","",'10. Gantt S2L'!B47)</f>
        <v/>
      </c>
      <c r="C243" s="1" t="str">
        <f aca="false">IF('10. Gantt S2L'!B47="","",'10. Gantt S2L'!C47)</f>
        <v/>
      </c>
      <c r="D243" s="1" t="str">
        <f aca="false">IF('10. Gantt S2L'!B47="","",'10. Gantt S2L'!D47)</f>
        <v/>
      </c>
      <c r="E243" s="1" t="str">
        <f aca="false">IF('10. Gantt S2L'!B47="","",'10. Gantt S2L'!E47)</f>
        <v/>
      </c>
      <c r="F243" s="1" t="str">
        <f aca="false">IF('10. Gantt S2L'!B47="","",'10. Gantt S2L'!G47)</f>
        <v/>
      </c>
      <c r="G243" s="167" t="str">
        <f aca="false">IF('10. Gantt S2L'!B47="","",'10. Gantt S2L'!H47)</f>
        <v/>
      </c>
      <c r="H243" s="167" t="str">
        <f aca="false">IF('10. Gantt S2L'!B47="","",'10. Gantt S2L'!I47)</f>
        <v/>
      </c>
      <c r="I243" s="167" t="str">
        <f aca="false">IF('10. Gantt S2L'!B47="","",'10. Gantt S2L'!K47)</f>
        <v/>
      </c>
      <c r="J243" s="168" t="str">
        <f aca="false">IF('10. Gantt S2L'!B47="","",'10. Gantt S2L'!M47)</f>
        <v/>
      </c>
      <c r="K243" s="168" t="str">
        <f aca="false">IF('10. Gantt S2L'!B47="","",'10. Gantt S2L'!N47)</f>
        <v/>
      </c>
      <c r="L243" s="169" t="str">
        <f aca="false">IF('10. Gantt S2L'!B47="","",'10. Gantt S2L'!O47)</f>
        <v/>
      </c>
      <c r="M243" s="169" t="str">
        <f aca="false">IF('10. Gantt S2L'!B47="","",'10. Gantt S2L'!P47)</f>
        <v/>
      </c>
      <c r="N243" s="1" t="str">
        <f aca="false">IF('10. Gantt S2L'!B47="","",'10. Gantt S2L'!Q47)</f>
        <v/>
      </c>
      <c r="O243" s="1" t="str">
        <f aca="false">IF('10. Gantt S2L'!B47="","",'10. Gantt S2L'!R47)</f>
        <v/>
      </c>
      <c r="P243" s="1" t="str">
        <f aca="false">IF('10. Gantt S2L'!B47="","",'10. Gantt S2L'!S47)</f>
        <v/>
      </c>
      <c r="Q243" s="1" t="str">
        <f aca="false">IF('10. Gantt S2L'!B47="","",'10. Gantt S2L'!T47)</f>
        <v/>
      </c>
      <c r="R243" s="1" t="str">
        <f aca="false">IF('10. Gantt S2L'!B47="","",'10. Gantt S2L'!U47)</f>
        <v/>
      </c>
    </row>
    <row r="244" customFormat="false" ht="15" hidden="false" customHeight="true" outlineLevel="0" collapsed="false">
      <c r="A244" s="1" t="str">
        <f aca="false">IF('10. Gantt S2L'!B48="","","SPACE TO LEAD")</f>
        <v/>
      </c>
      <c r="B244" s="1" t="str">
        <f aca="false">IF('10. Gantt S2L'!B48="","",'10. Gantt S2L'!B48)</f>
        <v/>
      </c>
      <c r="C244" s="1" t="str">
        <f aca="false">IF('10. Gantt S2L'!B48="","",'10. Gantt S2L'!C48)</f>
        <v/>
      </c>
      <c r="D244" s="1" t="str">
        <f aca="false">IF('10. Gantt S2L'!B48="","",'10. Gantt S2L'!D48)</f>
        <v/>
      </c>
      <c r="E244" s="1" t="str">
        <f aca="false">IF('10. Gantt S2L'!B48="","",'10. Gantt S2L'!E48)</f>
        <v/>
      </c>
      <c r="F244" s="1" t="str">
        <f aca="false">IF('10. Gantt S2L'!B48="","",'10. Gantt S2L'!G48)</f>
        <v/>
      </c>
      <c r="G244" s="167" t="str">
        <f aca="false">IF('10. Gantt S2L'!B48="","",'10. Gantt S2L'!H48)</f>
        <v/>
      </c>
      <c r="H244" s="167" t="str">
        <f aca="false">IF('10. Gantt S2L'!B48="","",'10. Gantt S2L'!I48)</f>
        <v/>
      </c>
      <c r="I244" s="167" t="str">
        <f aca="false">IF('10. Gantt S2L'!B48="","",'10. Gantt S2L'!K48)</f>
        <v/>
      </c>
      <c r="J244" s="168" t="str">
        <f aca="false">IF('10. Gantt S2L'!B48="","",'10. Gantt S2L'!M48)</f>
        <v/>
      </c>
      <c r="K244" s="168" t="str">
        <f aca="false">IF('10. Gantt S2L'!B48="","",'10. Gantt S2L'!N48)</f>
        <v/>
      </c>
      <c r="L244" s="169" t="str">
        <f aca="false">IF('10. Gantt S2L'!B48="","",'10. Gantt S2L'!O48)</f>
        <v/>
      </c>
      <c r="M244" s="169" t="str">
        <f aca="false">IF('10. Gantt S2L'!B48="","",'10. Gantt S2L'!P48)</f>
        <v/>
      </c>
      <c r="N244" s="1" t="str">
        <f aca="false">IF('10. Gantt S2L'!B48="","",'10. Gantt S2L'!Q48)</f>
        <v/>
      </c>
      <c r="O244" s="1" t="str">
        <f aca="false">IF('10. Gantt S2L'!B48="","",'10. Gantt S2L'!R48)</f>
        <v/>
      </c>
      <c r="P244" s="1" t="str">
        <f aca="false">IF('10. Gantt S2L'!B48="","",'10. Gantt S2L'!S48)</f>
        <v/>
      </c>
      <c r="Q244" s="1" t="str">
        <f aca="false">IF('10. Gantt S2L'!B48="","",'10. Gantt S2L'!T48)</f>
        <v/>
      </c>
      <c r="R244" s="1" t="str">
        <f aca="false">IF('10. Gantt S2L'!B48="","",'10. Gantt S2L'!U48)</f>
        <v/>
      </c>
    </row>
    <row r="245" customFormat="false" ht="15" hidden="false" customHeight="true" outlineLevel="0" collapsed="false">
      <c r="A245" s="1" t="str">
        <f aca="false">IF('10. Gantt S2L'!B49="","","SPACE TO LEAD")</f>
        <v/>
      </c>
      <c r="B245" s="1" t="str">
        <f aca="false">IF('10. Gantt S2L'!B49="","",'10. Gantt S2L'!B49)</f>
        <v/>
      </c>
      <c r="C245" s="1" t="str">
        <f aca="false">IF('10. Gantt S2L'!B49="","",'10. Gantt S2L'!C49)</f>
        <v/>
      </c>
      <c r="D245" s="1" t="str">
        <f aca="false">IF('10. Gantt S2L'!B49="","",'10. Gantt S2L'!D49)</f>
        <v/>
      </c>
      <c r="E245" s="1" t="str">
        <f aca="false">IF('10. Gantt S2L'!B49="","",'10. Gantt S2L'!E49)</f>
        <v/>
      </c>
      <c r="F245" s="1" t="str">
        <f aca="false">IF('10. Gantt S2L'!B49="","",'10. Gantt S2L'!G49)</f>
        <v/>
      </c>
      <c r="G245" s="167" t="str">
        <f aca="false">IF('10. Gantt S2L'!B49="","",'10. Gantt S2L'!H49)</f>
        <v/>
      </c>
      <c r="H245" s="167" t="str">
        <f aca="false">IF('10. Gantt S2L'!B49="","",'10. Gantt S2L'!I49)</f>
        <v/>
      </c>
      <c r="I245" s="167" t="str">
        <f aca="false">IF('10. Gantt S2L'!B49="","",'10. Gantt S2L'!K49)</f>
        <v/>
      </c>
      <c r="J245" s="168" t="str">
        <f aca="false">IF('10. Gantt S2L'!B49="","",'10. Gantt S2L'!M49)</f>
        <v/>
      </c>
      <c r="K245" s="168" t="str">
        <f aca="false">IF('10. Gantt S2L'!B49="","",'10. Gantt S2L'!N49)</f>
        <v/>
      </c>
      <c r="L245" s="169" t="str">
        <f aca="false">IF('10. Gantt S2L'!B49="","",'10. Gantt S2L'!O49)</f>
        <v/>
      </c>
      <c r="M245" s="169" t="str">
        <f aca="false">IF('10. Gantt S2L'!B49="","",'10. Gantt S2L'!P49)</f>
        <v/>
      </c>
      <c r="N245" s="1" t="str">
        <f aca="false">IF('10. Gantt S2L'!B49="","",'10. Gantt S2L'!Q49)</f>
        <v/>
      </c>
      <c r="O245" s="1" t="str">
        <f aca="false">IF('10. Gantt S2L'!B49="","",'10. Gantt S2L'!R49)</f>
        <v/>
      </c>
      <c r="P245" s="1" t="str">
        <f aca="false">IF('10. Gantt S2L'!B49="","",'10. Gantt S2L'!S49)</f>
        <v/>
      </c>
      <c r="Q245" s="1" t="str">
        <f aca="false">IF('10. Gantt S2L'!B49="","",'10. Gantt S2L'!T49)</f>
        <v/>
      </c>
      <c r="R245" s="1" t="str">
        <f aca="false">IF('10. Gantt S2L'!B49="","",'10. Gantt S2L'!U49)</f>
        <v/>
      </c>
    </row>
    <row r="246" customFormat="false" ht="15" hidden="false" customHeight="true" outlineLevel="0" collapsed="false">
      <c r="A246" s="1" t="str">
        <f aca="false">IF('10. Gantt S2L'!B50="","","SPACE TO LEAD")</f>
        <v/>
      </c>
      <c r="B246" s="1" t="str">
        <f aca="false">IF('10. Gantt S2L'!B50="","",'10. Gantt S2L'!B50)</f>
        <v/>
      </c>
      <c r="C246" s="1" t="str">
        <f aca="false">IF('10. Gantt S2L'!B50="","",'10. Gantt S2L'!C50)</f>
        <v/>
      </c>
      <c r="D246" s="1" t="str">
        <f aca="false">IF('10. Gantt S2L'!B50="","",'10. Gantt S2L'!D50)</f>
        <v/>
      </c>
      <c r="E246" s="1" t="str">
        <f aca="false">IF('10. Gantt S2L'!B50="","",'10. Gantt S2L'!E50)</f>
        <v/>
      </c>
      <c r="F246" s="1" t="str">
        <f aca="false">IF('10. Gantt S2L'!B50="","",'10. Gantt S2L'!G50)</f>
        <v/>
      </c>
      <c r="G246" s="167" t="str">
        <f aca="false">IF('10. Gantt S2L'!B50="","",'10. Gantt S2L'!H50)</f>
        <v/>
      </c>
      <c r="H246" s="167" t="str">
        <f aca="false">IF('10. Gantt S2L'!B50="","",'10. Gantt S2L'!I50)</f>
        <v/>
      </c>
      <c r="I246" s="167" t="str">
        <f aca="false">IF('10. Gantt S2L'!B50="","",'10. Gantt S2L'!K50)</f>
        <v/>
      </c>
      <c r="J246" s="168" t="str">
        <f aca="false">IF('10. Gantt S2L'!B50="","",'10. Gantt S2L'!M50)</f>
        <v/>
      </c>
      <c r="K246" s="168" t="str">
        <f aca="false">IF('10. Gantt S2L'!B50="","",'10. Gantt S2L'!N50)</f>
        <v/>
      </c>
      <c r="L246" s="169" t="str">
        <f aca="false">IF('10. Gantt S2L'!B50="","",'10. Gantt S2L'!O50)</f>
        <v/>
      </c>
      <c r="M246" s="169" t="str">
        <f aca="false">IF('10. Gantt S2L'!B50="","",'10. Gantt S2L'!P50)</f>
        <v/>
      </c>
      <c r="N246" s="1" t="str">
        <f aca="false">IF('10. Gantt S2L'!B50="","",'10. Gantt S2L'!Q50)</f>
        <v/>
      </c>
      <c r="O246" s="1" t="str">
        <f aca="false">IF('10. Gantt S2L'!B50="","",'10. Gantt S2L'!R50)</f>
        <v/>
      </c>
      <c r="P246" s="1" t="str">
        <f aca="false">IF('10. Gantt S2L'!B50="","",'10. Gantt S2L'!S50)</f>
        <v/>
      </c>
      <c r="Q246" s="1" t="str">
        <f aca="false">IF('10. Gantt S2L'!B50="","",'10. Gantt S2L'!T50)</f>
        <v/>
      </c>
      <c r="R246" s="1" t="str">
        <f aca="false">IF('10. Gantt S2L'!B50="","",'10. Gantt S2L'!U50)</f>
        <v/>
      </c>
    </row>
    <row r="247" customFormat="false" ht="15" hidden="false" customHeight="true" outlineLevel="0" collapsed="false">
      <c r="A247" s="1" t="str">
        <f aca="false">IF('10. Gantt S2L'!B51="","","SPACE TO LEAD")</f>
        <v/>
      </c>
      <c r="B247" s="1" t="str">
        <f aca="false">IF('10. Gantt S2L'!B51="","",'10. Gantt S2L'!B51)</f>
        <v/>
      </c>
      <c r="C247" s="1" t="str">
        <f aca="false">IF('10. Gantt S2L'!B51="","",'10. Gantt S2L'!C51)</f>
        <v/>
      </c>
      <c r="D247" s="1" t="str">
        <f aca="false">IF('10. Gantt S2L'!B51="","",'10. Gantt S2L'!D51)</f>
        <v/>
      </c>
      <c r="E247" s="1" t="str">
        <f aca="false">IF('10. Gantt S2L'!B51="","",'10. Gantt S2L'!E51)</f>
        <v/>
      </c>
      <c r="F247" s="1" t="str">
        <f aca="false">IF('10. Gantt S2L'!B51="","",'10. Gantt S2L'!G51)</f>
        <v/>
      </c>
      <c r="G247" s="167" t="str">
        <f aca="false">IF('10. Gantt S2L'!B51="","",'10. Gantt S2L'!H51)</f>
        <v/>
      </c>
      <c r="H247" s="167" t="str">
        <f aca="false">IF('10. Gantt S2L'!B51="","",'10. Gantt S2L'!I51)</f>
        <v/>
      </c>
      <c r="I247" s="167" t="str">
        <f aca="false">IF('10. Gantt S2L'!B51="","",'10. Gantt S2L'!K51)</f>
        <v/>
      </c>
      <c r="J247" s="168" t="str">
        <f aca="false">IF('10. Gantt S2L'!B51="","",'10. Gantt S2L'!M51)</f>
        <v/>
      </c>
      <c r="K247" s="168" t="str">
        <f aca="false">IF('10. Gantt S2L'!B51="","",'10. Gantt S2L'!N51)</f>
        <v/>
      </c>
      <c r="L247" s="169" t="str">
        <f aca="false">IF('10. Gantt S2L'!B51="","",'10. Gantt S2L'!O51)</f>
        <v/>
      </c>
      <c r="M247" s="169" t="str">
        <f aca="false">IF('10. Gantt S2L'!B51="","",'10. Gantt S2L'!P51)</f>
        <v/>
      </c>
      <c r="N247" s="1" t="str">
        <f aca="false">IF('10. Gantt S2L'!B51="","",'10. Gantt S2L'!Q51)</f>
        <v/>
      </c>
      <c r="O247" s="1" t="str">
        <f aca="false">IF('10. Gantt S2L'!B51="","",'10. Gantt S2L'!R51)</f>
        <v/>
      </c>
      <c r="P247" s="1" t="str">
        <f aca="false">IF('10. Gantt S2L'!B51="","",'10. Gantt S2L'!S51)</f>
        <v/>
      </c>
      <c r="Q247" s="1" t="str">
        <f aca="false">IF('10. Gantt S2L'!B51="","",'10. Gantt S2L'!T51)</f>
        <v/>
      </c>
      <c r="R247" s="1" t="str">
        <f aca="false">IF('10. Gantt S2L'!B51="","",'10. Gantt S2L'!U51)</f>
        <v/>
      </c>
    </row>
    <row r="248" customFormat="false" ht="15" hidden="false" customHeight="true" outlineLevel="0" collapsed="false">
      <c r="A248" s="1" t="str">
        <f aca="false">IF('10. Gantt S2L'!B52="","","SPACE TO LEAD")</f>
        <v/>
      </c>
      <c r="B248" s="1" t="str">
        <f aca="false">IF('10. Gantt S2L'!B52="","",'10. Gantt S2L'!B52)</f>
        <v/>
      </c>
      <c r="C248" s="1" t="str">
        <f aca="false">IF('10. Gantt S2L'!B52="","",'10. Gantt S2L'!C52)</f>
        <v/>
      </c>
      <c r="D248" s="1" t="str">
        <f aca="false">IF('10. Gantt S2L'!B52="","",'10. Gantt S2L'!D52)</f>
        <v/>
      </c>
      <c r="E248" s="1" t="str">
        <f aca="false">IF('10. Gantt S2L'!B52="","",'10. Gantt S2L'!E52)</f>
        <v/>
      </c>
      <c r="F248" s="1" t="str">
        <f aca="false">IF('10. Gantt S2L'!B52="","",'10. Gantt S2L'!G52)</f>
        <v/>
      </c>
      <c r="G248" s="167" t="str">
        <f aca="false">IF('10. Gantt S2L'!B52="","",'10. Gantt S2L'!H52)</f>
        <v/>
      </c>
      <c r="H248" s="167" t="str">
        <f aca="false">IF('10. Gantt S2L'!B52="","",'10. Gantt S2L'!I52)</f>
        <v/>
      </c>
      <c r="I248" s="167" t="str">
        <f aca="false">IF('10. Gantt S2L'!B52="","",'10. Gantt S2L'!K52)</f>
        <v/>
      </c>
      <c r="J248" s="168" t="str">
        <f aca="false">IF('10. Gantt S2L'!B52="","",'10. Gantt S2L'!M52)</f>
        <v/>
      </c>
      <c r="K248" s="168" t="str">
        <f aca="false">IF('10. Gantt S2L'!B52="","",'10. Gantt S2L'!N52)</f>
        <v/>
      </c>
      <c r="L248" s="169" t="str">
        <f aca="false">IF('10. Gantt S2L'!B52="","",'10. Gantt S2L'!O52)</f>
        <v/>
      </c>
      <c r="M248" s="169" t="str">
        <f aca="false">IF('10. Gantt S2L'!B52="","",'10. Gantt S2L'!P52)</f>
        <v/>
      </c>
      <c r="N248" s="1" t="str">
        <f aca="false">IF('10. Gantt S2L'!B52="","",'10. Gantt S2L'!Q52)</f>
        <v/>
      </c>
      <c r="O248" s="1" t="str">
        <f aca="false">IF('10. Gantt S2L'!B52="","",'10. Gantt S2L'!R52)</f>
        <v/>
      </c>
      <c r="P248" s="1" t="str">
        <f aca="false">IF('10. Gantt S2L'!B52="","",'10. Gantt S2L'!S52)</f>
        <v/>
      </c>
      <c r="Q248" s="1" t="str">
        <f aca="false">IF('10. Gantt S2L'!B52="","",'10. Gantt S2L'!T52)</f>
        <v/>
      </c>
      <c r="R248" s="1" t="str">
        <f aca="false">IF('10. Gantt S2L'!B52="","",'10. Gantt S2L'!U52)</f>
        <v/>
      </c>
    </row>
    <row r="249" customFormat="false" ht="15" hidden="false" customHeight="true" outlineLevel="0" collapsed="false">
      <c r="A249" s="1" t="str">
        <f aca="false">IF('10. Gantt S2L'!B53="","","SPACE TO LEAD")</f>
        <v/>
      </c>
      <c r="B249" s="1" t="str">
        <f aca="false">IF('10. Gantt S2L'!B53="","",'10. Gantt S2L'!B53)</f>
        <v/>
      </c>
      <c r="C249" s="1" t="str">
        <f aca="false">IF('10. Gantt S2L'!B53="","",'10. Gantt S2L'!C53)</f>
        <v/>
      </c>
      <c r="D249" s="1" t="str">
        <f aca="false">IF('10. Gantt S2L'!B53="","",'10. Gantt S2L'!D53)</f>
        <v/>
      </c>
      <c r="E249" s="1" t="str">
        <f aca="false">IF('10. Gantt S2L'!B53="","",'10. Gantt S2L'!E53)</f>
        <v/>
      </c>
      <c r="F249" s="1" t="str">
        <f aca="false">IF('10. Gantt S2L'!B53="","",'10. Gantt S2L'!G53)</f>
        <v/>
      </c>
      <c r="G249" s="167" t="str">
        <f aca="false">IF('10. Gantt S2L'!B53="","",'10. Gantt S2L'!H53)</f>
        <v/>
      </c>
      <c r="H249" s="167" t="str">
        <f aca="false">IF('10. Gantt S2L'!B53="","",'10. Gantt S2L'!I53)</f>
        <v/>
      </c>
      <c r="I249" s="167" t="str">
        <f aca="false">IF('10. Gantt S2L'!B53="","",'10. Gantt S2L'!K53)</f>
        <v/>
      </c>
      <c r="J249" s="168" t="str">
        <f aca="false">IF('10. Gantt S2L'!B53="","",'10. Gantt S2L'!M53)</f>
        <v/>
      </c>
      <c r="K249" s="168" t="str">
        <f aca="false">IF('10. Gantt S2L'!B53="","",'10. Gantt S2L'!N53)</f>
        <v/>
      </c>
      <c r="L249" s="169" t="str">
        <f aca="false">IF('10. Gantt S2L'!B53="","",'10. Gantt S2L'!O53)</f>
        <v/>
      </c>
      <c r="M249" s="169" t="str">
        <f aca="false">IF('10. Gantt S2L'!B53="","",'10. Gantt S2L'!P53)</f>
        <v/>
      </c>
      <c r="N249" s="1" t="str">
        <f aca="false">IF('10. Gantt S2L'!B53="","",'10. Gantt S2L'!Q53)</f>
        <v/>
      </c>
      <c r="O249" s="1" t="str">
        <f aca="false">IF('10. Gantt S2L'!B53="","",'10. Gantt S2L'!R53)</f>
        <v/>
      </c>
      <c r="P249" s="1" t="str">
        <f aca="false">IF('10. Gantt S2L'!B53="","",'10. Gantt S2L'!S53)</f>
        <v/>
      </c>
      <c r="Q249" s="1" t="str">
        <f aca="false">IF('10. Gantt S2L'!B53="","",'10. Gantt S2L'!T53)</f>
        <v/>
      </c>
      <c r="R249" s="1" t="str">
        <f aca="false">IF('10. Gantt S2L'!B53="","",'10. Gantt S2L'!U53)</f>
        <v/>
      </c>
    </row>
    <row r="250" customFormat="false" ht="15" hidden="false" customHeight="true" outlineLevel="0" collapsed="false">
      <c r="A250" s="1" t="str">
        <f aca="false">IF('10. Gantt S2L'!B54="","","SPACE TO LEAD")</f>
        <v/>
      </c>
      <c r="B250" s="1" t="str">
        <f aca="false">IF('10. Gantt S2L'!B54="","",'10. Gantt S2L'!B54)</f>
        <v/>
      </c>
      <c r="C250" s="1" t="str">
        <f aca="false">IF('10. Gantt S2L'!B54="","",'10. Gantt S2L'!C54)</f>
        <v/>
      </c>
      <c r="D250" s="1" t="str">
        <f aca="false">IF('10. Gantt S2L'!B54="","",'10. Gantt S2L'!D54)</f>
        <v/>
      </c>
      <c r="E250" s="1" t="str">
        <f aca="false">IF('10. Gantt S2L'!B54="","",'10. Gantt S2L'!E54)</f>
        <v/>
      </c>
      <c r="F250" s="1" t="str">
        <f aca="false">IF('10. Gantt S2L'!B54="","",'10. Gantt S2L'!G54)</f>
        <v/>
      </c>
      <c r="G250" s="167" t="str">
        <f aca="false">IF('10. Gantt S2L'!B54="","",'10. Gantt S2L'!H54)</f>
        <v/>
      </c>
      <c r="H250" s="167" t="str">
        <f aca="false">IF('10. Gantt S2L'!B54="","",'10. Gantt S2L'!I54)</f>
        <v/>
      </c>
      <c r="I250" s="167" t="str">
        <f aca="false">IF('10. Gantt S2L'!B54="","",'10. Gantt S2L'!K54)</f>
        <v/>
      </c>
      <c r="J250" s="168" t="str">
        <f aca="false">IF('10. Gantt S2L'!B54="","",'10. Gantt S2L'!M54)</f>
        <v/>
      </c>
      <c r="K250" s="168" t="str">
        <f aca="false">IF('10. Gantt S2L'!B54="","",'10. Gantt S2L'!N54)</f>
        <v/>
      </c>
      <c r="L250" s="169" t="str">
        <f aca="false">IF('10. Gantt S2L'!B54="","",'10. Gantt S2L'!O54)</f>
        <v/>
      </c>
      <c r="M250" s="169" t="str">
        <f aca="false">IF('10. Gantt S2L'!B54="","",'10. Gantt S2L'!P54)</f>
        <v/>
      </c>
      <c r="N250" s="1" t="str">
        <f aca="false">IF('10. Gantt S2L'!B54="","",'10. Gantt S2L'!Q54)</f>
        <v/>
      </c>
      <c r="O250" s="1" t="str">
        <f aca="false">IF('10. Gantt S2L'!B54="","",'10. Gantt S2L'!R54)</f>
        <v/>
      </c>
      <c r="P250" s="1" t="str">
        <f aca="false">IF('10. Gantt S2L'!B54="","",'10. Gantt S2L'!S54)</f>
        <v/>
      </c>
      <c r="Q250" s="1" t="str">
        <f aca="false">IF('10. Gantt S2L'!B54="","",'10. Gantt S2L'!T54)</f>
        <v/>
      </c>
      <c r="R250" s="1" t="str">
        <f aca="false">IF('10. Gantt S2L'!B54="","",'10. Gantt S2L'!U54)</f>
        <v/>
      </c>
    </row>
    <row r="251" customFormat="false" ht="15" hidden="false" customHeight="true" outlineLevel="0" collapsed="false">
      <c r="A251" s="1" t="str">
        <f aca="false">IF('10. Gantt S2L'!B55="","","SPACE TO LEAD")</f>
        <v/>
      </c>
      <c r="B251" s="1" t="str">
        <f aca="false">IF('10. Gantt S2L'!B55="","",'10. Gantt S2L'!B55)</f>
        <v/>
      </c>
      <c r="C251" s="1" t="str">
        <f aca="false">IF('10. Gantt S2L'!B55="","",'10. Gantt S2L'!C55)</f>
        <v/>
      </c>
      <c r="D251" s="1" t="str">
        <f aca="false">IF('10. Gantt S2L'!B55="","",'10. Gantt S2L'!D55)</f>
        <v/>
      </c>
      <c r="E251" s="1" t="str">
        <f aca="false">IF('10. Gantt S2L'!B55="","",'10. Gantt S2L'!E55)</f>
        <v/>
      </c>
      <c r="F251" s="1" t="str">
        <f aca="false">IF('10. Gantt S2L'!B55="","",'10. Gantt S2L'!G55)</f>
        <v/>
      </c>
      <c r="G251" s="167" t="str">
        <f aca="false">IF('10. Gantt S2L'!B55="","",'10. Gantt S2L'!H55)</f>
        <v/>
      </c>
      <c r="H251" s="167" t="str">
        <f aca="false">IF('10. Gantt S2L'!B55="","",'10. Gantt S2L'!I55)</f>
        <v/>
      </c>
      <c r="I251" s="167" t="str">
        <f aca="false">IF('10. Gantt S2L'!B55="","",'10. Gantt S2L'!K55)</f>
        <v/>
      </c>
      <c r="J251" s="168" t="str">
        <f aca="false">IF('10. Gantt S2L'!B55="","",'10. Gantt S2L'!M55)</f>
        <v/>
      </c>
      <c r="K251" s="168" t="str">
        <f aca="false">IF('10. Gantt S2L'!B55="","",'10. Gantt S2L'!N55)</f>
        <v/>
      </c>
      <c r="L251" s="169" t="str">
        <f aca="false">IF('10. Gantt S2L'!B55="","",'10. Gantt S2L'!O55)</f>
        <v/>
      </c>
      <c r="M251" s="169" t="str">
        <f aca="false">IF('10. Gantt S2L'!B55="","",'10. Gantt S2L'!P55)</f>
        <v/>
      </c>
      <c r="N251" s="1" t="str">
        <f aca="false">IF('10. Gantt S2L'!B55="","",'10. Gantt S2L'!Q55)</f>
        <v/>
      </c>
      <c r="O251" s="1" t="str">
        <f aca="false">IF('10. Gantt S2L'!B55="","",'10. Gantt S2L'!R55)</f>
        <v/>
      </c>
      <c r="P251" s="1" t="str">
        <f aca="false">IF('10. Gantt S2L'!B55="","",'10. Gantt S2L'!S55)</f>
        <v/>
      </c>
      <c r="Q251" s="1" t="str">
        <f aca="false">IF('10. Gantt S2L'!B55="","",'10. Gantt S2L'!T55)</f>
        <v/>
      </c>
      <c r="R251" s="1" t="str">
        <f aca="false">IF('10. Gantt S2L'!B55="","",'10. Gantt S2L'!U55)</f>
        <v/>
      </c>
    </row>
    <row r="252" customFormat="false" ht="15" hidden="false" customHeight="true" outlineLevel="0" collapsed="false">
      <c r="A252" s="1" t="str">
        <f aca="false">IF('10. Gantt S2L'!B56="","","SPACE TO LEAD")</f>
        <v/>
      </c>
      <c r="B252" s="1" t="str">
        <f aca="false">IF('10. Gantt S2L'!B56="","",'10. Gantt S2L'!B56)</f>
        <v/>
      </c>
      <c r="C252" s="1" t="str">
        <f aca="false">IF('10. Gantt S2L'!B56="","",'10. Gantt S2L'!C56)</f>
        <v/>
      </c>
      <c r="D252" s="1" t="str">
        <f aca="false">IF('10. Gantt S2L'!B56="","",'10. Gantt S2L'!D56)</f>
        <v/>
      </c>
      <c r="E252" s="1" t="str">
        <f aca="false">IF('10. Gantt S2L'!B56="","",'10. Gantt S2L'!E56)</f>
        <v/>
      </c>
      <c r="F252" s="1" t="str">
        <f aca="false">IF('10. Gantt S2L'!B56="","",'10. Gantt S2L'!G56)</f>
        <v/>
      </c>
      <c r="G252" s="167" t="str">
        <f aca="false">IF('10. Gantt S2L'!B56="","",'10. Gantt S2L'!H56)</f>
        <v/>
      </c>
      <c r="H252" s="167" t="str">
        <f aca="false">IF('10. Gantt S2L'!B56="","",'10. Gantt S2L'!I56)</f>
        <v/>
      </c>
      <c r="I252" s="167" t="str">
        <f aca="false">IF('10. Gantt S2L'!B56="","",'10. Gantt S2L'!K56)</f>
        <v/>
      </c>
      <c r="J252" s="168" t="str">
        <f aca="false">IF('10. Gantt S2L'!B56="","",'10. Gantt S2L'!M56)</f>
        <v/>
      </c>
      <c r="K252" s="168" t="str">
        <f aca="false">IF('10. Gantt S2L'!B56="","",'10. Gantt S2L'!N56)</f>
        <v/>
      </c>
      <c r="L252" s="169" t="str">
        <f aca="false">IF('10. Gantt S2L'!B56="","",'10. Gantt S2L'!O56)</f>
        <v/>
      </c>
      <c r="M252" s="169" t="str">
        <f aca="false">IF('10. Gantt S2L'!B56="","",'10. Gantt S2L'!P56)</f>
        <v/>
      </c>
      <c r="N252" s="1" t="str">
        <f aca="false">IF('10. Gantt S2L'!B56="","",'10. Gantt S2L'!Q56)</f>
        <v/>
      </c>
      <c r="O252" s="1" t="str">
        <f aca="false">IF('10. Gantt S2L'!B56="","",'10. Gantt S2L'!R56)</f>
        <v/>
      </c>
      <c r="P252" s="1" t="str">
        <f aca="false">IF('10. Gantt S2L'!B56="","",'10. Gantt S2L'!S56)</f>
        <v/>
      </c>
      <c r="Q252" s="1" t="str">
        <f aca="false">IF('10. Gantt S2L'!B56="","",'10. Gantt S2L'!T56)</f>
        <v/>
      </c>
      <c r="R252" s="1" t="str">
        <f aca="false">IF('10. Gantt S2L'!B56="","",'10. Gantt S2L'!U56)</f>
        <v/>
      </c>
    </row>
    <row r="253" customFormat="false" ht="15" hidden="false" customHeight="true" outlineLevel="0" collapsed="false">
      <c r="A253" s="1" t="str">
        <f aca="false">IF('10. Gantt S2L'!B57="","","SPACE TO LEAD")</f>
        <v/>
      </c>
      <c r="B253" s="1" t="str">
        <f aca="false">IF('10. Gantt S2L'!B57="","",'10. Gantt S2L'!B57)</f>
        <v/>
      </c>
      <c r="C253" s="1" t="str">
        <f aca="false">IF('10. Gantt S2L'!B57="","",'10. Gantt S2L'!C57)</f>
        <v/>
      </c>
      <c r="D253" s="1" t="str">
        <f aca="false">IF('10. Gantt S2L'!B57="","",'10. Gantt S2L'!D57)</f>
        <v/>
      </c>
      <c r="E253" s="1" t="str">
        <f aca="false">IF('10. Gantt S2L'!B57="","",'10. Gantt S2L'!E57)</f>
        <v/>
      </c>
      <c r="F253" s="1" t="str">
        <f aca="false">IF('10. Gantt S2L'!B57="","",'10. Gantt S2L'!G57)</f>
        <v/>
      </c>
      <c r="G253" s="167" t="str">
        <f aca="false">IF('10. Gantt S2L'!B57="","",'10. Gantt S2L'!H57)</f>
        <v/>
      </c>
      <c r="H253" s="167" t="str">
        <f aca="false">IF('10. Gantt S2L'!B57="","",'10. Gantt S2L'!I57)</f>
        <v/>
      </c>
      <c r="I253" s="167" t="str">
        <f aca="false">IF('10. Gantt S2L'!B57="","",'10. Gantt S2L'!K57)</f>
        <v/>
      </c>
      <c r="J253" s="168" t="str">
        <f aca="false">IF('10. Gantt S2L'!B57="","",'10. Gantt S2L'!M57)</f>
        <v/>
      </c>
      <c r="K253" s="168" t="str">
        <f aca="false">IF('10. Gantt S2L'!B57="","",'10. Gantt S2L'!N57)</f>
        <v/>
      </c>
      <c r="L253" s="169" t="str">
        <f aca="false">IF('10. Gantt S2L'!B57="","",'10. Gantt S2L'!O57)</f>
        <v/>
      </c>
      <c r="M253" s="169" t="str">
        <f aca="false">IF('10. Gantt S2L'!B57="","",'10. Gantt S2L'!P57)</f>
        <v/>
      </c>
      <c r="N253" s="1" t="str">
        <f aca="false">IF('10. Gantt S2L'!B57="","",'10. Gantt S2L'!Q57)</f>
        <v/>
      </c>
      <c r="O253" s="1" t="str">
        <f aca="false">IF('10. Gantt S2L'!B57="","",'10. Gantt S2L'!R57)</f>
        <v/>
      </c>
      <c r="P253" s="1" t="str">
        <f aca="false">IF('10. Gantt S2L'!B57="","",'10. Gantt S2L'!S57)</f>
        <v/>
      </c>
      <c r="Q253" s="1" t="str">
        <f aca="false">IF('10. Gantt S2L'!B57="","",'10. Gantt S2L'!T57)</f>
        <v/>
      </c>
      <c r="R253" s="1" t="str">
        <f aca="false">IF('10. Gantt S2L'!B57="","",'10. Gantt S2L'!U57)</f>
        <v/>
      </c>
    </row>
    <row r="254" customFormat="false" ht="15" hidden="false" customHeight="true" outlineLevel="0" collapsed="false">
      <c r="A254" s="1" t="str">
        <f aca="false">IF('10. Gantt S2L'!B58="","","SPACE TO LEAD")</f>
        <v/>
      </c>
      <c r="B254" s="1" t="str">
        <f aca="false">IF('10. Gantt S2L'!B58="","",'10. Gantt S2L'!B58)</f>
        <v/>
      </c>
      <c r="C254" s="1" t="str">
        <f aca="false">IF('10. Gantt S2L'!B58="","",'10. Gantt S2L'!C58)</f>
        <v/>
      </c>
      <c r="D254" s="1" t="str">
        <f aca="false">IF('10. Gantt S2L'!B58="","",'10. Gantt S2L'!D58)</f>
        <v/>
      </c>
      <c r="E254" s="1" t="str">
        <f aca="false">IF('10. Gantt S2L'!B58="","",'10. Gantt S2L'!E58)</f>
        <v/>
      </c>
      <c r="F254" s="1" t="str">
        <f aca="false">IF('10. Gantt S2L'!B58="","",'10. Gantt S2L'!G58)</f>
        <v/>
      </c>
      <c r="G254" s="167" t="str">
        <f aca="false">IF('10. Gantt S2L'!B58="","",'10. Gantt S2L'!H58)</f>
        <v/>
      </c>
      <c r="H254" s="167" t="str">
        <f aca="false">IF('10. Gantt S2L'!B58="","",'10. Gantt S2L'!I58)</f>
        <v/>
      </c>
      <c r="I254" s="167" t="str">
        <f aca="false">IF('10. Gantt S2L'!B58="","",'10. Gantt S2L'!K58)</f>
        <v/>
      </c>
      <c r="J254" s="168" t="str">
        <f aca="false">IF('10. Gantt S2L'!B58="","",'10. Gantt S2L'!M58)</f>
        <v/>
      </c>
      <c r="K254" s="168" t="str">
        <f aca="false">IF('10. Gantt S2L'!B58="","",'10. Gantt S2L'!N58)</f>
        <v/>
      </c>
      <c r="L254" s="169" t="str">
        <f aca="false">IF('10. Gantt S2L'!B58="","",'10. Gantt S2L'!O58)</f>
        <v/>
      </c>
      <c r="M254" s="169" t="str">
        <f aca="false">IF('10. Gantt S2L'!B58="","",'10. Gantt S2L'!P58)</f>
        <v/>
      </c>
      <c r="N254" s="1" t="str">
        <f aca="false">IF('10. Gantt S2L'!B58="","",'10. Gantt S2L'!Q58)</f>
        <v/>
      </c>
      <c r="O254" s="1" t="str">
        <f aca="false">IF('10. Gantt S2L'!B58="","",'10. Gantt S2L'!R58)</f>
        <v/>
      </c>
      <c r="P254" s="1" t="str">
        <f aca="false">IF('10. Gantt S2L'!B58="","",'10. Gantt S2L'!S58)</f>
        <v/>
      </c>
      <c r="Q254" s="1" t="str">
        <f aca="false">IF('10. Gantt S2L'!B58="","",'10. Gantt S2L'!T58)</f>
        <v/>
      </c>
      <c r="R254" s="1" t="str">
        <f aca="false">IF('10. Gantt S2L'!B58="","",'10. Gantt S2L'!U58)</f>
        <v/>
      </c>
    </row>
    <row r="255" customFormat="false" ht="15" hidden="false" customHeight="true" outlineLevel="0" collapsed="false">
      <c r="A255" s="1" t="str">
        <f aca="false">IF('10. Gantt S2L'!B59="","","SPACE TO LEAD")</f>
        <v/>
      </c>
      <c r="B255" s="1" t="str">
        <f aca="false">IF('10. Gantt S2L'!B59="","",'10. Gantt S2L'!B59)</f>
        <v/>
      </c>
      <c r="C255" s="1" t="str">
        <f aca="false">IF('10. Gantt S2L'!B59="","",'10. Gantt S2L'!C59)</f>
        <v/>
      </c>
      <c r="D255" s="1" t="str">
        <f aca="false">IF('10. Gantt S2L'!B59="","",'10. Gantt S2L'!D59)</f>
        <v/>
      </c>
      <c r="E255" s="1" t="str">
        <f aca="false">IF('10. Gantt S2L'!B59="","",'10. Gantt S2L'!E59)</f>
        <v/>
      </c>
      <c r="F255" s="1" t="str">
        <f aca="false">IF('10. Gantt S2L'!B59="","",'10. Gantt S2L'!G59)</f>
        <v/>
      </c>
      <c r="G255" s="167" t="str">
        <f aca="false">IF('10. Gantt S2L'!B59="","",'10. Gantt S2L'!H59)</f>
        <v/>
      </c>
      <c r="H255" s="167" t="str">
        <f aca="false">IF('10. Gantt S2L'!B59="","",'10. Gantt S2L'!I59)</f>
        <v/>
      </c>
      <c r="I255" s="167" t="str">
        <f aca="false">IF('10. Gantt S2L'!B59="","",'10. Gantt S2L'!K59)</f>
        <v/>
      </c>
      <c r="J255" s="168" t="str">
        <f aca="false">IF('10. Gantt S2L'!B59="","",'10. Gantt S2L'!M59)</f>
        <v/>
      </c>
      <c r="K255" s="168" t="str">
        <f aca="false">IF('10. Gantt S2L'!B59="","",'10. Gantt S2L'!N59)</f>
        <v/>
      </c>
      <c r="L255" s="169" t="str">
        <f aca="false">IF('10. Gantt S2L'!B59="","",'10. Gantt S2L'!O59)</f>
        <v/>
      </c>
      <c r="M255" s="169" t="str">
        <f aca="false">IF('10. Gantt S2L'!B59="","",'10. Gantt S2L'!P59)</f>
        <v/>
      </c>
      <c r="N255" s="1" t="str">
        <f aca="false">IF('10. Gantt S2L'!B59="","",'10. Gantt S2L'!Q59)</f>
        <v/>
      </c>
      <c r="O255" s="1" t="str">
        <f aca="false">IF('10. Gantt S2L'!B59="","",'10. Gantt S2L'!R59)</f>
        <v/>
      </c>
      <c r="P255" s="1" t="str">
        <f aca="false">IF('10. Gantt S2L'!B59="","",'10. Gantt S2L'!S59)</f>
        <v/>
      </c>
      <c r="Q255" s="1" t="str">
        <f aca="false">IF('10. Gantt S2L'!B59="","",'10. Gantt S2L'!T59)</f>
        <v/>
      </c>
      <c r="R255" s="1" t="str">
        <f aca="false">IF('10. Gantt S2L'!B59="","",'10. Gantt S2L'!U59)</f>
        <v/>
      </c>
    </row>
    <row r="256" customFormat="false" ht="15" hidden="false" customHeight="true" outlineLevel="0" collapsed="false">
      <c r="A256" s="1" t="str">
        <f aca="false">IF('10. Gantt S2L'!B60="","","SPACE TO LEAD")</f>
        <v/>
      </c>
      <c r="B256" s="1" t="str">
        <f aca="false">IF('10. Gantt S2L'!B60="","",'10. Gantt S2L'!B60)</f>
        <v/>
      </c>
      <c r="C256" s="1" t="str">
        <f aca="false">IF('10. Gantt S2L'!B60="","",'10. Gantt S2L'!C60)</f>
        <v/>
      </c>
      <c r="D256" s="1" t="str">
        <f aca="false">IF('10. Gantt S2L'!B60="","",'10. Gantt S2L'!D60)</f>
        <v/>
      </c>
      <c r="E256" s="1" t="str">
        <f aca="false">IF('10. Gantt S2L'!B60="","",'10. Gantt S2L'!E60)</f>
        <v/>
      </c>
      <c r="F256" s="1" t="str">
        <f aca="false">IF('10. Gantt S2L'!B60="","",'10. Gantt S2L'!G60)</f>
        <v/>
      </c>
      <c r="G256" s="167" t="str">
        <f aca="false">IF('10. Gantt S2L'!B60="","",'10. Gantt S2L'!H60)</f>
        <v/>
      </c>
      <c r="H256" s="167" t="str">
        <f aca="false">IF('10. Gantt S2L'!B60="","",'10. Gantt S2L'!I60)</f>
        <v/>
      </c>
      <c r="I256" s="167" t="str">
        <f aca="false">IF('10. Gantt S2L'!B60="","",'10. Gantt S2L'!K60)</f>
        <v/>
      </c>
      <c r="J256" s="168" t="str">
        <f aca="false">IF('10. Gantt S2L'!B60="","",'10. Gantt S2L'!M60)</f>
        <v/>
      </c>
      <c r="K256" s="168" t="str">
        <f aca="false">IF('10. Gantt S2L'!B60="","",'10. Gantt S2L'!N60)</f>
        <v/>
      </c>
      <c r="L256" s="169" t="str">
        <f aca="false">IF('10. Gantt S2L'!B60="","",'10. Gantt S2L'!O60)</f>
        <v/>
      </c>
      <c r="M256" s="169" t="str">
        <f aca="false">IF('10. Gantt S2L'!B60="","",'10. Gantt S2L'!P60)</f>
        <v/>
      </c>
      <c r="N256" s="1" t="str">
        <f aca="false">IF('10. Gantt S2L'!B60="","",'10. Gantt S2L'!Q60)</f>
        <v/>
      </c>
      <c r="O256" s="1" t="str">
        <f aca="false">IF('10. Gantt S2L'!B60="","",'10. Gantt S2L'!R60)</f>
        <v/>
      </c>
      <c r="P256" s="1" t="str">
        <f aca="false">IF('10. Gantt S2L'!B60="","",'10. Gantt S2L'!S60)</f>
        <v/>
      </c>
      <c r="Q256" s="1" t="str">
        <f aca="false">IF('10. Gantt S2L'!B60="","",'10. Gantt S2L'!T60)</f>
        <v/>
      </c>
      <c r="R256" s="1" t="str">
        <f aca="false">IF('10. Gantt S2L'!B60="","",'10. Gantt S2L'!U60)</f>
        <v/>
      </c>
    </row>
    <row r="257" customFormat="false" ht="15" hidden="false" customHeight="true" outlineLevel="0" collapsed="false">
      <c r="A257" s="1" t="str">
        <f aca="false">IF('10. Gantt S2L'!B61="","","SPACE TO LEAD")</f>
        <v/>
      </c>
      <c r="B257" s="1" t="str">
        <f aca="false">IF('10. Gantt S2L'!B61="","",'10. Gantt S2L'!B61)</f>
        <v/>
      </c>
      <c r="C257" s="1" t="str">
        <f aca="false">IF('10. Gantt S2L'!B61="","",'10. Gantt S2L'!C61)</f>
        <v/>
      </c>
      <c r="D257" s="1" t="str">
        <f aca="false">IF('10. Gantt S2L'!B61="","",'10. Gantt S2L'!D61)</f>
        <v/>
      </c>
      <c r="E257" s="1" t="str">
        <f aca="false">IF('10. Gantt S2L'!B61="","",'10. Gantt S2L'!E61)</f>
        <v/>
      </c>
      <c r="F257" s="1" t="str">
        <f aca="false">IF('10. Gantt S2L'!B61="","",'10. Gantt S2L'!G61)</f>
        <v/>
      </c>
      <c r="G257" s="167" t="str">
        <f aca="false">IF('10. Gantt S2L'!B61="","",'10. Gantt S2L'!H61)</f>
        <v/>
      </c>
      <c r="H257" s="167" t="str">
        <f aca="false">IF('10. Gantt S2L'!B61="","",'10. Gantt S2L'!I61)</f>
        <v/>
      </c>
      <c r="I257" s="167" t="str">
        <f aca="false">IF('10. Gantt S2L'!B61="","",'10. Gantt S2L'!K61)</f>
        <v/>
      </c>
      <c r="J257" s="168" t="str">
        <f aca="false">IF('10. Gantt S2L'!B61="","",'10. Gantt S2L'!M61)</f>
        <v/>
      </c>
      <c r="K257" s="168" t="str">
        <f aca="false">IF('10. Gantt S2L'!B61="","",'10. Gantt S2L'!N61)</f>
        <v/>
      </c>
      <c r="L257" s="169" t="str">
        <f aca="false">IF('10. Gantt S2L'!B61="","",'10. Gantt S2L'!O61)</f>
        <v/>
      </c>
      <c r="M257" s="169" t="str">
        <f aca="false">IF('10. Gantt S2L'!B61="","",'10. Gantt S2L'!P61)</f>
        <v/>
      </c>
      <c r="N257" s="1" t="str">
        <f aca="false">IF('10. Gantt S2L'!B61="","",'10. Gantt S2L'!Q61)</f>
        <v/>
      </c>
      <c r="O257" s="1" t="str">
        <f aca="false">IF('10. Gantt S2L'!B61="","",'10. Gantt S2L'!R61)</f>
        <v/>
      </c>
      <c r="P257" s="1" t="str">
        <f aca="false">IF('10. Gantt S2L'!B61="","",'10. Gantt S2L'!S61)</f>
        <v/>
      </c>
      <c r="Q257" s="1" t="str">
        <f aca="false">IF('10. Gantt S2L'!B61="","",'10. Gantt S2L'!T61)</f>
        <v/>
      </c>
      <c r="R257" s="1" t="str">
        <f aca="false">IF('10. Gantt S2L'!B61="","",'10. Gantt S2L'!U61)</f>
        <v/>
      </c>
    </row>
    <row r="258" customFormat="false" ht="15" hidden="false" customHeight="true" outlineLevel="0" collapsed="false">
      <c r="A258" s="1" t="str">
        <f aca="false">IF('10. Gantt S2L'!B62="","","SPACE TO LEAD")</f>
        <v/>
      </c>
      <c r="B258" s="1" t="str">
        <f aca="false">IF('10. Gantt S2L'!B62="","",'10. Gantt S2L'!B62)</f>
        <v/>
      </c>
      <c r="C258" s="1" t="str">
        <f aca="false">IF('10. Gantt S2L'!B62="","",'10. Gantt S2L'!C62)</f>
        <v/>
      </c>
      <c r="D258" s="1" t="str">
        <f aca="false">IF('10. Gantt S2L'!B62="","",'10. Gantt S2L'!D62)</f>
        <v/>
      </c>
      <c r="E258" s="1" t="str">
        <f aca="false">IF('10. Gantt S2L'!B62="","",'10. Gantt S2L'!E62)</f>
        <v/>
      </c>
      <c r="F258" s="1" t="str">
        <f aca="false">IF('10. Gantt S2L'!B62="","",'10. Gantt S2L'!G62)</f>
        <v/>
      </c>
      <c r="G258" s="167" t="str">
        <f aca="false">IF('10. Gantt S2L'!B62="","",'10. Gantt S2L'!H62)</f>
        <v/>
      </c>
      <c r="H258" s="167" t="str">
        <f aca="false">IF('10. Gantt S2L'!B62="","",'10. Gantt S2L'!I62)</f>
        <v/>
      </c>
      <c r="I258" s="167" t="str">
        <f aca="false">IF('10. Gantt S2L'!B62="","",'10. Gantt S2L'!K62)</f>
        <v/>
      </c>
      <c r="J258" s="168" t="str">
        <f aca="false">IF('10. Gantt S2L'!B62="","",'10. Gantt S2L'!M62)</f>
        <v/>
      </c>
      <c r="K258" s="168" t="str">
        <f aca="false">IF('10. Gantt S2L'!B62="","",'10. Gantt S2L'!N62)</f>
        <v/>
      </c>
      <c r="L258" s="169" t="str">
        <f aca="false">IF('10. Gantt S2L'!B62="","",'10. Gantt S2L'!O62)</f>
        <v/>
      </c>
      <c r="M258" s="169" t="str">
        <f aca="false">IF('10. Gantt S2L'!B62="","",'10. Gantt S2L'!P62)</f>
        <v/>
      </c>
      <c r="N258" s="1" t="str">
        <f aca="false">IF('10. Gantt S2L'!B62="","",'10. Gantt S2L'!Q62)</f>
        <v/>
      </c>
      <c r="O258" s="1" t="str">
        <f aca="false">IF('10. Gantt S2L'!B62="","",'10. Gantt S2L'!R62)</f>
        <v/>
      </c>
      <c r="P258" s="1" t="str">
        <f aca="false">IF('10. Gantt S2L'!B62="","",'10. Gantt S2L'!S62)</f>
        <v/>
      </c>
      <c r="Q258" s="1" t="str">
        <f aca="false">IF('10. Gantt S2L'!B62="","",'10. Gantt S2L'!T62)</f>
        <v/>
      </c>
      <c r="R258" s="1" t="str">
        <f aca="false">IF('10. Gantt S2L'!B62="","",'10. Gantt S2L'!U62)</f>
        <v/>
      </c>
    </row>
    <row r="259" customFormat="false" ht="15" hidden="false" customHeight="true" outlineLevel="0" collapsed="false">
      <c r="A259" s="1" t="str">
        <f aca="false">IF('10. Gantt S2L'!B63="","","SPACE TO LEAD")</f>
        <v/>
      </c>
      <c r="B259" s="1" t="str">
        <f aca="false">IF('10. Gantt S2L'!B63="","",'10. Gantt S2L'!B63)</f>
        <v/>
      </c>
      <c r="C259" s="1" t="str">
        <f aca="false">IF('10. Gantt S2L'!B63="","",'10. Gantt S2L'!C63)</f>
        <v/>
      </c>
      <c r="D259" s="1" t="str">
        <f aca="false">IF('10. Gantt S2L'!B63="","",'10. Gantt S2L'!D63)</f>
        <v/>
      </c>
      <c r="E259" s="1" t="str">
        <f aca="false">IF('10. Gantt S2L'!B63="","",'10. Gantt S2L'!E63)</f>
        <v/>
      </c>
      <c r="F259" s="1" t="str">
        <f aca="false">IF('10. Gantt S2L'!B63="","",'10. Gantt S2L'!G63)</f>
        <v/>
      </c>
      <c r="G259" s="167" t="str">
        <f aca="false">IF('10. Gantt S2L'!B63="","",'10. Gantt S2L'!H63)</f>
        <v/>
      </c>
      <c r="H259" s="167" t="str">
        <f aca="false">IF('10. Gantt S2L'!B63="","",'10. Gantt S2L'!I63)</f>
        <v/>
      </c>
      <c r="I259" s="167" t="str">
        <f aca="false">IF('10. Gantt S2L'!B63="","",'10. Gantt S2L'!K63)</f>
        <v/>
      </c>
      <c r="J259" s="168" t="str">
        <f aca="false">IF('10. Gantt S2L'!B63="","",'10. Gantt S2L'!M63)</f>
        <v/>
      </c>
      <c r="K259" s="168" t="str">
        <f aca="false">IF('10. Gantt S2L'!B63="","",'10. Gantt S2L'!N63)</f>
        <v/>
      </c>
      <c r="L259" s="169" t="str">
        <f aca="false">IF('10. Gantt S2L'!B63="","",'10. Gantt S2L'!O63)</f>
        <v/>
      </c>
      <c r="M259" s="169" t="str">
        <f aca="false">IF('10. Gantt S2L'!B63="","",'10. Gantt S2L'!P63)</f>
        <v/>
      </c>
      <c r="N259" s="1" t="str">
        <f aca="false">IF('10. Gantt S2L'!B63="","",'10. Gantt S2L'!Q63)</f>
        <v/>
      </c>
      <c r="O259" s="1" t="str">
        <f aca="false">IF('10. Gantt S2L'!B63="","",'10. Gantt S2L'!R63)</f>
        <v/>
      </c>
      <c r="P259" s="1" t="str">
        <f aca="false">IF('10. Gantt S2L'!B63="","",'10. Gantt S2L'!S63)</f>
        <v/>
      </c>
      <c r="Q259" s="1" t="str">
        <f aca="false">IF('10. Gantt S2L'!B63="","",'10. Gantt S2L'!T63)</f>
        <v/>
      </c>
      <c r="R259" s="1" t="str">
        <f aca="false">IF('10. Gantt S2L'!B63="","",'10. Gantt S2L'!U63)</f>
        <v/>
      </c>
    </row>
    <row r="260" customFormat="false" ht="15" hidden="false" customHeight="true" outlineLevel="0" collapsed="false">
      <c r="A260" s="1" t="str">
        <f aca="false">IF('10. Gantt S2L'!B64="","","SPACE TO LEAD")</f>
        <v/>
      </c>
      <c r="B260" s="1" t="str">
        <f aca="false">IF('10. Gantt S2L'!B64="","",'10. Gantt S2L'!B64)</f>
        <v/>
      </c>
      <c r="C260" s="1" t="str">
        <f aca="false">IF('10. Gantt S2L'!B64="","",'10. Gantt S2L'!C64)</f>
        <v/>
      </c>
      <c r="D260" s="1" t="str">
        <f aca="false">IF('10. Gantt S2L'!B64="","",'10. Gantt S2L'!D64)</f>
        <v/>
      </c>
      <c r="E260" s="1" t="str">
        <f aca="false">IF('10. Gantt S2L'!B64="","",'10. Gantt S2L'!E64)</f>
        <v/>
      </c>
      <c r="F260" s="1" t="str">
        <f aca="false">IF('10. Gantt S2L'!B64="","",'10. Gantt S2L'!G64)</f>
        <v/>
      </c>
      <c r="G260" s="167" t="str">
        <f aca="false">IF('10. Gantt S2L'!B64="","",'10. Gantt S2L'!H64)</f>
        <v/>
      </c>
      <c r="H260" s="167" t="str">
        <f aca="false">IF('10. Gantt S2L'!B64="","",'10. Gantt S2L'!I64)</f>
        <v/>
      </c>
      <c r="I260" s="167" t="str">
        <f aca="false">IF('10. Gantt S2L'!B64="","",'10. Gantt S2L'!K64)</f>
        <v/>
      </c>
      <c r="J260" s="168" t="str">
        <f aca="false">IF('10. Gantt S2L'!B64="","",'10. Gantt S2L'!M64)</f>
        <v/>
      </c>
      <c r="K260" s="168" t="str">
        <f aca="false">IF('10. Gantt S2L'!B64="","",'10. Gantt S2L'!N64)</f>
        <v/>
      </c>
      <c r="L260" s="169" t="str">
        <f aca="false">IF('10. Gantt S2L'!B64="","",'10. Gantt S2L'!O64)</f>
        <v/>
      </c>
      <c r="M260" s="169" t="str">
        <f aca="false">IF('10. Gantt S2L'!B64="","",'10. Gantt S2L'!P64)</f>
        <v/>
      </c>
      <c r="N260" s="1" t="str">
        <f aca="false">IF('10. Gantt S2L'!B64="","",'10. Gantt S2L'!Q64)</f>
        <v/>
      </c>
      <c r="O260" s="1" t="str">
        <f aca="false">IF('10. Gantt S2L'!B64="","",'10. Gantt S2L'!R64)</f>
        <v/>
      </c>
      <c r="P260" s="1" t="str">
        <f aca="false">IF('10. Gantt S2L'!B64="","",'10. Gantt S2L'!S64)</f>
        <v/>
      </c>
      <c r="Q260" s="1" t="str">
        <f aca="false">IF('10. Gantt S2L'!B64="","",'10. Gantt S2L'!T64)</f>
        <v/>
      </c>
      <c r="R260" s="1" t="str">
        <f aca="false">IF('10. Gantt S2L'!B64="","",'10. Gantt S2L'!U64)</f>
        <v/>
      </c>
    </row>
    <row r="261" customFormat="false" ht="15" hidden="false" customHeight="true" outlineLevel="0" collapsed="false">
      <c r="A261" s="1" t="str">
        <f aca="false">IF('10. Gantt S2L'!B65="","","SPACE TO LEAD")</f>
        <v/>
      </c>
      <c r="B261" s="1" t="str">
        <f aca="false">IF('10. Gantt S2L'!B65="","",'10. Gantt S2L'!B65)</f>
        <v/>
      </c>
      <c r="C261" s="1" t="str">
        <f aca="false">IF('10. Gantt S2L'!B65="","",'10. Gantt S2L'!C65)</f>
        <v/>
      </c>
      <c r="D261" s="1" t="str">
        <f aca="false">IF('10. Gantt S2L'!B65="","",'10. Gantt S2L'!D65)</f>
        <v/>
      </c>
      <c r="E261" s="1" t="str">
        <f aca="false">IF('10. Gantt S2L'!B65="","",'10. Gantt S2L'!E65)</f>
        <v/>
      </c>
      <c r="F261" s="1" t="str">
        <f aca="false">IF('10. Gantt S2L'!B65="","",'10. Gantt S2L'!G65)</f>
        <v/>
      </c>
      <c r="G261" s="167" t="str">
        <f aca="false">IF('10. Gantt S2L'!B65="","",'10. Gantt S2L'!H65)</f>
        <v/>
      </c>
      <c r="H261" s="167" t="str">
        <f aca="false">IF('10. Gantt S2L'!B65="","",'10. Gantt S2L'!I65)</f>
        <v/>
      </c>
      <c r="I261" s="167" t="str">
        <f aca="false">IF('10. Gantt S2L'!B65="","",'10. Gantt S2L'!K65)</f>
        <v/>
      </c>
      <c r="J261" s="168" t="str">
        <f aca="false">IF('10. Gantt S2L'!B65="","",'10. Gantt S2L'!M65)</f>
        <v/>
      </c>
      <c r="K261" s="168" t="str">
        <f aca="false">IF('10. Gantt S2L'!B65="","",'10. Gantt S2L'!N65)</f>
        <v/>
      </c>
      <c r="L261" s="169" t="str">
        <f aca="false">IF('10. Gantt S2L'!B65="","",'10. Gantt S2L'!O65)</f>
        <v/>
      </c>
      <c r="M261" s="169" t="str">
        <f aca="false">IF('10. Gantt S2L'!B65="","",'10. Gantt S2L'!P65)</f>
        <v/>
      </c>
      <c r="N261" s="1" t="str">
        <f aca="false">IF('10. Gantt S2L'!B65="","",'10. Gantt S2L'!Q65)</f>
        <v/>
      </c>
      <c r="O261" s="1" t="str">
        <f aca="false">IF('10. Gantt S2L'!B65="","",'10. Gantt S2L'!R65)</f>
        <v/>
      </c>
      <c r="P261" s="1" t="str">
        <f aca="false">IF('10. Gantt S2L'!B65="","",'10. Gantt S2L'!S65)</f>
        <v/>
      </c>
      <c r="Q261" s="1" t="str">
        <f aca="false">IF('10. Gantt S2L'!B65="","",'10. Gantt S2L'!T65)</f>
        <v/>
      </c>
      <c r="R261" s="1" t="str">
        <f aca="false">IF('10. Gantt S2L'!B65="","",'10. Gantt S2L'!U65)</f>
        <v/>
      </c>
    </row>
    <row r="262" customFormat="false" ht="15" hidden="false" customHeight="true" outlineLevel="0" collapsed="false">
      <c r="A262" s="1" t="str">
        <f aca="false">IF('10. Gantt S2L'!B66="","","SPACE TO LEAD")</f>
        <v/>
      </c>
      <c r="B262" s="1" t="str">
        <f aca="false">IF('10. Gantt S2L'!B66="","",'10. Gantt S2L'!B66)</f>
        <v/>
      </c>
      <c r="C262" s="1" t="str">
        <f aca="false">IF('10. Gantt S2L'!B66="","",'10. Gantt S2L'!C66)</f>
        <v/>
      </c>
      <c r="D262" s="1" t="str">
        <f aca="false">IF('10. Gantt S2L'!B66="","",'10. Gantt S2L'!D66)</f>
        <v/>
      </c>
      <c r="E262" s="1" t="str">
        <f aca="false">IF('10. Gantt S2L'!B66="","",'10. Gantt S2L'!E66)</f>
        <v/>
      </c>
      <c r="F262" s="1" t="str">
        <f aca="false">IF('10. Gantt S2L'!B66="","",'10. Gantt S2L'!G66)</f>
        <v/>
      </c>
      <c r="G262" s="167" t="str">
        <f aca="false">IF('10. Gantt S2L'!B66="","",'10. Gantt S2L'!H66)</f>
        <v/>
      </c>
      <c r="H262" s="167" t="str">
        <f aca="false">IF('10. Gantt S2L'!B66="","",'10. Gantt S2L'!I66)</f>
        <v/>
      </c>
      <c r="I262" s="167" t="str">
        <f aca="false">IF('10. Gantt S2L'!B66="","",'10. Gantt S2L'!K66)</f>
        <v/>
      </c>
      <c r="J262" s="168" t="str">
        <f aca="false">IF('10. Gantt S2L'!B66="","",'10. Gantt S2L'!M66)</f>
        <v/>
      </c>
      <c r="K262" s="168" t="str">
        <f aca="false">IF('10. Gantt S2L'!B66="","",'10. Gantt S2L'!N66)</f>
        <v/>
      </c>
      <c r="L262" s="169" t="str">
        <f aca="false">IF('10. Gantt S2L'!B66="","",'10. Gantt S2L'!O66)</f>
        <v/>
      </c>
      <c r="M262" s="169" t="str">
        <f aca="false">IF('10. Gantt S2L'!B66="","",'10. Gantt S2L'!P66)</f>
        <v/>
      </c>
      <c r="N262" s="1" t="str">
        <f aca="false">IF('10. Gantt S2L'!B66="","",'10. Gantt S2L'!Q66)</f>
        <v/>
      </c>
      <c r="O262" s="1" t="str">
        <f aca="false">IF('10. Gantt S2L'!B66="","",'10. Gantt S2L'!R66)</f>
        <v/>
      </c>
      <c r="P262" s="1" t="str">
        <f aca="false">IF('10. Gantt S2L'!B66="","",'10. Gantt S2L'!S66)</f>
        <v/>
      </c>
      <c r="Q262" s="1" t="str">
        <f aca="false">IF('10. Gantt S2L'!B66="","",'10. Gantt S2L'!T66)</f>
        <v/>
      </c>
      <c r="R262" s="1" t="str">
        <f aca="false">IF('10. Gantt S2L'!B66="","",'10. Gantt S2L'!U66)</f>
        <v/>
      </c>
    </row>
    <row r="263" customFormat="false" ht="15" hidden="false" customHeight="true" outlineLevel="0" collapsed="false">
      <c r="A263" s="1" t="str">
        <f aca="false">IF('10. Gantt S2L'!B67="","","SPACE TO LEAD")</f>
        <v/>
      </c>
      <c r="B263" s="1" t="str">
        <f aca="false">IF('10. Gantt S2L'!B67="","",'10. Gantt S2L'!B67)</f>
        <v/>
      </c>
      <c r="C263" s="1" t="str">
        <f aca="false">IF('10. Gantt S2L'!B67="","",'10. Gantt S2L'!C67)</f>
        <v/>
      </c>
      <c r="D263" s="1" t="str">
        <f aca="false">IF('10. Gantt S2L'!B67="","",'10. Gantt S2L'!D67)</f>
        <v/>
      </c>
      <c r="E263" s="1" t="str">
        <f aca="false">IF('10. Gantt S2L'!B67="","",'10. Gantt S2L'!E67)</f>
        <v/>
      </c>
      <c r="F263" s="1" t="str">
        <f aca="false">IF('10. Gantt S2L'!B67="","",'10. Gantt S2L'!G67)</f>
        <v/>
      </c>
      <c r="G263" s="167" t="str">
        <f aca="false">IF('10. Gantt S2L'!B67="","",'10. Gantt S2L'!H67)</f>
        <v/>
      </c>
      <c r="H263" s="167" t="str">
        <f aca="false">IF('10. Gantt S2L'!B67="","",'10. Gantt S2L'!I67)</f>
        <v/>
      </c>
      <c r="I263" s="167" t="str">
        <f aca="false">IF('10. Gantt S2L'!B67="","",'10. Gantt S2L'!K67)</f>
        <v/>
      </c>
      <c r="J263" s="168" t="str">
        <f aca="false">IF('10. Gantt S2L'!B67="","",'10. Gantt S2L'!M67)</f>
        <v/>
      </c>
      <c r="K263" s="168" t="str">
        <f aca="false">IF('10. Gantt S2L'!B67="","",'10. Gantt S2L'!N67)</f>
        <v/>
      </c>
      <c r="L263" s="169" t="str">
        <f aca="false">IF('10. Gantt S2L'!B67="","",'10. Gantt S2L'!O67)</f>
        <v/>
      </c>
      <c r="M263" s="169" t="str">
        <f aca="false">IF('10. Gantt S2L'!B67="","",'10. Gantt S2L'!P67)</f>
        <v/>
      </c>
      <c r="N263" s="1" t="str">
        <f aca="false">IF('10. Gantt S2L'!B67="","",'10. Gantt S2L'!Q67)</f>
        <v/>
      </c>
      <c r="O263" s="1" t="str">
        <f aca="false">IF('10. Gantt S2L'!B67="","",'10. Gantt S2L'!R67)</f>
        <v/>
      </c>
      <c r="P263" s="1" t="str">
        <f aca="false">IF('10. Gantt S2L'!B67="","",'10. Gantt S2L'!S67)</f>
        <v/>
      </c>
      <c r="Q263" s="1" t="str">
        <f aca="false">IF('10. Gantt S2L'!B67="","",'10. Gantt S2L'!T67)</f>
        <v/>
      </c>
      <c r="R263" s="1" t="str">
        <f aca="false">IF('10. Gantt S2L'!B67="","",'10. Gantt S2L'!U67)</f>
        <v/>
      </c>
    </row>
    <row r="264" customFormat="false" ht="15" hidden="false" customHeight="true" outlineLevel="0" collapsed="false">
      <c r="A264" s="1" t="str">
        <f aca="false">IF('10. Gantt S2L'!B68="","","SPACE TO LEAD")</f>
        <v/>
      </c>
      <c r="B264" s="1" t="str">
        <f aca="false">IF('10. Gantt S2L'!B68="","",'10. Gantt S2L'!B68)</f>
        <v/>
      </c>
      <c r="C264" s="1" t="str">
        <f aca="false">IF('10. Gantt S2L'!B68="","",'10. Gantt S2L'!C68)</f>
        <v/>
      </c>
      <c r="D264" s="1" t="str">
        <f aca="false">IF('10. Gantt S2L'!B68="","",'10. Gantt S2L'!D68)</f>
        <v/>
      </c>
      <c r="E264" s="1" t="str">
        <f aca="false">IF('10. Gantt S2L'!B68="","",'10. Gantt S2L'!E68)</f>
        <v/>
      </c>
      <c r="F264" s="1" t="str">
        <f aca="false">IF('10. Gantt S2L'!B68="","",'10. Gantt S2L'!G68)</f>
        <v/>
      </c>
      <c r="G264" s="167" t="str">
        <f aca="false">IF('10. Gantt S2L'!B68="","",'10. Gantt S2L'!H68)</f>
        <v/>
      </c>
      <c r="H264" s="167" t="str">
        <f aca="false">IF('10. Gantt S2L'!B68="","",'10. Gantt S2L'!I68)</f>
        <v/>
      </c>
      <c r="I264" s="167" t="str">
        <f aca="false">IF('10. Gantt S2L'!B68="","",'10. Gantt S2L'!K68)</f>
        <v/>
      </c>
      <c r="J264" s="168" t="str">
        <f aca="false">IF('10. Gantt S2L'!B68="","",'10. Gantt S2L'!M68)</f>
        <v/>
      </c>
      <c r="K264" s="168" t="str">
        <f aca="false">IF('10. Gantt S2L'!B68="","",'10. Gantt S2L'!N68)</f>
        <v/>
      </c>
      <c r="L264" s="169" t="str">
        <f aca="false">IF('10. Gantt S2L'!B68="","",'10. Gantt S2L'!O68)</f>
        <v/>
      </c>
      <c r="M264" s="169" t="str">
        <f aca="false">IF('10. Gantt S2L'!B68="","",'10. Gantt S2L'!P68)</f>
        <v/>
      </c>
      <c r="N264" s="1" t="str">
        <f aca="false">IF('10. Gantt S2L'!B68="","",'10. Gantt S2L'!Q68)</f>
        <v/>
      </c>
      <c r="O264" s="1" t="str">
        <f aca="false">IF('10. Gantt S2L'!B68="","",'10. Gantt S2L'!R68)</f>
        <v/>
      </c>
      <c r="P264" s="1" t="str">
        <f aca="false">IF('10. Gantt S2L'!B68="","",'10. Gantt S2L'!S68)</f>
        <v/>
      </c>
      <c r="Q264" s="1" t="str">
        <f aca="false">IF('10. Gantt S2L'!B68="","",'10. Gantt S2L'!T68)</f>
        <v/>
      </c>
      <c r="R264" s="1" t="str">
        <f aca="false">IF('10. Gantt S2L'!B68="","",'10. Gantt S2L'!U68)</f>
        <v/>
      </c>
    </row>
    <row r="265" customFormat="false" ht="15" hidden="false" customHeight="true" outlineLevel="0" collapsed="false">
      <c r="A265" s="1" t="str">
        <f aca="false">IF('10. Gantt S2L'!B69="","","SPACE TO LEAD")</f>
        <v/>
      </c>
      <c r="B265" s="1" t="str">
        <f aca="false">IF('10. Gantt S2L'!B69="","",'10. Gantt S2L'!B69)</f>
        <v/>
      </c>
      <c r="C265" s="1" t="str">
        <f aca="false">IF('10. Gantt S2L'!B69="","",'10. Gantt S2L'!C69)</f>
        <v/>
      </c>
      <c r="D265" s="1" t="str">
        <f aca="false">IF('10. Gantt S2L'!B69="","",'10. Gantt S2L'!D69)</f>
        <v/>
      </c>
      <c r="E265" s="1" t="str">
        <f aca="false">IF('10. Gantt S2L'!B69="","",'10. Gantt S2L'!E69)</f>
        <v/>
      </c>
      <c r="F265" s="1" t="str">
        <f aca="false">IF('10. Gantt S2L'!B69="","",'10. Gantt S2L'!G69)</f>
        <v/>
      </c>
      <c r="G265" s="167" t="str">
        <f aca="false">IF('10. Gantt S2L'!B69="","",'10. Gantt S2L'!H69)</f>
        <v/>
      </c>
      <c r="H265" s="167" t="str">
        <f aca="false">IF('10. Gantt S2L'!B69="","",'10. Gantt S2L'!I69)</f>
        <v/>
      </c>
      <c r="I265" s="167" t="str">
        <f aca="false">IF('10. Gantt S2L'!B69="","",'10. Gantt S2L'!K69)</f>
        <v/>
      </c>
      <c r="J265" s="168" t="str">
        <f aca="false">IF('10. Gantt S2L'!B69="","",'10. Gantt S2L'!M69)</f>
        <v/>
      </c>
      <c r="K265" s="168" t="str">
        <f aca="false">IF('10. Gantt S2L'!B69="","",'10. Gantt S2L'!N69)</f>
        <v/>
      </c>
      <c r="L265" s="169" t="str">
        <f aca="false">IF('10. Gantt S2L'!B69="","",'10. Gantt S2L'!O69)</f>
        <v/>
      </c>
      <c r="M265" s="169" t="str">
        <f aca="false">IF('10. Gantt S2L'!B69="","",'10. Gantt S2L'!P69)</f>
        <v/>
      </c>
      <c r="N265" s="1" t="str">
        <f aca="false">IF('10. Gantt S2L'!B69="","",'10. Gantt S2L'!Q69)</f>
        <v/>
      </c>
      <c r="O265" s="1" t="str">
        <f aca="false">IF('10. Gantt S2L'!B69="","",'10. Gantt S2L'!R69)</f>
        <v/>
      </c>
      <c r="P265" s="1" t="str">
        <f aca="false">IF('10. Gantt S2L'!B69="","",'10. Gantt S2L'!S69)</f>
        <v/>
      </c>
      <c r="Q265" s="1" t="str">
        <f aca="false">IF('10. Gantt S2L'!B69="","",'10. Gantt S2L'!T69)</f>
        <v/>
      </c>
      <c r="R265" s="1" t="str">
        <f aca="false">IF('10. Gantt S2L'!B69="","",'10. Gantt S2L'!U69)</f>
        <v/>
      </c>
    </row>
    <row r="266" customFormat="false" ht="15" hidden="false" customHeight="true" outlineLevel="0" collapsed="false">
      <c r="A266" s="1" t="str">
        <f aca="false">IF('10. Gantt S2L'!B70="","","SPACE TO LEAD")</f>
        <v/>
      </c>
      <c r="B266" s="1" t="str">
        <f aca="false">IF('10. Gantt S2L'!B70="","",'10. Gantt S2L'!B70)</f>
        <v/>
      </c>
      <c r="C266" s="1" t="str">
        <f aca="false">IF('10. Gantt S2L'!B70="","",'10. Gantt S2L'!C70)</f>
        <v/>
      </c>
      <c r="D266" s="1" t="str">
        <f aca="false">IF('10. Gantt S2L'!B70="","",'10. Gantt S2L'!D70)</f>
        <v/>
      </c>
      <c r="E266" s="1" t="str">
        <f aca="false">IF('10. Gantt S2L'!B70="","",'10. Gantt S2L'!E70)</f>
        <v/>
      </c>
      <c r="F266" s="1" t="str">
        <f aca="false">IF('10. Gantt S2L'!B70="","",'10. Gantt S2L'!G70)</f>
        <v/>
      </c>
      <c r="G266" s="167" t="str">
        <f aca="false">IF('10. Gantt S2L'!B70="","",'10. Gantt S2L'!H70)</f>
        <v/>
      </c>
      <c r="H266" s="167" t="str">
        <f aca="false">IF('10. Gantt S2L'!B70="","",'10. Gantt S2L'!I70)</f>
        <v/>
      </c>
      <c r="I266" s="167" t="str">
        <f aca="false">IF('10. Gantt S2L'!B70="","",'10. Gantt S2L'!K70)</f>
        <v/>
      </c>
      <c r="J266" s="168" t="str">
        <f aca="false">IF('10. Gantt S2L'!B70="","",'10. Gantt S2L'!M70)</f>
        <v/>
      </c>
      <c r="K266" s="168" t="str">
        <f aca="false">IF('10. Gantt S2L'!B70="","",'10. Gantt S2L'!N70)</f>
        <v/>
      </c>
      <c r="L266" s="169" t="str">
        <f aca="false">IF('10. Gantt S2L'!B70="","",'10. Gantt S2L'!O70)</f>
        <v/>
      </c>
      <c r="M266" s="169" t="str">
        <f aca="false">IF('10. Gantt S2L'!B70="","",'10. Gantt S2L'!P70)</f>
        <v/>
      </c>
      <c r="N266" s="1" t="str">
        <f aca="false">IF('10. Gantt S2L'!B70="","",'10. Gantt S2L'!Q70)</f>
        <v/>
      </c>
      <c r="O266" s="1" t="str">
        <f aca="false">IF('10. Gantt S2L'!B70="","",'10. Gantt S2L'!R70)</f>
        <v/>
      </c>
      <c r="P266" s="1" t="str">
        <f aca="false">IF('10. Gantt S2L'!B70="","",'10. Gantt S2L'!S70)</f>
        <v/>
      </c>
      <c r="Q266" s="1" t="str">
        <f aca="false">IF('10. Gantt S2L'!B70="","",'10. Gantt S2L'!T70)</f>
        <v/>
      </c>
      <c r="R266" s="1" t="str">
        <f aca="false">IF('10. Gantt S2L'!B70="","",'10. Gantt S2L'!U70)</f>
        <v/>
      </c>
    </row>
    <row r="267" customFormat="false" ht="15" hidden="false" customHeight="true" outlineLevel="0" collapsed="false">
      <c r="A267" s="1" t="str">
        <f aca="false">IF('10. Gantt S2L'!B71="","","SPACE TO LEAD")</f>
        <v/>
      </c>
      <c r="B267" s="1" t="str">
        <f aca="false">IF('10. Gantt S2L'!B71="","",'10. Gantt S2L'!B71)</f>
        <v/>
      </c>
      <c r="C267" s="1" t="str">
        <f aca="false">IF('10. Gantt S2L'!B71="","",'10. Gantt S2L'!C71)</f>
        <v/>
      </c>
      <c r="D267" s="1" t="str">
        <f aca="false">IF('10. Gantt S2L'!B71="","",'10. Gantt S2L'!D71)</f>
        <v/>
      </c>
      <c r="E267" s="1" t="str">
        <f aca="false">IF('10. Gantt S2L'!B71="","",'10. Gantt S2L'!E71)</f>
        <v/>
      </c>
      <c r="F267" s="1" t="str">
        <f aca="false">IF('10. Gantt S2L'!B71="","",'10. Gantt S2L'!G71)</f>
        <v/>
      </c>
      <c r="G267" s="167" t="str">
        <f aca="false">IF('10. Gantt S2L'!B71="","",'10. Gantt S2L'!H71)</f>
        <v/>
      </c>
      <c r="H267" s="167" t="str">
        <f aca="false">IF('10. Gantt S2L'!B71="","",'10. Gantt S2L'!I71)</f>
        <v/>
      </c>
      <c r="I267" s="167" t="str">
        <f aca="false">IF('10. Gantt S2L'!B71="","",'10. Gantt S2L'!K71)</f>
        <v/>
      </c>
      <c r="J267" s="168" t="str">
        <f aca="false">IF('10. Gantt S2L'!B71="","",'10. Gantt S2L'!M71)</f>
        <v/>
      </c>
      <c r="K267" s="168" t="str">
        <f aca="false">IF('10. Gantt S2L'!B71="","",'10. Gantt S2L'!N71)</f>
        <v/>
      </c>
      <c r="L267" s="169" t="str">
        <f aca="false">IF('10. Gantt S2L'!B71="","",'10. Gantt S2L'!O71)</f>
        <v/>
      </c>
      <c r="M267" s="169" t="str">
        <f aca="false">IF('10. Gantt S2L'!B71="","",'10. Gantt S2L'!P71)</f>
        <v/>
      </c>
      <c r="N267" s="1" t="str">
        <f aca="false">IF('10. Gantt S2L'!B71="","",'10. Gantt S2L'!Q71)</f>
        <v/>
      </c>
      <c r="O267" s="1" t="str">
        <f aca="false">IF('10. Gantt S2L'!B71="","",'10. Gantt S2L'!R71)</f>
        <v/>
      </c>
      <c r="P267" s="1" t="str">
        <f aca="false">IF('10. Gantt S2L'!B71="","",'10. Gantt S2L'!S71)</f>
        <v/>
      </c>
      <c r="Q267" s="1" t="str">
        <f aca="false">IF('10. Gantt S2L'!B71="","",'10. Gantt S2L'!T71)</f>
        <v/>
      </c>
      <c r="R267" s="1" t="str">
        <f aca="false">IF('10. Gantt S2L'!B71="","",'10. Gantt S2L'!U71)</f>
        <v/>
      </c>
    </row>
    <row r="268" customFormat="false" ht="15" hidden="false" customHeight="true" outlineLevel="0" collapsed="false">
      <c r="A268" s="1" t="str">
        <f aca="false">IF('10. Gantt S2L'!B72="","","SPACE TO LEAD")</f>
        <v/>
      </c>
      <c r="B268" s="1" t="str">
        <f aca="false">IF('10. Gantt S2L'!B72="","",'10. Gantt S2L'!B72)</f>
        <v/>
      </c>
      <c r="C268" s="1" t="str">
        <f aca="false">IF('10. Gantt S2L'!B72="","",'10. Gantt S2L'!C72)</f>
        <v/>
      </c>
      <c r="D268" s="1" t="str">
        <f aca="false">IF('10. Gantt S2L'!B72="","",'10. Gantt S2L'!D72)</f>
        <v/>
      </c>
      <c r="E268" s="1" t="str">
        <f aca="false">IF('10. Gantt S2L'!B72="","",'10. Gantt S2L'!E72)</f>
        <v/>
      </c>
      <c r="F268" s="1" t="str">
        <f aca="false">IF('10. Gantt S2L'!B72="","",'10. Gantt S2L'!G72)</f>
        <v/>
      </c>
      <c r="G268" s="167" t="str">
        <f aca="false">IF('10. Gantt S2L'!B72="","",'10. Gantt S2L'!H72)</f>
        <v/>
      </c>
      <c r="H268" s="167" t="str">
        <f aca="false">IF('10. Gantt S2L'!B72="","",'10. Gantt S2L'!I72)</f>
        <v/>
      </c>
      <c r="I268" s="167" t="str">
        <f aca="false">IF('10. Gantt S2L'!B72="","",'10. Gantt S2L'!K72)</f>
        <v/>
      </c>
      <c r="J268" s="168" t="str">
        <f aca="false">IF('10. Gantt S2L'!B72="","",'10. Gantt S2L'!M72)</f>
        <v/>
      </c>
      <c r="K268" s="168" t="str">
        <f aca="false">IF('10. Gantt S2L'!B72="","",'10. Gantt S2L'!N72)</f>
        <v/>
      </c>
      <c r="L268" s="169" t="str">
        <f aca="false">IF('10. Gantt S2L'!B72="","",'10. Gantt S2L'!O72)</f>
        <v/>
      </c>
      <c r="M268" s="169" t="str">
        <f aca="false">IF('10. Gantt S2L'!B72="","",'10. Gantt S2L'!P72)</f>
        <v/>
      </c>
      <c r="N268" s="1" t="str">
        <f aca="false">IF('10. Gantt S2L'!B72="","",'10. Gantt S2L'!Q72)</f>
        <v/>
      </c>
      <c r="O268" s="1" t="str">
        <f aca="false">IF('10. Gantt S2L'!B72="","",'10. Gantt S2L'!R72)</f>
        <v/>
      </c>
      <c r="P268" s="1" t="str">
        <f aca="false">IF('10. Gantt S2L'!B72="","",'10. Gantt S2L'!S72)</f>
        <v/>
      </c>
      <c r="Q268" s="1" t="str">
        <f aca="false">IF('10. Gantt S2L'!B72="","",'10. Gantt S2L'!T72)</f>
        <v/>
      </c>
      <c r="R268" s="1" t="str">
        <f aca="false">IF('10. Gantt S2L'!B72="","",'10. Gantt S2L'!U72)</f>
        <v/>
      </c>
    </row>
    <row r="269" customFormat="false" ht="15" hidden="false" customHeight="true" outlineLevel="0" collapsed="false">
      <c r="A269" s="1" t="str">
        <f aca="false">IF('10. Gantt S2L'!B73="","","SPACE TO LEAD")</f>
        <v/>
      </c>
      <c r="B269" s="1" t="str">
        <f aca="false">IF('10. Gantt S2L'!B73="","",'10. Gantt S2L'!B73)</f>
        <v/>
      </c>
      <c r="C269" s="1" t="str">
        <f aca="false">IF('10. Gantt S2L'!B73="","",'10. Gantt S2L'!C73)</f>
        <v/>
      </c>
      <c r="D269" s="1" t="str">
        <f aca="false">IF('10. Gantt S2L'!B73="","",'10. Gantt S2L'!D73)</f>
        <v/>
      </c>
      <c r="E269" s="1" t="str">
        <f aca="false">IF('10. Gantt S2L'!B73="","",'10. Gantt S2L'!E73)</f>
        <v/>
      </c>
      <c r="F269" s="1" t="str">
        <f aca="false">IF('10. Gantt S2L'!B73="","",'10. Gantt S2L'!G73)</f>
        <v/>
      </c>
      <c r="G269" s="167" t="str">
        <f aca="false">IF('10. Gantt S2L'!B73="","",'10. Gantt S2L'!H73)</f>
        <v/>
      </c>
      <c r="H269" s="167" t="str">
        <f aca="false">IF('10. Gantt S2L'!B73="","",'10. Gantt S2L'!I73)</f>
        <v/>
      </c>
      <c r="I269" s="167" t="str">
        <f aca="false">IF('10. Gantt S2L'!B73="","",'10. Gantt S2L'!K73)</f>
        <v/>
      </c>
      <c r="J269" s="168" t="str">
        <f aca="false">IF('10. Gantt S2L'!B73="","",'10. Gantt S2L'!M73)</f>
        <v/>
      </c>
      <c r="K269" s="168" t="str">
        <f aca="false">IF('10. Gantt S2L'!B73="","",'10. Gantt S2L'!N73)</f>
        <v/>
      </c>
      <c r="L269" s="169" t="str">
        <f aca="false">IF('10. Gantt S2L'!B73="","",'10. Gantt S2L'!O73)</f>
        <v/>
      </c>
      <c r="M269" s="169" t="str">
        <f aca="false">IF('10. Gantt S2L'!B73="","",'10. Gantt S2L'!P73)</f>
        <v/>
      </c>
      <c r="N269" s="1" t="str">
        <f aca="false">IF('10. Gantt S2L'!B73="","",'10. Gantt S2L'!Q73)</f>
        <v/>
      </c>
      <c r="O269" s="1" t="str">
        <f aca="false">IF('10. Gantt S2L'!B73="","",'10. Gantt S2L'!R73)</f>
        <v/>
      </c>
      <c r="P269" s="1" t="str">
        <f aca="false">IF('10. Gantt S2L'!B73="","",'10. Gantt S2L'!S73)</f>
        <v/>
      </c>
      <c r="Q269" s="1" t="str">
        <f aca="false">IF('10. Gantt S2L'!B73="","",'10. Gantt S2L'!T73)</f>
        <v/>
      </c>
      <c r="R269" s="1" t="str">
        <f aca="false">IF('10. Gantt S2L'!B73="","",'10. Gantt S2L'!U73)</f>
        <v/>
      </c>
    </row>
    <row r="270" customFormat="false" ht="15" hidden="false" customHeight="true" outlineLevel="0" collapsed="false">
      <c r="A270" s="1" t="str">
        <f aca="false">IF('10. Gantt S2L'!B74="","","SPACE TO LEAD")</f>
        <v/>
      </c>
      <c r="B270" s="1" t="str">
        <f aca="false">IF('10. Gantt S2L'!B74="","",'10. Gantt S2L'!B74)</f>
        <v/>
      </c>
      <c r="C270" s="1" t="str">
        <f aca="false">IF('10. Gantt S2L'!B74="","",'10. Gantt S2L'!C74)</f>
        <v/>
      </c>
      <c r="D270" s="1" t="str">
        <f aca="false">IF('10. Gantt S2L'!B74="","",'10. Gantt S2L'!D74)</f>
        <v/>
      </c>
      <c r="E270" s="1" t="str">
        <f aca="false">IF('10. Gantt S2L'!B74="","",'10. Gantt S2L'!E74)</f>
        <v/>
      </c>
      <c r="F270" s="1" t="str">
        <f aca="false">IF('10. Gantt S2L'!B74="","",'10. Gantt S2L'!G74)</f>
        <v/>
      </c>
      <c r="G270" s="167" t="str">
        <f aca="false">IF('10. Gantt S2L'!B74="","",'10. Gantt S2L'!H74)</f>
        <v/>
      </c>
      <c r="H270" s="167" t="str">
        <f aca="false">IF('10. Gantt S2L'!B74="","",'10. Gantt S2L'!I74)</f>
        <v/>
      </c>
      <c r="I270" s="167" t="str">
        <f aca="false">IF('10. Gantt S2L'!B74="","",'10. Gantt S2L'!K74)</f>
        <v/>
      </c>
      <c r="J270" s="168" t="str">
        <f aca="false">IF('10. Gantt S2L'!B74="","",'10. Gantt S2L'!M74)</f>
        <v/>
      </c>
      <c r="K270" s="168" t="str">
        <f aca="false">IF('10. Gantt S2L'!B74="","",'10. Gantt S2L'!N74)</f>
        <v/>
      </c>
      <c r="L270" s="169" t="str">
        <f aca="false">IF('10. Gantt S2L'!B74="","",'10. Gantt S2L'!O74)</f>
        <v/>
      </c>
      <c r="M270" s="169" t="str">
        <f aca="false">IF('10. Gantt S2L'!B74="","",'10. Gantt S2L'!P74)</f>
        <v/>
      </c>
      <c r="N270" s="1" t="str">
        <f aca="false">IF('10. Gantt S2L'!B74="","",'10. Gantt S2L'!Q74)</f>
        <v/>
      </c>
      <c r="O270" s="1" t="str">
        <f aca="false">IF('10. Gantt S2L'!B74="","",'10. Gantt S2L'!R74)</f>
        <v/>
      </c>
      <c r="P270" s="1" t="str">
        <f aca="false">IF('10. Gantt S2L'!B74="","",'10. Gantt S2L'!S74)</f>
        <v/>
      </c>
      <c r="Q270" s="1" t="str">
        <f aca="false">IF('10. Gantt S2L'!B74="","",'10. Gantt S2L'!T74)</f>
        <v/>
      </c>
      <c r="R270" s="1" t="str">
        <f aca="false">IF('10. Gantt S2L'!B74="","",'10. Gantt S2L'!U74)</f>
        <v/>
      </c>
    </row>
    <row r="271" customFormat="false" ht="15" hidden="false" customHeight="true" outlineLevel="0" collapsed="false">
      <c r="A271" s="1" t="str">
        <f aca="false">IF('10. Gantt S2L'!B75="","","SPACE TO LEAD")</f>
        <v/>
      </c>
      <c r="B271" s="1" t="str">
        <f aca="false">IF('10. Gantt S2L'!B75="","",'10. Gantt S2L'!B75)</f>
        <v/>
      </c>
      <c r="C271" s="1" t="str">
        <f aca="false">IF('10. Gantt S2L'!B75="","",'10. Gantt S2L'!C75)</f>
        <v/>
      </c>
      <c r="D271" s="1" t="str">
        <f aca="false">IF('10. Gantt S2L'!B75="","",'10. Gantt S2L'!D75)</f>
        <v/>
      </c>
      <c r="E271" s="1" t="str">
        <f aca="false">IF('10. Gantt S2L'!B75="","",'10. Gantt S2L'!E75)</f>
        <v/>
      </c>
      <c r="F271" s="1" t="str">
        <f aca="false">IF('10. Gantt S2L'!B75="","",'10. Gantt S2L'!G75)</f>
        <v/>
      </c>
      <c r="G271" s="167" t="str">
        <f aca="false">IF('10. Gantt S2L'!B75="","",'10. Gantt S2L'!H75)</f>
        <v/>
      </c>
      <c r="H271" s="167" t="str">
        <f aca="false">IF('10. Gantt S2L'!B75="","",'10. Gantt S2L'!I75)</f>
        <v/>
      </c>
      <c r="I271" s="167" t="str">
        <f aca="false">IF('10. Gantt S2L'!B75="","",'10. Gantt S2L'!K75)</f>
        <v/>
      </c>
      <c r="J271" s="168" t="str">
        <f aca="false">IF('10. Gantt S2L'!B75="","",'10. Gantt S2L'!M75)</f>
        <v/>
      </c>
      <c r="K271" s="168" t="str">
        <f aca="false">IF('10. Gantt S2L'!B75="","",'10. Gantt S2L'!N75)</f>
        <v/>
      </c>
      <c r="L271" s="169" t="str">
        <f aca="false">IF('10. Gantt S2L'!B75="","",'10. Gantt S2L'!O75)</f>
        <v/>
      </c>
      <c r="M271" s="169" t="str">
        <f aca="false">IF('10. Gantt S2L'!B75="","",'10. Gantt S2L'!P75)</f>
        <v/>
      </c>
      <c r="N271" s="1" t="str">
        <f aca="false">IF('10. Gantt S2L'!B75="","",'10. Gantt S2L'!Q75)</f>
        <v/>
      </c>
      <c r="O271" s="1" t="str">
        <f aca="false">IF('10. Gantt S2L'!B75="","",'10. Gantt S2L'!R75)</f>
        <v/>
      </c>
      <c r="P271" s="1" t="str">
        <f aca="false">IF('10. Gantt S2L'!B75="","",'10. Gantt S2L'!S75)</f>
        <v/>
      </c>
      <c r="Q271" s="1" t="str">
        <f aca="false">IF('10. Gantt S2L'!B75="","",'10. Gantt S2L'!T75)</f>
        <v/>
      </c>
      <c r="R271" s="1" t="str">
        <f aca="false">IF('10. Gantt S2L'!B75="","",'10. Gantt S2L'!U75)</f>
        <v/>
      </c>
    </row>
    <row r="272" customFormat="false" ht="15" hidden="false" customHeight="true" outlineLevel="0" collapsed="false">
      <c r="A272" s="1" t="str">
        <f aca="false">IF('10. Gantt S2L'!B76="","","SPACE TO LEAD")</f>
        <v/>
      </c>
      <c r="B272" s="1" t="str">
        <f aca="false">IF('10. Gantt S2L'!B76="","",'10. Gantt S2L'!B76)</f>
        <v/>
      </c>
      <c r="C272" s="1" t="str">
        <f aca="false">IF('10. Gantt S2L'!B76="","",'10. Gantt S2L'!C76)</f>
        <v/>
      </c>
      <c r="D272" s="1" t="str">
        <f aca="false">IF('10. Gantt S2L'!B76="","",'10. Gantt S2L'!D76)</f>
        <v/>
      </c>
      <c r="E272" s="1" t="str">
        <f aca="false">IF('10. Gantt S2L'!B76="","",'10. Gantt S2L'!E76)</f>
        <v/>
      </c>
      <c r="F272" s="1" t="str">
        <f aca="false">IF('10. Gantt S2L'!B76="","",'10. Gantt S2L'!G76)</f>
        <v/>
      </c>
      <c r="G272" s="167" t="str">
        <f aca="false">IF('10. Gantt S2L'!B76="","",'10. Gantt S2L'!H76)</f>
        <v/>
      </c>
      <c r="H272" s="167" t="str">
        <f aca="false">IF('10. Gantt S2L'!B76="","",'10. Gantt S2L'!I76)</f>
        <v/>
      </c>
      <c r="I272" s="167" t="str">
        <f aca="false">IF('10. Gantt S2L'!B76="","",'10. Gantt S2L'!K76)</f>
        <v/>
      </c>
      <c r="J272" s="168" t="str">
        <f aca="false">IF('10. Gantt S2L'!B76="","",'10. Gantt S2L'!M76)</f>
        <v/>
      </c>
      <c r="K272" s="168" t="str">
        <f aca="false">IF('10. Gantt S2L'!B76="","",'10. Gantt S2L'!N76)</f>
        <v/>
      </c>
      <c r="L272" s="169" t="str">
        <f aca="false">IF('10. Gantt S2L'!B76="","",'10. Gantt S2L'!O76)</f>
        <v/>
      </c>
      <c r="M272" s="169" t="str">
        <f aca="false">IF('10. Gantt S2L'!B76="","",'10. Gantt S2L'!P76)</f>
        <v/>
      </c>
      <c r="N272" s="1" t="str">
        <f aca="false">IF('10. Gantt S2L'!B76="","",'10. Gantt S2L'!Q76)</f>
        <v/>
      </c>
      <c r="O272" s="1" t="str">
        <f aca="false">IF('10. Gantt S2L'!B76="","",'10. Gantt S2L'!R76)</f>
        <v/>
      </c>
      <c r="P272" s="1" t="str">
        <f aca="false">IF('10. Gantt S2L'!B76="","",'10. Gantt S2L'!S76)</f>
        <v/>
      </c>
      <c r="Q272" s="1" t="str">
        <f aca="false">IF('10. Gantt S2L'!B76="","",'10. Gantt S2L'!T76)</f>
        <v/>
      </c>
      <c r="R272" s="1" t="str">
        <f aca="false">IF('10. Gantt S2L'!B76="","",'10. Gantt S2L'!U76)</f>
        <v/>
      </c>
    </row>
    <row r="273" customFormat="false" ht="15" hidden="false" customHeight="true" outlineLevel="0" collapsed="false">
      <c r="A273" s="1" t="str">
        <f aca="false">IF('10. Gantt S2L'!B77="","","SPACE TO LEAD")</f>
        <v/>
      </c>
      <c r="B273" s="1" t="str">
        <f aca="false">IF('10. Gantt S2L'!B77="","",'10. Gantt S2L'!B77)</f>
        <v/>
      </c>
      <c r="C273" s="1" t="str">
        <f aca="false">IF('10. Gantt S2L'!B77="","",'10. Gantt S2L'!C77)</f>
        <v/>
      </c>
      <c r="D273" s="1" t="str">
        <f aca="false">IF('10. Gantt S2L'!B77="","",'10. Gantt S2L'!D77)</f>
        <v/>
      </c>
      <c r="E273" s="1" t="str">
        <f aca="false">IF('10. Gantt S2L'!B77="","",'10. Gantt S2L'!E77)</f>
        <v/>
      </c>
      <c r="F273" s="1" t="str">
        <f aca="false">IF('10. Gantt S2L'!B77="","",'10. Gantt S2L'!G77)</f>
        <v/>
      </c>
      <c r="G273" s="167" t="str">
        <f aca="false">IF('10. Gantt S2L'!B77="","",'10. Gantt S2L'!H77)</f>
        <v/>
      </c>
      <c r="H273" s="167" t="str">
        <f aca="false">IF('10. Gantt S2L'!B77="","",'10. Gantt S2L'!I77)</f>
        <v/>
      </c>
      <c r="I273" s="167" t="str">
        <f aca="false">IF('10. Gantt S2L'!B77="","",'10. Gantt S2L'!K77)</f>
        <v/>
      </c>
      <c r="J273" s="168" t="str">
        <f aca="false">IF('10. Gantt S2L'!B77="","",'10. Gantt S2L'!M77)</f>
        <v/>
      </c>
      <c r="K273" s="168" t="str">
        <f aca="false">IF('10. Gantt S2L'!B77="","",'10. Gantt S2L'!N77)</f>
        <v/>
      </c>
      <c r="L273" s="169" t="str">
        <f aca="false">IF('10. Gantt S2L'!B77="","",'10. Gantt S2L'!O77)</f>
        <v/>
      </c>
      <c r="M273" s="169" t="str">
        <f aca="false">IF('10. Gantt S2L'!B77="","",'10. Gantt S2L'!P77)</f>
        <v/>
      </c>
      <c r="N273" s="1" t="str">
        <f aca="false">IF('10. Gantt S2L'!B77="","",'10. Gantt S2L'!Q77)</f>
        <v/>
      </c>
      <c r="O273" s="1" t="str">
        <f aca="false">IF('10. Gantt S2L'!B77="","",'10. Gantt S2L'!R77)</f>
        <v/>
      </c>
      <c r="P273" s="1" t="str">
        <f aca="false">IF('10. Gantt S2L'!B77="","",'10. Gantt S2L'!S77)</f>
        <v/>
      </c>
      <c r="Q273" s="1" t="str">
        <f aca="false">IF('10. Gantt S2L'!B77="","",'10. Gantt S2L'!T77)</f>
        <v/>
      </c>
      <c r="R273" s="1" t="str">
        <f aca="false">IF('10. Gantt S2L'!B77="","",'10. Gantt S2L'!U77)</f>
        <v/>
      </c>
    </row>
    <row r="274" customFormat="false" ht="15" hidden="false" customHeight="true" outlineLevel="0" collapsed="false">
      <c r="A274" s="1" t="str">
        <f aca="false">IF('10. Gantt S2L'!B78="","","SPACE TO LEAD")</f>
        <v/>
      </c>
      <c r="B274" s="1" t="str">
        <f aca="false">IF('10. Gantt S2L'!B78="","",'10. Gantt S2L'!B78)</f>
        <v/>
      </c>
      <c r="C274" s="1" t="str">
        <f aca="false">IF('10. Gantt S2L'!B78="","",'10. Gantt S2L'!C78)</f>
        <v/>
      </c>
      <c r="D274" s="1" t="str">
        <f aca="false">IF('10. Gantt S2L'!B78="","",'10. Gantt S2L'!D78)</f>
        <v/>
      </c>
      <c r="E274" s="1" t="str">
        <f aca="false">IF('10. Gantt S2L'!B78="","",'10. Gantt S2L'!E78)</f>
        <v/>
      </c>
      <c r="F274" s="1" t="str">
        <f aca="false">IF('10. Gantt S2L'!B78="","",'10. Gantt S2L'!G78)</f>
        <v/>
      </c>
      <c r="G274" s="167" t="str">
        <f aca="false">IF('10. Gantt S2L'!B78="","",'10. Gantt S2L'!H78)</f>
        <v/>
      </c>
      <c r="H274" s="167" t="str">
        <f aca="false">IF('10. Gantt S2L'!B78="","",'10. Gantt S2L'!I78)</f>
        <v/>
      </c>
      <c r="I274" s="167" t="str">
        <f aca="false">IF('10. Gantt S2L'!B78="","",'10. Gantt S2L'!K78)</f>
        <v/>
      </c>
      <c r="J274" s="168" t="str">
        <f aca="false">IF('10. Gantt S2L'!B78="","",'10. Gantt S2L'!M78)</f>
        <v/>
      </c>
      <c r="K274" s="168" t="str">
        <f aca="false">IF('10. Gantt S2L'!B78="","",'10. Gantt S2L'!N78)</f>
        <v/>
      </c>
      <c r="L274" s="169" t="str">
        <f aca="false">IF('10. Gantt S2L'!B78="","",'10. Gantt S2L'!O78)</f>
        <v/>
      </c>
      <c r="M274" s="169" t="str">
        <f aca="false">IF('10. Gantt S2L'!B78="","",'10. Gantt S2L'!P78)</f>
        <v/>
      </c>
      <c r="N274" s="1" t="str">
        <f aca="false">IF('10. Gantt S2L'!B78="","",'10. Gantt S2L'!Q78)</f>
        <v/>
      </c>
      <c r="O274" s="1" t="str">
        <f aca="false">IF('10. Gantt S2L'!B78="","",'10. Gantt S2L'!R78)</f>
        <v/>
      </c>
      <c r="P274" s="1" t="str">
        <f aca="false">IF('10. Gantt S2L'!B78="","",'10. Gantt S2L'!S78)</f>
        <v/>
      </c>
      <c r="Q274" s="1" t="str">
        <f aca="false">IF('10. Gantt S2L'!B78="","",'10. Gantt S2L'!T78)</f>
        <v/>
      </c>
      <c r="R274" s="1" t="str">
        <f aca="false">IF('10. Gantt S2L'!B78="","",'10. Gantt S2L'!U78)</f>
        <v/>
      </c>
    </row>
    <row r="275" customFormat="false" ht="15" hidden="false" customHeight="true" outlineLevel="0" collapsed="false">
      <c r="A275" s="1" t="str">
        <f aca="false">IF('10. Gantt S2L'!B79="","","SPACE TO LEAD")</f>
        <v/>
      </c>
      <c r="B275" s="1" t="str">
        <f aca="false">IF('10. Gantt S2L'!B79="","",'10. Gantt S2L'!B79)</f>
        <v/>
      </c>
      <c r="C275" s="1" t="str">
        <f aca="false">IF('10. Gantt S2L'!B79="","",'10. Gantt S2L'!C79)</f>
        <v/>
      </c>
      <c r="D275" s="1" t="str">
        <f aca="false">IF('10. Gantt S2L'!B79="","",'10. Gantt S2L'!D79)</f>
        <v/>
      </c>
      <c r="E275" s="1" t="str">
        <f aca="false">IF('10. Gantt S2L'!B79="","",'10. Gantt S2L'!E79)</f>
        <v/>
      </c>
      <c r="F275" s="1" t="str">
        <f aca="false">IF('10. Gantt S2L'!B79="","",'10. Gantt S2L'!G79)</f>
        <v/>
      </c>
      <c r="G275" s="167" t="str">
        <f aca="false">IF('10. Gantt S2L'!B79="","",'10. Gantt S2L'!H79)</f>
        <v/>
      </c>
      <c r="H275" s="167" t="str">
        <f aca="false">IF('10. Gantt S2L'!B79="","",'10. Gantt S2L'!I79)</f>
        <v/>
      </c>
      <c r="I275" s="167" t="str">
        <f aca="false">IF('10. Gantt S2L'!B79="","",'10. Gantt S2L'!K79)</f>
        <v/>
      </c>
      <c r="J275" s="168" t="str">
        <f aca="false">IF('10. Gantt S2L'!B79="","",'10. Gantt S2L'!M79)</f>
        <v/>
      </c>
      <c r="K275" s="168" t="str">
        <f aca="false">IF('10. Gantt S2L'!B79="","",'10. Gantt S2L'!N79)</f>
        <v/>
      </c>
      <c r="L275" s="169" t="str">
        <f aca="false">IF('10. Gantt S2L'!B79="","",'10. Gantt S2L'!O79)</f>
        <v/>
      </c>
      <c r="M275" s="169" t="str">
        <f aca="false">IF('10. Gantt S2L'!B79="","",'10. Gantt S2L'!P79)</f>
        <v/>
      </c>
      <c r="N275" s="1" t="str">
        <f aca="false">IF('10. Gantt S2L'!B79="","",'10. Gantt S2L'!Q79)</f>
        <v/>
      </c>
      <c r="O275" s="1" t="str">
        <f aca="false">IF('10. Gantt S2L'!B79="","",'10. Gantt S2L'!R79)</f>
        <v/>
      </c>
      <c r="P275" s="1" t="str">
        <f aca="false">IF('10. Gantt S2L'!B79="","",'10. Gantt S2L'!S79)</f>
        <v/>
      </c>
      <c r="Q275" s="1" t="str">
        <f aca="false">IF('10. Gantt S2L'!B79="","",'10. Gantt S2L'!T79)</f>
        <v/>
      </c>
      <c r="R275" s="1" t="str">
        <f aca="false">IF('10. Gantt S2L'!B79="","",'10. Gantt S2L'!U79)</f>
        <v/>
      </c>
    </row>
    <row r="276" customFormat="false" ht="15" hidden="false" customHeight="true" outlineLevel="0" collapsed="false">
      <c r="A276" s="1" t="str">
        <f aca="false">IF('10. Gantt S2L'!B80="","","SPACE TO LEAD")</f>
        <v/>
      </c>
      <c r="B276" s="1" t="str">
        <f aca="false">IF('10. Gantt S2L'!B80="","",'10. Gantt S2L'!B80)</f>
        <v/>
      </c>
      <c r="C276" s="1" t="str">
        <f aca="false">IF('10. Gantt S2L'!B80="","",'10. Gantt S2L'!C80)</f>
        <v/>
      </c>
      <c r="D276" s="1" t="str">
        <f aca="false">IF('10. Gantt S2L'!B80="","",'10. Gantt S2L'!D80)</f>
        <v/>
      </c>
      <c r="E276" s="1" t="str">
        <f aca="false">IF('10. Gantt S2L'!B80="","",'10. Gantt S2L'!E80)</f>
        <v/>
      </c>
      <c r="F276" s="1" t="str">
        <f aca="false">IF('10. Gantt S2L'!B80="","",'10. Gantt S2L'!G80)</f>
        <v/>
      </c>
      <c r="G276" s="167" t="str">
        <f aca="false">IF('10. Gantt S2L'!B80="","",'10. Gantt S2L'!H80)</f>
        <v/>
      </c>
      <c r="H276" s="167" t="str">
        <f aca="false">IF('10. Gantt S2L'!B80="","",'10. Gantt S2L'!I80)</f>
        <v/>
      </c>
      <c r="I276" s="167" t="str">
        <f aca="false">IF('10. Gantt S2L'!B80="","",'10. Gantt S2L'!K80)</f>
        <v/>
      </c>
      <c r="J276" s="168" t="str">
        <f aca="false">IF('10. Gantt S2L'!B80="","",'10. Gantt S2L'!M80)</f>
        <v/>
      </c>
      <c r="K276" s="168" t="str">
        <f aca="false">IF('10. Gantt S2L'!B80="","",'10. Gantt S2L'!N80)</f>
        <v/>
      </c>
      <c r="L276" s="169" t="str">
        <f aca="false">IF('10. Gantt S2L'!B80="","",'10. Gantt S2L'!O80)</f>
        <v/>
      </c>
      <c r="M276" s="169" t="str">
        <f aca="false">IF('10. Gantt S2L'!B80="","",'10. Gantt S2L'!P80)</f>
        <v/>
      </c>
      <c r="N276" s="1" t="str">
        <f aca="false">IF('10. Gantt S2L'!B80="","",'10. Gantt S2L'!Q80)</f>
        <v/>
      </c>
      <c r="O276" s="1" t="str">
        <f aca="false">IF('10. Gantt S2L'!B80="","",'10. Gantt S2L'!R80)</f>
        <v/>
      </c>
      <c r="P276" s="1" t="str">
        <f aca="false">IF('10. Gantt S2L'!B80="","",'10. Gantt S2L'!S80)</f>
        <v/>
      </c>
      <c r="Q276" s="1" t="str">
        <f aca="false">IF('10. Gantt S2L'!B80="","",'10. Gantt S2L'!T80)</f>
        <v/>
      </c>
      <c r="R276" s="1" t="str">
        <f aca="false">IF('10. Gantt S2L'!B80="","",'10. Gantt S2L'!U80)</f>
        <v/>
      </c>
    </row>
    <row r="277" customFormat="false" ht="15" hidden="false" customHeight="true" outlineLevel="0" collapsed="false">
      <c r="A277" s="1" t="str">
        <f aca="false">IF('10. Gantt S2L'!B81="","","SPACE TO LEAD")</f>
        <v/>
      </c>
      <c r="B277" s="1" t="str">
        <f aca="false">IF('10. Gantt S2L'!B81="","",'10. Gantt S2L'!B81)</f>
        <v/>
      </c>
      <c r="C277" s="1" t="str">
        <f aca="false">IF('10. Gantt S2L'!B81="","",'10. Gantt S2L'!C81)</f>
        <v/>
      </c>
      <c r="D277" s="1" t="str">
        <f aca="false">IF('10. Gantt S2L'!B81="","",'10. Gantt S2L'!D81)</f>
        <v/>
      </c>
      <c r="E277" s="1" t="str">
        <f aca="false">IF('10. Gantt S2L'!B81="","",'10. Gantt S2L'!E81)</f>
        <v/>
      </c>
      <c r="F277" s="1" t="str">
        <f aca="false">IF('10. Gantt S2L'!B81="","",'10. Gantt S2L'!G81)</f>
        <v/>
      </c>
      <c r="G277" s="167" t="str">
        <f aca="false">IF('10. Gantt S2L'!B81="","",'10. Gantt S2L'!H81)</f>
        <v/>
      </c>
      <c r="H277" s="167" t="str">
        <f aca="false">IF('10. Gantt S2L'!B81="","",'10. Gantt S2L'!I81)</f>
        <v/>
      </c>
      <c r="I277" s="167" t="str">
        <f aca="false">IF('10. Gantt S2L'!B81="","",'10. Gantt S2L'!K81)</f>
        <v/>
      </c>
      <c r="J277" s="168" t="str">
        <f aca="false">IF('10. Gantt S2L'!B81="","",'10. Gantt S2L'!M81)</f>
        <v/>
      </c>
      <c r="K277" s="168" t="str">
        <f aca="false">IF('10. Gantt S2L'!B81="","",'10. Gantt S2L'!N81)</f>
        <v/>
      </c>
      <c r="L277" s="169" t="str">
        <f aca="false">IF('10. Gantt S2L'!B81="","",'10. Gantt S2L'!O81)</f>
        <v/>
      </c>
      <c r="M277" s="169" t="str">
        <f aca="false">IF('10. Gantt S2L'!B81="","",'10. Gantt S2L'!P81)</f>
        <v/>
      </c>
      <c r="N277" s="1" t="str">
        <f aca="false">IF('10. Gantt S2L'!B81="","",'10. Gantt S2L'!Q81)</f>
        <v/>
      </c>
      <c r="O277" s="1" t="str">
        <f aca="false">IF('10. Gantt S2L'!B81="","",'10. Gantt S2L'!R81)</f>
        <v/>
      </c>
      <c r="P277" s="1" t="str">
        <f aca="false">IF('10. Gantt S2L'!B81="","",'10. Gantt S2L'!S81)</f>
        <v/>
      </c>
      <c r="Q277" s="1" t="str">
        <f aca="false">IF('10. Gantt S2L'!B81="","",'10. Gantt S2L'!T81)</f>
        <v/>
      </c>
      <c r="R277" s="1" t="str">
        <f aca="false">IF('10. Gantt S2L'!B81="","",'10. Gantt S2L'!U81)</f>
        <v/>
      </c>
    </row>
    <row r="278" customFormat="false" ht="15" hidden="false" customHeight="true" outlineLevel="0" collapsed="false">
      <c r="A278" s="1" t="str">
        <f aca="false">IF('10. Gantt S2L'!B82="","","SPACE TO LEAD")</f>
        <v/>
      </c>
      <c r="B278" s="1" t="str">
        <f aca="false">IF('10. Gantt S2L'!B82="","",'10. Gantt S2L'!B82)</f>
        <v/>
      </c>
      <c r="C278" s="1" t="str">
        <f aca="false">IF('10. Gantt S2L'!B82="","",'10. Gantt S2L'!C82)</f>
        <v/>
      </c>
      <c r="D278" s="1" t="str">
        <f aca="false">IF('10. Gantt S2L'!B82="","",'10. Gantt S2L'!D82)</f>
        <v/>
      </c>
      <c r="E278" s="1" t="str">
        <f aca="false">IF('10. Gantt S2L'!B82="","",'10. Gantt S2L'!E82)</f>
        <v/>
      </c>
      <c r="F278" s="1" t="str">
        <f aca="false">IF('10. Gantt S2L'!B82="","",'10. Gantt S2L'!G82)</f>
        <v/>
      </c>
      <c r="G278" s="167" t="str">
        <f aca="false">IF('10. Gantt S2L'!B82="","",'10. Gantt S2L'!H82)</f>
        <v/>
      </c>
      <c r="H278" s="167" t="str">
        <f aca="false">IF('10. Gantt S2L'!B82="","",'10. Gantt S2L'!I82)</f>
        <v/>
      </c>
      <c r="I278" s="167" t="str">
        <f aca="false">IF('10. Gantt S2L'!B82="","",'10. Gantt S2L'!K82)</f>
        <v/>
      </c>
      <c r="J278" s="168" t="str">
        <f aca="false">IF('10. Gantt S2L'!B82="","",'10. Gantt S2L'!M82)</f>
        <v/>
      </c>
      <c r="K278" s="168" t="str">
        <f aca="false">IF('10. Gantt S2L'!B82="","",'10. Gantt S2L'!N82)</f>
        <v/>
      </c>
      <c r="L278" s="169" t="str">
        <f aca="false">IF('10. Gantt S2L'!B82="","",'10. Gantt S2L'!O82)</f>
        <v/>
      </c>
      <c r="M278" s="169" t="str">
        <f aca="false">IF('10. Gantt S2L'!B82="","",'10. Gantt S2L'!P82)</f>
        <v/>
      </c>
      <c r="N278" s="1" t="str">
        <f aca="false">IF('10. Gantt S2L'!B82="","",'10. Gantt S2L'!Q82)</f>
        <v/>
      </c>
      <c r="O278" s="1" t="str">
        <f aca="false">IF('10. Gantt S2L'!B82="","",'10. Gantt S2L'!R82)</f>
        <v/>
      </c>
      <c r="P278" s="1" t="str">
        <f aca="false">IF('10. Gantt S2L'!B82="","",'10. Gantt S2L'!S82)</f>
        <v/>
      </c>
      <c r="Q278" s="1" t="str">
        <f aca="false">IF('10. Gantt S2L'!B82="","",'10. Gantt S2L'!T82)</f>
        <v/>
      </c>
      <c r="R278" s="1" t="str">
        <f aca="false">IF('10. Gantt S2L'!B82="","",'10. Gantt S2L'!U82)</f>
        <v/>
      </c>
    </row>
    <row r="279" customFormat="false" ht="15" hidden="false" customHeight="true" outlineLevel="0" collapsed="false">
      <c r="A279" s="1" t="str">
        <f aca="false">IF('10. Gantt S2L'!B83="","","SPACE TO LEAD")</f>
        <v/>
      </c>
      <c r="B279" s="1" t="str">
        <f aca="false">IF('10. Gantt S2L'!B83="","",'10. Gantt S2L'!B83)</f>
        <v/>
      </c>
      <c r="C279" s="1" t="str">
        <f aca="false">IF('10. Gantt S2L'!B83="","",'10. Gantt S2L'!C83)</f>
        <v/>
      </c>
      <c r="D279" s="1" t="str">
        <f aca="false">IF('10. Gantt S2L'!B83="","",'10. Gantt S2L'!D83)</f>
        <v/>
      </c>
      <c r="E279" s="1" t="str">
        <f aca="false">IF('10. Gantt S2L'!B83="","",'10. Gantt S2L'!E83)</f>
        <v/>
      </c>
      <c r="F279" s="1" t="str">
        <f aca="false">IF('10. Gantt S2L'!B83="","",'10. Gantt S2L'!G83)</f>
        <v/>
      </c>
      <c r="G279" s="167" t="str">
        <f aca="false">IF('10. Gantt S2L'!B83="","",'10. Gantt S2L'!H83)</f>
        <v/>
      </c>
      <c r="H279" s="167" t="str">
        <f aca="false">IF('10. Gantt S2L'!B83="","",'10. Gantt S2L'!I83)</f>
        <v/>
      </c>
      <c r="I279" s="167" t="str">
        <f aca="false">IF('10. Gantt S2L'!B83="","",'10. Gantt S2L'!K83)</f>
        <v/>
      </c>
      <c r="J279" s="168" t="str">
        <f aca="false">IF('10. Gantt S2L'!B83="","",'10. Gantt S2L'!M83)</f>
        <v/>
      </c>
      <c r="K279" s="168" t="str">
        <f aca="false">IF('10. Gantt S2L'!B83="","",'10. Gantt S2L'!N83)</f>
        <v/>
      </c>
      <c r="L279" s="169" t="str">
        <f aca="false">IF('10. Gantt S2L'!B83="","",'10. Gantt S2L'!O83)</f>
        <v/>
      </c>
      <c r="M279" s="169" t="str">
        <f aca="false">IF('10. Gantt S2L'!B83="","",'10. Gantt S2L'!P83)</f>
        <v/>
      </c>
      <c r="N279" s="1" t="str">
        <f aca="false">IF('10. Gantt S2L'!B83="","",'10. Gantt S2L'!Q83)</f>
        <v/>
      </c>
      <c r="O279" s="1" t="str">
        <f aca="false">IF('10. Gantt S2L'!B83="","",'10. Gantt S2L'!R83)</f>
        <v/>
      </c>
      <c r="P279" s="1" t="str">
        <f aca="false">IF('10. Gantt S2L'!B83="","",'10. Gantt S2L'!S83)</f>
        <v/>
      </c>
      <c r="Q279" s="1" t="str">
        <f aca="false">IF('10. Gantt S2L'!B83="","",'10. Gantt S2L'!T83)</f>
        <v/>
      </c>
      <c r="R279" s="1" t="str">
        <f aca="false">IF('10. Gantt S2L'!B83="","",'10. Gantt S2L'!U83)</f>
        <v/>
      </c>
    </row>
    <row r="280" customFormat="false" ht="15" hidden="false" customHeight="true" outlineLevel="0" collapsed="false">
      <c r="A280" s="1" t="str">
        <f aca="false">IF('10. Gantt S2L'!B84="","","SPACE TO LEAD")</f>
        <v/>
      </c>
      <c r="B280" s="1" t="str">
        <f aca="false">IF('10. Gantt S2L'!B84="","",'10. Gantt S2L'!B84)</f>
        <v/>
      </c>
      <c r="C280" s="1" t="str">
        <f aca="false">IF('10. Gantt S2L'!B84="","",'10. Gantt S2L'!C84)</f>
        <v/>
      </c>
      <c r="D280" s="1" t="str">
        <f aca="false">IF('10. Gantt S2L'!B84="","",'10. Gantt S2L'!D84)</f>
        <v/>
      </c>
      <c r="E280" s="1" t="str">
        <f aca="false">IF('10. Gantt S2L'!B84="","",'10. Gantt S2L'!E84)</f>
        <v/>
      </c>
      <c r="F280" s="1" t="str">
        <f aca="false">IF('10. Gantt S2L'!B84="","",'10. Gantt S2L'!G84)</f>
        <v/>
      </c>
      <c r="G280" s="167" t="str">
        <f aca="false">IF('10. Gantt S2L'!B84="","",'10. Gantt S2L'!H84)</f>
        <v/>
      </c>
      <c r="H280" s="167" t="str">
        <f aca="false">IF('10. Gantt S2L'!B84="","",'10. Gantt S2L'!I84)</f>
        <v/>
      </c>
      <c r="I280" s="167" t="str">
        <f aca="false">IF('10. Gantt S2L'!B84="","",'10. Gantt S2L'!K84)</f>
        <v/>
      </c>
      <c r="J280" s="168" t="str">
        <f aca="false">IF('10. Gantt S2L'!B84="","",'10. Gantt S2L'!M84)</f>
        <v/>
      </c>
      <c r="K280" s="168" t="str">
        <f aca="false">IF('10. Gantt S2L'!B84="","",'10. Gantt S2L'!N84)</f>
        <v/>
      </c>
      <c r="L280" s="169" t="str">
        <f aca="false">IF('10. Gantt S2L'!B84="","",'10. Gantt S2L'!O84)</f>
        <v/>
      </c>
      <c r="M280" s="169" t="str">
        <f aca="false">IF('10. Gantt S2L'!B84="","",'10. Gantt S2L'!P84)</f>
        <v/>
      </c>
      <c r="N280" s="1" t="str">
        <f aca="false">IF('10. Gantt S2L'!B84="","",'10. Gantt S2L'!Q84)</f>
        <v/>
      </c>
      <c r="O280" s="1" t="str">
        <f aca="false">IF('10. Gantt S2L'!B84="","",'10. Gantt S2L'!R84)</f>
        <v/>
      </c>
      <c r="P280" s="1" t="str">
        <f aca="false">IF('10. Gantt S2L'!B84="","",'10. Gantt S2L'!S84)</f>
        <v/>
      </c>
      <c r="Q280" s="1" t="str">
        <f aca="false">IF('10. Gantt S2L'!B84="","",'10. Gantt S2L'!T84)</f>
        <v/>
      </c>
      <c r="R280" s="1" t="str">
        <f aca="false">IF('10. Gantt S2L'!B84="","",'10. Gantt S2L'!U84)</f>
        <v/>
      </c>
    </row>
    <row r="281" customFormat="false" ht="15" hidden="false" customHeight="true" outlineLevel="0" collapsed="false">
      <c r="A281" s="1" t="str">
        <f aca="false">IF('10. Gantt S2L'!B85="","","SPACE TO LEAD")</f>
        <v/>
      </c>
      <c r="B281" s="1" t="str">
        <f aca="false">IF('10. Gantt S2L'!B85="","",'10. Gantt S2L'!B85)</f>
        <v/>
      </c>
      <c r="C281" s="1" t="str">
        <f aca="false">IF('10. Gantt S2L'!B85="","",'10. Gantt S2L'!C85)</f>
        <v/>
      </c>
      <c r="D281" s="1" t="str">
        <f aca="false">IF('10. Gantt S2L'!B85="","",'10. Gantt S2L'!D85)</f>
        <v/>
      </c>
      <c r="E281" s="1" t="str">
        <f aca="false">IF('10. Gantt S2L'!B85="","",'10. Gantt S2L'!E85)</f>
        <v/>
      </c>
      <c r="F281" s="1" t="str">
        <f aca="false">IF('10. Gantt S2L'!B85="","",'10. Gantt S2L'!G85)</f>
        <v/>
      </c>
      <c r="G281" s="167" t="str">
        <f aca="false">IF('10. Gantt S2L'!B85="","",'10. Gantt S2L'!H85)</f>
        <v/>
      </c>
      <c r="H281" s="167" t="str">
        <f aca="false">IF('10. Gantt S2L'!B85="","",'10. Gantt S2L'!I85)</f>
        <v/>
      </c>
      <c r="I281" s="167" t="str">
        <f aca="false">IF('10. Gantt S2L'!B85="","",'10. Gantt S2L'!K85)</f>
        <v/>
      </c>
      <c r="J281" s="168" t="str">
        <f aca="false">IF('10. Gantt S2L'!B85="","",'10. Gantt S2L'!M85)</f>
        <v/>
      </c>
      <c r="K281" s="168" t="str">
        <f aca="false">IF('10. Gantt S2L'!B85="","",'10. Gantt S2L'!N85)</f>
        <v/>
      </c>
      <c r="L281" s="169" t="str">
        <f aca="false">IF('10. Gantt S2L'!B85="","",'10. Gantt S2L'!O85)</f>
        <v/>
      </c>
      <c r="M281" s="169" t="str">
        <f aca="false">IF('10. Gantt S2L'!B85="","",'10. Gantt S2L'!P85)</f>
        <v/>
      </c>
      <c r="N281" s="1" t="str">
        <f aca="false">IF('10. Gantt S2L'!B85="","",'10. Gantt S2L'!Q85)</f>
        <v/>
      </c>
      <c r="O281" s="1" t="str">
        <f aca="false">IF('10. Gantt S2L'!B85="","",'10. Gantt S2L'!R85)</f>
        <v/>
      </c>
      <c r="P281" s="1" t="str">
        <f aca="false">IF('10. Gantt S2L'!B85="","",'10. Gantt S2L'!S85)</f>
        <v/>
      </c>
      <c r="Q281" s="1" t="str">
        <f aca="false">IF('10. Gantt S2L'!B85="","",'10. Gantt S2L'!T85)</f>
        <v/>
      </c>
      <c r="R281" s="1" t="str">
        <f aca="false">IF('10. Gantt S2L'!B85="","",'10. Gantt S2L'!U85)</f>
        <v/>
      </c>
    </row>
    <row r="282" customFormat="false" ht="15" hidden="false" customHeight="true" outlineLevel="0" collapsed="false">
      <c r="A282" s="1" t="str">
        <f aca="false">IF('10. Gantt S2L'!B86="","","SPACE TO LEAD")</f>
        <v/>
      </c>
      <c r="B282" s="1" t="str">
        <f aca="false">IF('10. Gantt S2L'!B86="","",'10. Gantt S2L'!B86)</f>
        <v/>
      </c>
      <c r="C282" s="1" t="str">
        <f aca="false">IF('10. Gantt S2L'!B86="","",'10. Gantt S2L'!C86)</f>
        <v/>
      </c>
      <c r="D282" s="1" t="str">
        <f aca="false">IF('10. Gantt S2L'!B86="","",'10. Gantt S2L'!D86)</f>
        <v/>
      </c>
      <c r="E282" s="1" t="str">
        <f aca="false">IF('10. Gantt S2L'!B86="","",'10. Gantt S2L'!E86)</f>
        <v/>
      </c>
      <c r="F282" s="1" t="str">
        <f aca="false">IF('10. Gantt S2L'!B86="","",'10. Gantt S2L'!G86)</f>
        <v/>
      </c>
      <c r="G282" s="167" t="str">
        <f aca="false">IF('10. Gantt S2L'!B86="","",'10. Gantt S2L'!H86)</f>
        <v/>
      </c>
      <c r="H282" s="167" t="str">
        <f aca="false">IF('10. Gantt S2L'!B86="","",'10. Gantt S2L'!I86)</f>
        <v/>
      </c>
      <c r="I282" s="167" t="str">
        <f aca="false">IF('10. Gantt S2L'!B86="","",'10. Gantt S2L'!K86)</f>
        <v/>
      </c>
      <c r="J282" s="168" t="str">
        <f aca="false">IF('10. Gantt S2L'!B86="","",'10. Gantt S2L'!M86)</f>
        <v/>
      </c>
      <c r="K282" s="168" t="str">
        <f aca="false">IF('10. Gantt S2L'!B86="","",'10. Gantt S2L'!N86)</f>
        <v/>
      </c>
      <c r="L282" s="169" t="str">
        <f aca="false">IF('10. Gantt S2L'!B86="","",'10. Gantt S2L'!O86)</f>
        <v/>
      </c>
      <c r="M282" s="169" t="str">
        <f aca="false">IF('10. Gantt S2L'!B86="","",'10. Gantt S2L'!P86)</f>
        <v/>
      </c>
      <c r="N282" s="1" t="str">
        <f aca="false">IF('10. Gantt S2L'!B86="","",'10. Gantt S2L'!Q86)</f>
        <v/>
      </c>
      <c r="O282" s="1" t="str">
        <f aca="false">IF('10. Gantt S2L'!B86="","",'10. Gantt S2L'!R86)</f>
        <v/>
      </c>
      <c r="P282" s="1" t="str">
        <f aca="false">IF('10. Gantt S2L'!B86="","",'10. Gantt S2L'!S86)</f>
        <v/>
      </c>
      <c r="Q282" s="1" t="str">
        <f aca="false">IF('10. Gantt S2L'!B86="","",'10. Gantt S2L'!T86)</f>
        <v/>
      </c>
      <c r="R282" s="1" t="str">
        <f aca="false">IF('10. Gantt S2L'!B86="","",'10. Gantt S2L'!U86)</f>
        <v/>
      </c>
    </row>
    <row r="283" customFormat="false" ht="15" hidden="false" customHeight="true" outlineLevel="0" collapsed="false">
      <c r="A283" s="1" t="str">
        <f aca="false">IF('10. Gantt S2L'!B87="","","SPACE TO LEAD")</f>
        <v/>
      </c>
      <c r="B283" s="1" t="str">
        <f aca="false">IF('10. Gantt S2L'!B87="","",'10. Gantt S2L'!B87)</f>
        <v/>
      </c>
      <c r="C283" s="1" t="str">
        <f aca="false">IF('10. Gantt S2L'!B87="","",'10. Gantt S2L'!C87)</f>
        <v/>
      </c>
      <c r="D283" s="1" t="str">
        <f aca="false">IF('10. Gantt S2L'!B87="","",'10. Gantt S2L'!D87)</f>
        <v/>
      </c>
      <c r="E283" s="1" t="str">
        <f aca="false">IF('10. Gantt S2L'!B87="","",'10. Gantt S2L'!E87)</f>
        <v/>
      </c>
      <c r="F283" s="1" t="str">
        <f aca="false">IF('10. Gantt S2L'!B87="","",'10. Gantt S2L'!G87)</f>
        <v/>
      </c>
      <c r="G283" s="167" t="str">
        <f aca="false">IF('10. Gantt S2L'!B87="","",'10. Gantt S2L'!H87)</f>
        <v/>
      </c>
      <c r="H283" s="167" t="str">
        <f aca="false">IF('10. Gantt S2L'!B87="","",'10. Gantt S2L'!I87)</f>
        <v/>
      </c>
      <c r="I283" s="167" t="str">
        <f aca="false">IF('10. Gantt S2L'!B87="","",'10. Gantt S2L'!K87)</f>
        <v/>
      </c>
      <c r="J283" s="168" t="str">
        <f aca="false">IF('10. Gantt S2L'!B87="","",'10. Gantt S2L'!M87)</f>
        <v/>
      </c>
      <c r="K283" s="168" t="str">
        <f aca="false">IF('10. Gantt S2L'!B87="","",'10. Gantt S2L'!N87)</f>
        <v/>
      </c>
      <c r="L283" s="169" t="str">
        <f aca="false">IF('10. Gantt S2L'!B87="","",'10. Gantt S2L'!O87)</f>
        <v/>
      </c>
      <c r="M283" s="169" t="str">
        <f aca="false">IF('10. Gantt S2L'!B87="","",'10. Gantt S2L'!P87)</f>
        <v/>
      </c>
      <c r="N283" s="1" t="str">
        <f aca="false">IF('10. Gantt S2L'!B87="","",'10. Gantt S2L'!Q87)</f>
        <v/>
      </c>
      <c r="O283" s="1" t="str">
        <f aca="false">IF('10. Gantt S2L'!B87="","",'10. Gantt S2L'!R87)</f>
        <v/>
      </c>
      <c r="P283" s="1" t="str">
        <f aca="false">IF('10. Gantt S2L'!B87="","",'10. Gantt S2L'!S87)</f>
        <v/>
      </c>
      <c r="Q283" s="1" t="str">
        <f aca="false">IF('10. Gantt S2L'!B87="","",'10. Gantt S2L'!T87)</f>
        <v/>
      </c>
      <c r="R283" s="1" t="str">
        <f aca="false">IF('10. Gantt S2L'!B87="","",'10. Gantt S2L'!U87)</f>
        <v/>
      </c>
    </row>
    <row r="284" customFormat="false" ht="15" hidden="false" customHeight="true" outlineLevel="0" collapsed="false">
      <c r="A284" s="1" t="str">
        <f aca="false">IF('10. Gantt S2L'!B88="","","SPACE TO LEAD")</f>
        <v/>
      </c>
      <c r="B284" s="1" t="str">
        <f aca="false">IF('10. Gantt S2L'!B88="","",'10. Gantt S2L'!B88)</f>
        <v/>
      </c>
      <c r="C284" s="1" t="str">
        <f aca="false">IF('10. Gantt S2L'!B88="","",'10. Gantt S2L'!C88)</f>
        <v/>
      </c>
      <c r="D284" s="1" t="str">
        <f aca="false">IF('10. Gantt S2L'!B88="","",'10. Gantt S2L'!D88)</f>
        <v/>
      </c>
      <c r="E284" s="1" t="str">
        <f aca="false">IF('10. Gantt S2L'!B88="","",'10. Gantt S2L'!E88)</f>
        <v/>
      </c>
      <c r="F284" s="1" t="str">
        <f aca="false">IF('10. Gantt S2L'!B88="","",'10. Gantt S2L'!G88)</f>
        <v/>
      </c>
      <c r="G284" s="167" t="str">
        <f aca="false">IF('10. Gantt S2L'!B88="","",'10. Gantt S2L'!H88)</f>
        <v/>
      </c>
      <c r="H284" s="167" t="str">
        <f aca="false">IF('10. Gantt S2L'!B88="","",'10. Gantt S2L'!I88)</f>
        <v/>
      </c>
      <c r="I284" s="167" t="str">
        <f aca="false">IF('10. Gantt S2L'!B88="","",'10. Gantt S2L'!K88)</f>
        <v/>
      </c>
      <c r="J284" s="168" t="str">
        <f aca="false">IF('10. Gantt S2L'!B88="","",'10. Gantt S2L'!M88)</f>
        <v/>
      </c>
      <c r="K284" s="168" t="str">
        <f aca="false">IF('10. Gantt S2L'!B88="","",'10. Gantt S2L'!N88)</f>
        <v/>
      </c>
      <c r="L284" s="169" t="str">
        <f aca="false">IF('10. Gantt S2L'!B88="","",'10. Gantt S2L'!O88)</f>
        <v/>
      </c>
      <c r="M284" s="169" t="str">
        <f aca="false">IF('10. Gantt S2L'!B88="","",'10. Gantt S2L'!P88)</f>
        <v/>
      </c>
      <c r="N284" s="1" t="str">
        <f aca="false">IF('10. Gantt S2L'!B88="","",'10. Gantt S2L'!Q88)</f>
        <v/>
      </c>
      <c r="O284" s="1" t="str">
        <f aca="false">IF('10. Gantt S2L'!B88="","",'10. Gantt S2L'!R88)</f>
        <v/>
      </c>
      <c r="P284" s="1" t="str">
        <f aca="false">IF('10. Gantt S2L'!B88="","",'10. Gantt S2L'!S88)</f>
        <v/>
      </c>
      <c r="Q284" s="1" t="str">
        <f aca="false">IF('10. Gantt S2L'!B88="","",'10. Gantt S2L'!T88)</f>
        <v/>
      </c>
      <c r="R284" s="1" t="str">
        <f aca="false">IF('10. Gantt S2L'!B88="","",'10. Gantt S2L'!U88)</f>
        <v/>
      </c>
    </row>
    <row r="285" customFormat="false" ht="15" hidden="false" customHeight="true" outlineLevel="0" collapsed="false">
      <c r="A285" s="1" t="str">
        <f aca="false">IF('10. Gantt S2L'!B89="","","SPACE TO LEAD")</f>
        <v/>
      </c>
      <c r="B285" s="1" t="str">
        <f aca="false">IF('10. Gantt S2L'!B89="","",'10. Gantt S2L'!B89)</f>
        <v/>
      </c>
      <c r="C285" s="1" t="str">
        <f aca="false">IF('10. Gantt S2L'!B89="","",'10. Gantt S2L'!C89)</f>
        <v/>
      </c>
      <c r="D285" s="1" t="str">
        <f aca="false">IF('10. Gantt S2L'!B89="","",'10. Gantt S2L'!D89)</f>
        <v/>
      </c>
      <c r="E285" s="1" t="str">
        <f aca="false">IF('10. Gantt S2L'!B89="","",'10. Gantt S2L'!E89)</f>
        <v/>
      </c>
      <c r="F285" s="1" t="str">
        <f aca="false">IF('10. Gantt S2L'!B89="","",'10. Gantt S2L'!G89)</f>
        <v/>
      </c>
      <c r="G285" s="167" t="str">
        <f aca="false">IF('10. Gantt S2L'!B89="","",'10. Gantt S2L'!H89)</f>
        <v/>
      </c>
      <c r="H285" s="167" t="str">
        <f aca="false">IF('10. Gantt S2L'!B89="","",'10. Gantt S2L'!I89)</f>
        <v/>
      </c>
      <c r="I285" s="167" t="str">
        <f aca="false">IF('10. Gantt S2L'!B89="","",'10. Gantt S2L'!K89)</f>
        <v/>
      </c>
      <c r="J285" s="168" t="str">
        <f aca="false">IF('10. Gantt S2L'!B89="","",'10. Gantt S2L'!M89)</f>
        <v/>
      </c>
      <c r="K285" s="168" t="str">
        <f aca="false">IF('10. Gantt S2L'!B89="","",'10. Gantt S2L'!N89)</f>
        <v/>
      </c>
      <c r="L285" s="169" t="str">
        <f aca="false">IF('10. Gantt S2L'!B89="","",'10. Gantt S2L'!O89)</f>
        <v/>
      </c>
      <c r="M285" s="169" t="str">
        <f aca="false">IF('10. Gantt S2L'!B89="","",'10. Gantt S2L'!P89)</f>
        <v/>
      </c>
      <c r="N285" s="1" t="str">
        <f aca="false">IF('10. Gantt S2L'!B89="","",'10. Gantt S2L'!Q89)</f>
        <v/>
      </c>
      <c r="O285" s="1" t="str">
        <f aca="false">IF('10. Gantt S2L'!B89="","",'10. Gantt S2L'!R89)</f>
        <v/>
      </c>
      <c r="P285" s="1" t="str">
        <f aca="false">IF('10. Gantt S2L'!B89="","",'10. Gantt S2L'!S89)</f>
        <v/>
      </c>
      <c r="Q285" s="1" t="str">
        <f aca="false">IF('10. Gantt S2L'!B89="","",'10. Gantt S2L'!T89)</f>
        <v/>
      </c>
      <c r="R285" s="1" t="str">
        <f aca="false">IF('10. Gantt S2L'!B89="","",'10. Gantt S2L'!U89)</f>
        <v/>
      </c>
    </row>
    <row r="286" customFormat="false" ht="15" hidden="false" customHeight="true" outlineLevel="0" collapsed="false">
      <c r="A286" s="1" t="str">
        <f aca="false">IF('10. Gantt S2L'!B90="","","SPACE TO LEAD")</f>
        <v/>
      </c>
      <c r="B286" s="1" t="str">
        <f aca="false">IF('10. Gantt S2L'!B90="","",'10. Gantt S2L'!B90)</f>
        <v/>
      </c>
      <c r="C286" s="1" t="str">
        <f aca="false">IF('10. Gantt S2L'!B90="","",'10. Gantt S2L'!C90)</f>
        <v/>
      </c>
      <c r="D286" s="1" t="str">
        <f aca="false">IF('10. Gantt S2L'!B90="","",'10. Gantt S2L'!D90)</f>
        <v/>
      </c>
      <c r="E286" s="1" t="str">
        <f aca="false">IF('10. Gantt S2L'!B90="","",'10. Gantt S2L'!E90)</f>
        <v/>
      </c>
      <c r="F286" s="1" t="str">
        <f aca="false">IF('10. Gantt S2L'!B90="","",'10. Gantt S2L'!G90)</f>
        <v/>
      </c>
      <c r="G286" s="167" t="str">
        <f aca="false">IF('10. Gantt S2L'!B90="","",'10. Gantt S2L'!H90)</f>
        <v/>
      </c>
      <c r="H286" s="167" t="str">
        <f aca="false">IF('10. Gantt S2L'!B90="","",'10. Gantt S2L'!I90)</f>
        <v/>
      </c>
      <c r="I286" s="167" t="str">
        <f aca="false">IF('10. Gantt S2L'!B90="","",'10. Gantt S2L'!K90)</f>
        <v/>
      </c>
      <c r="J286" s="168" t="str">
        <f aca="false">IF('10. Gantt S2L'!B90="","",'10. Gantt S2L'!M90)</f>
        <v/>
      </c>
      <c r="K286" s="168" t="str">
        <f aca="false">IF('10. Gantt S2L'!B90="","",'10. Gantt S2L'!N90)</f>
        <v/>
      </c>
      <c r="L286" s="169" t="str">
        <f aca="false">IF('10. Gantt S2L'!B90="","",'10. Gantt S2L'!O90)</f>
        <v/>
      </c>
      <c r="M286" s="169" t="str">
        <f aca="false">IF('10. Gantt S2L'!B90="","",'10. Gantt S2L'!P90)</f>
        <v/>
      </c>
      <c r="N286" s="1" t="str">
        <f aca="false">IF('10. Gantt S2L'!B90="","",'10. Gantt S2L'!Q90)</f>
        <v/>
      </c>
      <c r="O286" s="1" t="str">
        <f aca="false">IF('10. Gantt S2L'!B90="","",'10. Gantt S2L'!R90)</f>
        <v/>
      </c>
      <c r="P286" s="1" t="str">
        <f aca="false">IF('10. Gantt S2L'!B90="","",'10. Gantt S2L'!S90)</f>
        <v/>
      </c>
      <c r="Q286" s="1" t="str">
        <f aca="false">IF('10. Gantt S2L'!B90="","",'10. Gantt S2L'!T90)</f>
        <v/>
      </c>
      <c r="R286" s="1" t="str">
        <f aca="false">IF('10. Gantt S2L'!B90="","",'10. Gantt S2L'!U90)</f>
        <v/>
      </c>
    </row>
    <row r="287" customFormat="false" ht="15" hidden="false" customHeight="true" outlineLevel="0" collapsed="false">
      <c r="A287" s="1" t="str">
        <f aca="false">IF('10. Gantt S2L'!B91="","","SPACE TO LEAD")</f>
        <v/>
      </c>
      <c r="B287" s="1" t="str">
        <f aca="false">IF('10. Gantt S2L'!B91="","",'10. Gantt S2L'!B91)</f>
        <v/>
      </c>
      <c r="C287" s="1" t="str">
        <f aca="false">IF('10. Gantt S2L'!B91="","",'10. Gantt S2L'!C91)</f>
        <v/>
      </c>
      <c r="D287" s="1" t="str">
        <f aca="false">IF('10. Gantt S2L'!B91="","",'10. Gantt S2L'!D91)</f>
        <v/>
      </c>
      <c r="E287" s="1" t="str">
        <f aca="false">IF('10. Gantt S2L'!B91="","",'10. Gantt S2L'!E91)</f>
        <v/>
      </c>
      <c r="F287" s="1" t="str">
        <f aca="false">IF('10. Gantt S2L'!B91="","",'10. Gantt S2L'!G91)</f>
        <v/>
      </c>
      <c r="G287" s="167" t="str">
        <f aca="false">IF('10. Gantt S2L'!B91="","",'10. Gantt S2L'!H91)</f>
        <v/>
      </c>
      <c r="H287" s="167" t="str">
        <f aca="false">IF('10. Gantt S2L'!B91="","",'10. Gantt S2L'!I91)</f>
        <v/>
      </c>
      <c r="I287" s="167" t="str">
        <f aca="false">IF('10. Gantt S2L'!B91="","",'10. Gantt S2L'!K91)</f>
        <v/>
      </c>
      <c r="J287" s="168" t="str">
        <f aca="false">IF('10. Gantt S2L'!B91="","",'10. Gantt S2L'!M91)</f>
        <v/>
      </c>
      <c r="K287" s="168" t="str">
        <f aca="false">IF('10. Gantt S2L'!B91="","",'10. Gantt S2L'!N91)</f>
        <v/>
      </c>
      <c r="L287" s="169" t="str">
        <f aca="false">IF('10. Gantt S2L'!B91="","",'10. Gantt S2L'!O91)</f>
        <v/>
      </c>
      <c r="M287" s="169" t="str">
        <f aca="false">IF('10. Gantt S2L'!B91="","",'10. Gantt S2L'!P91)</f>
        <v/>
      </c>
      <c r="N287" s="1" t="str">
        <f aca="false">IF('10. Gantt S2L'!B91="","",'10. Gantt S2L'!Q91)</f>
        <v/>
      </c>
      <c r="O287" s="1" t="str">
        <f aca="false">IF('10. Gantt S2L'!B91="","",'10. Gantt S2L'!R91)</f>
        <v/>
      </c>
      <c r="P287" s="1" t="str">
        <f aca="false">IF('10. Gantt S2L'!B91="","",'10. Gantt S2L'!S91)</f>
        <v/>
      </c>
      <c r="Q287" s="1" t="str">
        <f aca="false">IF('10. Gantt S2L'!B91="","",'10. Gantt S2L'!T91)</f>
        <v/>
      </c>
      <c r="R287" s="1" t="str">
        <f aca="false">IF('10. Gantt S2L'!B91="","",'10. Gantt S2L'!U91)</f>
        <v/>
      </c>
    </row>
    <row r="288" customFormat="false" ht="15" hidden="false" customHeight="true" outlineLevel="0" collapsed="false">
      <c r="A288" s="1" t="str">
        <f aca="false">IF('10. Gantt S2L'!B92="","","SPACE TO LEAD")</f>
        <v/>
      </c>
      <c r="B288" s="1" t="str">
        <f aca="false">IF('10. Gantt S2L'!B92="","",'10. Gantt S2L'!B92)</f>
        <v/>
      </c>
      <c r="C288" s="1" t="str">
        <f aca="false">IF('10. Gantt S2L'!B92="","",'10. Gantt S2L'!C92)</f>
        <v/>
      </c>
      <c r="D288" s="1" t="str">
        <f aca="false">IF('10. Gantt S2L'!B92="","",'10. Gantt S2L'!D92)</f>
        <v/>
      </c>
      <c r="E288" s="1" t="str">
        <f aca="false">IF('10. Gantt S2L'!B92="","",'10. Gantt S2L'!E92)</f>
        <v/>
      </c>
      <c r="F288" s="1" t="str">
        <f aca="false">IF('10. Gantt S2L'!B92="","",'10. Gantt S2L'!G92)</f>
        <v/>
      </c>
      <c r="G288" s="167" t="str">
        <f aca="false">IF('10. Gantt S2L'!B92="","",'10. Gantt S2L'!H92)</f>
        <v/>
      </c>
      <c r="H288" s="167" t="str">
        <f aca="false">IF('10. Gantt S2L'!B92="","",'10. Gantt S2L'!I92)</f>
        <v/>
      </c>
      <c r="I288" s="167" t="str">
        <f aca="false">IF('10. Gantt S2L'!B92="","",'10. Gantt S2L'!K92)</f>
        <v/>
      </c>
      <c r="J288" s="168" t="str">
        <f aca="false">IF('10. Gantt S2L'!B92="","",'10. Gantt S2L'!M92)</f>
        <v/>
      </c>
      <c r="K288" s="168" t="str">
        <f aca="false">IF('10. Gantt S2L'!B92="","",'10. Gantt S2L'!N92)</f>
        <v/>
      </c>
      <c r="L288" s="169" t="str">
        <f aca="false">IF('10. Gantt S2L'!B92="","",'10. Gantt S2L'!O92)</f>
        <v/>
      </c>
      <c r="M288" s="169" t="str">
        <f aca="false">IF('10. Gantt S2L'!B92="","",'10. Gantt S2L'!P92)</f>
        <v/>
      </c>
      <c r="N288" s="1" t="str">
        <f aca="false">IF('10. Gantt S2L'!B92="","",'10. Gantt S2L'!Q92)</f>
        <v/>
      </c>
      <c r="O288" s="1" t="str">
        <f aca="false">IF('10. Gantt S2L'!B92="","",'10. Gantt S2L'!R92)</f>
        <v/>
      </c>
      <c r="P288" s="1" t="str">
        <f aca="false">IF('10. Gantt S2L'!B92="","",'10. Gantt S2L'!S92)</f>
        <v/>
      </c>
      <c r="Q288" s="1" t="str">
        <f aca="false">IF('10. Gantt S2L'!B92="","",'10. Gantt S2L'!T92)</f>
        <v/>
      </c>
      <c r="R288" s="1" t="str">
        <f aca="false">IF('10. Gantt S2L'!B92="","",'10. Gantt S2L'!U92)</f>
        <v/>
      </c>
    </row>
    <row r="289" customFormat="false" ht="15" hidden="false" customHeight="true" outlineLevel="0" collapsed="false">
      <c r="A289" s="1" t="str">
        <f aca="false">IF('10. Gantt S2L'!B93="","","SPACE TO LEAD")</f>
        <v/>
      </c>
      <c r="B289" s="1" t="str">
        <f aca="false">IF('10. Gantt S2L'!B93="","",'10. Gantt S2L'!B93)</f>
        <v/>
      </c>
      <c r="C289" s="1" t="str">
        <f aca="false">IF('10. Gantt S2L'!B93="","",'10. Gantt S2L'!C93)</f>
        <v/>
      </c>
      <c r="D289" s="1" t="str">
        <f aca="false">IF('10. Gantt S2L'!B93="","",'10. Gantt S2L'!D93)</f>
        <v/>
      </c>
      <c r="E289" s="1" t="str">
        <f aca="false">IF('10. Gantt S2L'!B93="","",'10. Gantt S2L'!E93)</f>
        <v/>
      </c>
      <c r="F289" s="1" t="str">
        <f aca="false">IF('10. Gantt S2L'!B93="","",'10. Gantt S2L'!G93)</f>
        <v/>
      </c>
      <c r="G289" s="167" t="str">
        <f aca="false">IF('10. Gantt S2L'!B93="","",'10. Gantt S2L'!H93)</f>
        <v/>
      </c>
      <c r="H289" s="167" t="str">
        <f aca="false">IF('10. Gantt S2L'!B93="","",'10. Gantt S2L'!I93)</f>
        <v/>
      </c>
      <c r="I289" s="167" t="str">
        <f aca="false">IF('10. Gantt S2L'!B93="","",'10. Gantt S2L'!K93)</f>
        <v/>
      </c>
      <c r="J289" s="168" t="str">
        <f aca="false">IF('10. Gantt S2L'!B93="","",'10. Gantt S2L'!M93)</f>
        <v/>
      </c>
      <c r="K289" s="168" t="str">
        <f aca="false">IF('10. Gantt S2L'!B93="","",'10. Gantt S2L'!N93)</f>
        <v/>
      </c>
      <c r="L289" s="169" t="str">
        <f aca="false">IF('10. Gantt S2L'!B93="","",'10. Gantt S2L'!O93)</f>
        <v/>
      </c>
      <c r="M289" s="169" t="str">
        <f aca="false">IF('10. Gantt S2L'!B93="","",'10. Gantt S2L'!P93)</f>
        <v/>
      </c>
      <c r="N289" s="1" t="str">
        <f aca="false">IF('10. Gantt S2L'!B93="","",'10. Gantt S2L'!Q93)</f>
        <v/>
      </c>
      <c r="O289" s="1" t="str">
        <f aca="false">IF('10. Gantt S2L'!B93="","",'10. Gantt S2L'!R93)</f>
        <v/>
      </c>
      <c r="P289" s="1" t="str">
        <f aca="false">IF('10. Gantt S2L'!B93="","",'10. Gantt S2L'!S93)</f>
        <v/>
      </c>
      <c r="Q289" s="1" t="str">
        <f aca="false">IF('10. Gantt S2L'!B93="","",'10. Gantt S2L'!T93)</f>
        <v/>
      </c>
      <c r="R289" s="1" t="str">
        <f aca="false">IF('10. Gantt S2L'!B93="","",'10. Gantt S2L'!U93)</f>
        <v/>
      </c>
    </row>
    <row r="290" customFormat="false" ht="15" hidden="false" customHeight="true" outlineLevel="0" collapsed="false">
      <c r="A290" s="1" t="str">
        <f aca="false">IF('10. Gantt S2L'!B94="","","SPACE TO LEAD")</f>
        <v/>
      </c>
      <c r="B290" s="1" t="str">
        <f aca="false">IF('10. Gantt S2L'!B94="","",'10. Gantt S2L'!B94)</f>
        <v/>
      </c>
      <c r="C290" s="1" t="str">
        <f aca="false">IF('10. Gantt S2L'!B94="","",'10. Gantt S2L'!C94)</f>
        <v/>
      </c>
      <c r="D290" s="1" t="str">
        <f aca="false">IF('10. Gantt S2L'!B94="","",'10. Gantt S2L'!D94)</f>
        <v/>
      </c>
      <c r="E290" s="1" t="str">
        <f aca="false">IF('10. Gantt S2L'!B94="","",'10. Gantt S2L'!E94)</f>
        <v/>
      </c>
      <c r="F290" s="1" t="str">
        <f aca="false">IF('10. Gantt S2L'!B94="","",'10. Gantt S2L'!G94)</f>
        <v/>
      </c>
      <c r="G290" s="167" t="str">
        <f aca="false">IF('10. Gantt S2L'!B94="","",'10. Gantt S2L'!H94)</f>
        <v/>
      </c>
      <c r="H290" s="167" t="str">
        <f aca="false">IF('10. Gantt S2L'!B94="","",'10. Gantt S2L'!I94)</f>
        <v/>
      </c>
      <c r="I290" s="167" t="str">
        <f aca="false">IF('10. Gantt S2L'!B94="","",'10. Gantt S2L'!K94)</f>
        <v/>
      </c>
      <c r="J290" s="168" t="str">
        <f aca="false">IF('10. Gantt S2L'!B94="","",'10. Gantt S2L'!M94)</f>
        <v/>
      </c>
      <c r="K290" s="168" t="str">
        <f aca="false">IF('10. Gantt S2L'!B94="","",'10. Gantt S2L'!N94)</f>
        <v/>
      </c>
      <c r="L290" s="169" t="str">
        <f aca="false">IF('10. Gantt S2L'!B94="","",'10. Gantt S2L'!O94)</f>
        <v/>
      </c>
      <c r="M290" s="169" t="str">
        <f aca="false">IF('10. Gantt S2L'!B94="","",'10. Gantt S2L'!P94)</f>
        <v/>
      </c>
      <c r="N290" s="1" t="str">
        <f aca="false">IF('10. Gantt S2L'!B94="","",'10. Gantt S2L'!Q94)</f>
        <v/>
      </c>
      <c r="O290" s="1" t="str">
        <f aca="false">IF('10. Gantt S2L'!B94="","",'10. Gantt S2L'!R94)</f>
        <v/>
      </c>
      <c r="P290" s="1" t="str">
        <f aca="false">IF('10. Gantt S2L'!B94="","",'10. Gantt S2L'!S94)</f>
        <v/>
      </c>
      <c r="Q290" s="1" t="str">
        <f aca="false">IF('10. Gantt S2L'!B94="","",'10. Gantt S2L'!T94)</f>
        <v/>
      </c>
      <c r="R290" s="1" t="str">
        <f aca="false">IF('10. Gantt S2L'!B94="","",'10. Gantt S2L'!U94)</f>
        <v/>
      </c>
    </row>
    <row r="291" customFormat="false" ht="15" hidden="false" customHeight="true" outlineLevel="0" collapsed="false">
      <c r="A291" s="1" t="str">
        <f aca="false">IF('10. Gantt S2L'!B95="","","SPACE TO LEAD")</f>
        <v/>
      </c>
      <c r="B291" s="1" t="str">
        <f aca="false">IF('10. Gantt S2L'!B95="","",'10. Gantt S2L'!B95)</f>
        <v/>
      </c>
      <c r="C291" s="1" t="str">
        <f aca="false">IF('10. Gantt S2L'!B95="","",'10. Gantt S2L'!C95)</f>
        <v/>
      </c>
      <c r="D291" s="1" t="str">
        <f aca="false">IF('10. Gantt S2L'!B95="","",'10. Gantt S2L'!D95)</f>
        <v/>
      </c>
      <c r="E291" s="1" t="str">
        <f aca="false">IF('10. Gantt S2L'!B95="","",'10. Gantt S2L'!E95)</f>
        <v/>
      </c>
      <c r="F291" s="1" t="str">
        <f aca="false">IF('10. Gantt S2L'!B95="","",'10. Gantt S2L'!G95)</f>
        <v/>
      </c>
      <c r="G291" s="167" t="str">
        <f aca="false">IF('10. Gantt S2L'!B95="","",'10. Gantt S2L'!H95)</f>
        <v/>
      </c>
      <c r="H291" s="167" t="str">
        <f aca="false">IF('10. Gantt S2L'!B95="","",'10. Gantt S2L'!I95)</f>
        <v/>
      </c>
      <c r="I291" s="167" t="str">
        <f aca="false">IF('10. Gantt S2L'!B95="","",'10. Gantt S2L'!K95)</f>
        <v/>
      </c>
      <c r="J291" s="168" t="str">
        <f aca="false">IF('10. Gantt S2L'!B95="","",'10. Gantt S2L'!M95)</f>
        <v/>
      </c>
      <c r="K291" s="168" t="str">
        <f aca="false">IF('10. Gantt S2L'!B95="","",'10. Gantt S2L'!N95)</f>
        <v/>
      </c>
      <c r="L291" s="169" t="str">
        <f aca="false">IF('10. Gantt S2L'!B95="","",'10. Gantt S2L'!O95)</f>
        <v/>
      </c>
      <c r="M291" s="169" t="str">
        <f aca="false">IF('10. Gantt S2L'!B95="","",'10. Gantt S2L'!P95)</f>
        <v/>
      </c>
      <c r="N291" s="1" t="str">
        <f aca="false">IF('10. Gantt S2L'!B95="","",'10. Gantt S2L'!Q95)</f>
        <v/>
      </c>
      <c r="O291" s="1" t="str">
        <f aca="false">IF('10. Gantt S2L'!B95="","",'10. Gantt S2L'!R95)</f>
        <v/>
      </c>
      <c r="P291" s="1" t="str">
        <f aca="false">IF('10. Gantt S2L'!B95="","",'10. Gantt S2L'!S95)</f>
        <v/>
      </c>
      <c r="Q291" s="1" t="str">
        <f aca="false">IF('10. Gantt S2L'!B95="","",'10. Gantt S2L'!T95)</f>
        <v/>
      </c>
      <c r="R291" s="1" t="str">
        <f aca="false">IF('10. Gantt S2L'!B95="","",'10. Gantt S2L'!U95)</f>
        <v/>
      </c>
    </row>
    <row r="292" customFormat="false" ht="15" hidden="false" customHeight="true" outlineLevel="0" collapsed="false">
      <c r="A292" s="1" t="str">
        <f aca="false">IF('10. Gantt S2L'!B96="","","SPACE TO LEAD")</f>
        <v/>
      </c>
      <c r="B292" s="1" t="str">
        <f aca="false">IF('10. Gantt S2L'!B96="","",'10. Gantt S2L'!B96)</f>
        <v/>
      </c>
      <c r="C292" s="1" t="str">
        <f aca="false">IF('10. Gantt S2L'!B96="","",'10. Gantt S2L'!C96)</f>
        <v/>
      </c>
      <c r="D292" s="1" t="str">
        <f aca="false">IF('10. Gantt S2L'!B96="","",'10. Gantt S2L'!D96)</f>
        <v/>
      </c>
      <c r="E292" s="1" t="str">
        <f aca="false">IF('10. Gantt S2L'!B96="","",'10. Gantt S2L'!E96)</f>
        <v/>
      </c>
      <c r="F292" s="1" t="str">
        <f aca="false">IF('10. Gantt S2L'!B96="","",'10. Gantt S2L'!G96)</f>
        <v/>
      </c>
      <c r="G292" s="167" t="str">
        <f aca="false">IF('10. Gantt S2L'!B96="","",'10. Gantt S2L'!H96)</f>
        <v/>
      </c>
      <c r="H292" s="167" t="str">
        <f aca="false">IF('10. Gantt S2L'!B96="","",'10. Gantt S2L'!I96)</f>
        <v/>
      </c>
      <c r="I292" s="167" t="str">
        <f aca="false">IF('10. Gantt S2L'!B96="","",'10. Gantt S2L'!K96)</f>
        <v/>
      </c>
      <c r="J292" s="168" t="str">
        <f aca="false">IF('10. Gantt S2L'!B96="","",'10. Gantt S2L'!M96)</f>
        <v/>
      </c>
      <c r="K292" s="168" t="str">
        <f aca="false">IF('10. Gantt S2L'!B96="","",'10. Gantt S2L'!N96)</f>
        <v/>
      </c>
      <c r="L292" s="169" t="str">
        <f aca="false">IF('10. Gantt S2L'!B96="","",'10. Gantt S2L'!O96)</f>
        <v/>
      </c>
      <c r="M292" s="169" t="str">
        <f aca="false">IF('10. Gantt S2L'!B96="","",'10. Gantt S2L'!P96)</f>
        <v/>
      </c>
      <c r="N292" s="1" t="str">
        <f aca="false">IF('10. Gantt S2L'!B96="","",'10. Gantt S2L'!Q96)</f>
        <v/>
      </c>
      <c r="O292" s="1" t="str">
        <f aca="false">IF('10. Gantt S2L'!B96="","",'10. Gantt S2L'!R96)</f>
        <v/>
      </c>
      <c r="P292" s="1" t="str">
        <f aca="false">IF('10. Gantt S2L'!B96="","",'10. Gantt S2L'!S96)</f>
        <v/>
      </c>
      <c r="Q292" s="1" t="str">
        <f aca="false">IF('10. Gantt S2L'!B96="","",'10. Gantt S2L'!T96)</f>
        <v/>
      </c>
      <c r="R292" s="1" t="str">
        <f aca="false">IF('10. Gantt S2L'!B96="","",'10. Gantt S2L'!U96)</f>
        <v/>
      </c>
    </row>
    <row r="293" customFormat="false" ht="15" hidden="false" customHeight="true" outlineLevel="0" collapsed="false">
      <c r="A293" s="1" t="str">
        <f aca="false">IF('10. Gantt S2L'!B97="","","SPACE TO LEAD")</f>
        <v/>
      </c>
      <c r="B293" s="1" t="str">
        <f aca="false">IF('10. Gantt S2L'!B97="","",'10. Gantt S2L'!B97)</f>
        <v/>
      </c>
      <c r="C293" s="1" t="str">
        <f aca="false">IF('10. Gantt S2L'!B97="","",'10. Gantt S2L'!C97)</f>
        <v/>
      </c>
      <c r="D293" s="1" t="str">
        <f aca="false">IF('10. Gantt S2L'!B97="","",'10. Gantt S2L'!D97)</f>
        <v/>
      </c>
      <c r="E293" s="1" t="str">
        <f aca="false">IF('10. Gantt S2L'!B97="","",'10. Gantt S2L'!E97)</f>
        <v/>
      </c>
      <c r="F293" s="1" t="str">
        <f aca="false">IF('10. Gantt S2L'!B97="","",'10. Gantt S2L'!G97)</f>
        <v/>
      </c>
      <c r="G293" s="167" t="str">
        <f aca="false">IF('10. Gantt S2L'!B97="","",'10. Gantt S2L'!H97)</f>
        <v/>
      </c>
      <c r="H293" s="167" t="str">
        <f aca="false">IF('10. Gantt S2L'!B97="","",'10. Gantt S2L'!I97)</f>
        <v/>
      </c>
      <c r="I293" s="167" t="str">
        <f aca="false">IF('10. Gantt S2L'!B97="","",'10. Gantt S2L'!K97)</f>
        <v/>
      </c>
      <c r="J293" s="168" t="str">
        <f aca="false">IF('10. Gantt S2L'!B97="","",'10. Gantt S2L'!M97)</f>
        <v/>
      </c>
      <c r="K293" s="168" t="str">
        <f aca="false">IF('10. Gantt S2L'!B97="","",'10. Gantt S2L'!N97)</f>
        <v/>
      </c>
      <c r="L293" s="169" t="str">
        <f aca="false">IF('10. Gantt S2L'!B97="","",'10. Gantt S2L'!O97)</f>
        <v/>
      </c>
      <c r="M293" s="169" t="str">
        <f aca="false">IF('10. Gantt S2L'!B97="","",'10. Gantt S2L'!P97)</f>
        <v/>
      </c>
      <c r="N293" s="1" t="str">
        <f aca="false">IF('10. Gantt S2L'!B97="","",'10. Gantt S2L'!Q97)</f>
        <v/>
      </c>
      <c r="O293" s="1" t="str">
        <f aca="false">IF('10. Gantt S2L'!B97="","",'10. Gantt S2L'!R97)</f>
        <v/>
      </c>
      <c r="P293" s="1" t="str">
        <f aca="false">IF('10. Gantt S2L'!B97="","",'10. Gantt S2L'!S97)</f>
        <v/>
      </c>
      <c r="Q293" s="1" t="str">
        <f aca="false">IF('10. Gantt S2L'!B97="","",'10. Gantt S2L'!T97)</f>
        <v/>
      </c>
      <c r="R293" s="1" t="str">
        <f aca="false">IF('10. Gantt S2L'!B97="","",'10. Gantt S2L'!U97)</f>
        <v/>
      </c>
    </row>
    <row r="294" customFormat="false" ht="15" hidden="false" customHeight="true" outlineLevel="0" collapsed="false">
      <c r="A294" s="1" t="str">
        <f aca="false">IF('10. Gantt S2L'!B98="","","SPACE TO LEAD")</f>
        <v/>
      </c>
      <c r="B294" s="1" t="str">
        <f aca="false">IF('10. Gantt S2L'!B98="","",'10. Gantt S2L'!B98)</f>
        <v/>
      </c>
      <c r="C294" s="1" t="str">
        <f aca="false">IF('10. Gantt S2L'!B98="","",'10. Gantt S2L'!C98)</f>
        <v/>
      </c>
      <c r="D294" s="1" t="str">
        <f aca="false">IF('10. Gantt S2L'!B98="","",'10. Gantt S2L'!D98)</f>
        <v/>
      </c>
      <c r="E294" s="1" t="str">
        <f aca="false">IF('10. Gantt S2L'!B98="","",'10. Gantt S2L'!E98)</f>
        <v/>
      </c>
      <c r="F294" s="1" t="str">
        <f aca="false">IF('10. Gantt S2L'!B98="","",'10. Gantt S2L'!G98)</f>
        <v/>
      </c>
      <c r="G294" s="167" t="str">
        <f aca="false">IF('10. Gantt S2L'!B98="","",'10. Gantt S2L'!H98)</f>
        <v/>
      </c>
      <c r="H294" s="167" t="str">
        <f aca="false">IF('10. Gantt S2L'!B98="","",'10. Gantt S2L'!I98)</f>
        <v/>
      </c>
      <c r="I294" s="167" t="str">
        <f aca="false">IF('10. Gantt S2L'!B98="","",'10. Gantt S2L'!K98)</f>
        <v/>
      </c>
      <c r="J294" s="168" t="str">
        <f aca="false">IF('10. Gantt S2L'!B98="","",'10. Gantt S2L'!M98)</f>
        <v/>
      </c>
      <c r="K294" s="168" t="str">
        <f aca="false">IF('10. Gantt S2L'!B98="","",'10. Gantt S2L'!N98)</f>
        <v/>
      </c>
      <c r="L294" s="169" t="str">
        <f aca="false">IF('10. Gantt S2L'!B98="","",'10. Gantt S2L'!O98)</f>
        <v/>
      </c>
      <c r="M294" s="169" t="str">
        <f aca="false">IF('10. Gantt S2L'!B98="","",'10. Gantt S2L'!P98)</f>
        <v/>
      </c>
      <c r="N294" s="1" t="str">
        <f aca="false">IF('10. Gantt S2L'!B98="","",'10. Gantt S2L'!Q98)</f>
        <v/>
      </c>
      <c r="O294" s="1" t="str">
        <f aca="false">IF('10. Gantt S2L'!B98="","",'10. Gantt S2L'!R98)</f>
        <v/>
      </c>
      <c r="P294" s="1" t="str">
        <f aca="false">IF('10. Gantt S2L'!B98="","",'10. Gantt S2L'!S98)</f>
        <v/>
      </c>
      <c r="Q294" s="1" t="str">
        <f aca="false">IF('10. Gantt S2L'!B98="","",'10. Gantt S2L'!T98)</f>
        <v/>
      </c>
      <c r="R294" s="1" t="str">
        <f aca="false">IF('10. Gantt S2L'!B98="","",'10. Gantt S2L'!U98)</f>
        <v/>
      </c>
    </row>
    <row r="295" customFormat="false" ht="15" hidden="false" customHeight="true" outlineLevel="0" collapsed="false">
      <c r="A295" s="1" t="str">
        <f aca="false">IF('10. Gantt S2L'!B99="","","SPACE TO LEAD")</f>
        <v/>
      </c>
      <c r="B295" s="1" t="str">
        <f aca="false">IF('10. Gantt S2L'!B99="","",'10. Gantt S2L'!B99)</f>
        <v/>
      </c>
      <c r="C295" s="1" t="str">
        <f aca="false">IF('10. Gantt S2L'!B99="","",'10. Gantt S2L'!C99)</f>
        <v/>
      </c>
      <c r="D295" s="1" t="str">
        <f aca="false">IF('10. Gantt S2L'!B99="","",'10. Gantt S2L'!D99)</f>
        <v/>
      </c>
      <c r="E295" s="1" t="str">
        <f aca="false">IF('10. Gantt S2L'!B99="","",'10. Gantt S2L'!E99)</f>
        <v/>
      </c>
      <c r="F295" s="1" t="str">
        <f aca="false">IF('10. Gantt S2L'!B99="","",'10. Gantt S2L'!G99)</f>
        <v/>
      </c>
      <c r="G295" s="167" t="str">
        <f aca="false">IF('10. Gantt S2L'!B99="","",'10. Gantt S2L'!H99)</f>
        <v/>
      </c>
      <c r="H295" s="167" t="str">
        <f aca="false">IF('10. Gantt S2L'!B99="","",'10. Gantt S2L'!I99)</f>
        <v/>
      </c>
      <c r="I295" s="167" t="str">
        <f aca="false">IF('10. Gantt S2L'!B99="","",'10. Gantt S2L'!K99)</f>
        <v/>
      </c>
      <c r="J295" s="168" t="str">
        <f aca="false">IF('10. Gantt S2L'!B99="","",'10. Gantt S2L'!M99)</f>
        <v/>
      </c>
      <c r="K295" s="168" t="str">
        <f aca="false">IF('10. Gantt S2L'!B99="","",'10. Gantt S2L'!N99)</f>
        <v/>
      </c>
      <c r="L295" s="169" t="str">
        <f aca="false">IF('10. Gantt S2L'!B99="","",'10. Gantt S2L'!O99)</f>
        <v/>
      </c>
      <c r="M295" s="169" t="str">
        <f aca="false">IF('10. Gantt S2L'!B99="","",'10. Gantt S2L'!P99)</f>
        <v/>
      </c>
      <c r="N295" s="1" t="str">
        <f aca="false">IF('10. Gantt S2L'!B99="","",'10. Gantt S2L'!Q99)</f>
        <v/>
      </c>
      <c r="O295" s="1" t="str">
        <f aca="false">IF('10. Gantt S2L'!B99="","",'10. Gantt S2L'!R99)</f>
        <v/>
      </c>
      <c r="P295" s="1" t="str">
        <f aca="false">IF('10. Gantt S2L'!B99="","",'10. Gantt S2L'!S99)</f>
        <v/>
      </c>
      <c r="Q295" s="1" t="str">
        <f aca="false">IF('10. Gantt S2L'!B99="","",'10. Gantt S2L'!T99)</f>
        <v/>
      </c>
      <c r="R295" s="1" t="str">
        <f aca="false">IF('10. Gantt S2L'!B99="","",'10. Gantt S2L'!U99)</f>
        <v/>
      </c>
    </row>
    <row r="296" customFormat="false" ht="15" hidden="false" customHeight="true" outlineLevel="0" collapsed="false">
      <c r="A296" s="1" t="str">
        <f aca="false">IF('10. Gantt S2L'!B100="","","SPACE TO LEAD")</f>
        <v/>
      </c>
      <c r="B296" s="1" t="str">
        <f aca="false">IF('10. Gantt S2L'!B100="","",'10. Gantt S2L'!B100)</f>
        <v/>
      </c>
      <c r="C296" s="1" t="str">
        <f aca="false">IF('10. Gantt S2L'!B100="","",'10. Gantt S2L'!C100)</f>
        <v/>
      </c>
      <c r="D296" s="1" t="str">
        <f aca="false">IF('10. Gantt S2L'!B100="","",'10. Gantt S2L'!D100)</f>
        <v/>
      </c>
      <c r="E296" s="1" t="str">
        <f aca="false">IF('10. Gantt S2L'!B100="","",'10. Gantt S2L'!E100)</f>
        <v/>
      </c>
      <c r="F296" s="1" t="str">
        <f aca="false">IF('10. Gantt S2L'!B100="","",'10. Gantt S2L'!G100)</f>
        <v/>
      </c>
      <c r="G296" s="167" t="str">
        <f aca="false">IF('10. Gantt S2L'!B100="","",'10. Gantt S2L'!H100)</f>
        <v/>
      </c>
      <c r="H296" s="167" t="str">
        <f aca="false">IF('10. Gantt S2L'!B100="","",'10. Gantt S2L'!I100)</f>
        <v/>
      </c>
      <c r="I296" s="167" t="str">
        <f aca="false">IF('10. Gantt S2L'!B100="","",'10. Gantt S2L'!K100)</f>
        <v/>
      </c>
      <c r="J296" s="168" t="str">
        <f aca="false">IF('10. Gantt S2L'!B100="","",'10. Gantt S2L'!M100)</f>
        <v/>
      </c>
      <c r="K296" s="168" t="str">
        <f aca="false">IF('10. Gantt S2L'!B100="","",'10. Gantt S2L'!N100)</f>
        <v/>
      </c>
      <c r="L296" s="169" t="str">
        <f aca="false">IF('10. Gantt S2L'!B100="","",'10. Gantt S2L'!O100)</f>
        <v/>
      </c>
      <c r="M296" s="169" t="str">
        <f aca="false">IF('10. Gantt S2L'!B100="","",'10. Gantt S2L'!P100)</f>
        <v/>
      </c>
      <c r="N296" s="1" t="str">
        <f aca="false">IF('10. Gantt S2L'!B100="","",'10. Gantt S2L'!Q100)</f>
        <v/>
      </c>
      <c r="O296" s="1" t="str">
        <f aca="false">IF('10. Gantt S2L'!B100="","",'10. Gantt S2L'!R100)</f>
        <v/>
      </c>
      <c r="P296" s="1" t="str">
        <f aca="false">IF('10. Gantt S2L'!B100="","",'10. Gantt S2L'!S100)</f>
        <v/>
      </c>
      <c r="Q296" s="1" t="str">
        <f aca="false">IF('10. Gantt S2L'!B100="","",'10. Gantt S2L'!T100)</f>
        <v/>
      </c>
      <c r="R296" s="1" t="str">
        <f aca="false">IF('10. Gantt S2L'!B100="","",'10. Gantt S2L'!U100)</f>
        <v/>
      </c>
    </row>
    <row r="297" customFormat="false" ht="15" hidden="false" customHeight="true" outlineLevel="0" collapsed="false">
      <c r="A297" s="1" t="str">
        <f aca="false">IF('10. Gantt S2L'!B101="","","SPACE TO LEAD")</f>
        <v/>
      </c>
      <c r="B297" s="1" t="str">
        <f aca="false">IF('10. Gantt S2L'!B101="","",'10. Gantt S2L'!B101)</f>
        <v/>
      </c>
      <c r="C297" s="1" t="str">
        <f aca="false">IF('10. Gantt S2L'!B101="","",'10. Gantt S2L'!C101)</f>
        <v/>
      </c>
      <c r="D297" s="1" t="str">
        <f aca="false">IF('10. Gantt S2L'!B101="","",'10. Gantt S2L'!D101)</f>
        <v/>
      </c>
      <c r="E297" s="1" t="str">
        <f aca="false">IF('10. Gantt S2L'!B101="","",'10. Gantt S2L'!E101)</f>
        <v/>
      </c>
      <c r="F297" s="1" t="str">
        <f aca="false">IF('10. Gantt S2L'!B101="","",'10. Gantt S2L'!G101)</f>
        <v/>
      </c>
      <c r="G297" s="167" t="str">
        <f aca="false">IF('10. Gantt S2L'!B101="","",'10. Gantt S2L'!H101)</f>
        <v/>
      </c>
      <c r="H297" s="167" t="str">
        <f aca="false">IF('10. Gantt S2L'!B101="","",'10. Gantt S2L'!I101)</f>
        <v/>
      </c>
      <c r="I297" s="167" t="str">
        <f aca="false">IF('10. Gantt S2L'!B101="","",'10. Gantt S2L'!K101)</f>
        <v/>
      </c>
      <c r="J297" s="168" t="str">
        <f aca="false">IF('10. Gantt S2L'!B101="","",'10. Gantt S2L'!M101)</f>
        <v/>
      </c>
      <c r="K297" s="168" t="str">
        <f aca="false">IF('10. Gantt S2L'!B101="","",'10. Gantt S2L'!N101)</f>
        <v/>
      </c>
      <c r="L297" s="169" t="str">
        <f aca="false">IF('10. Gantt S2L'!B101="","",'10. Gantt S2L'!O101)</f>
        <v/>
      </c>
      <c r="M297" s="169" t="str">
        <f aca="false">IF('10. Gantt S2L'!B101="","",'10. Gantt S2L'!P101)</f>
        <v/>
      </c>
      <c r="N297" s="1" t="str">
        <f aca="false">IF('10. Gantt S2L'!B101="","",'10. Gantt S2L'!Q101)</f>
        <v/>
      </c>
      <c r="O297" s="1" t="str">
        <f aca="false">IF('10. Gantt S2L'!B101="","",'10. Gantt S2L'!R101)</f>
        <v/>
      </c>
      <c r="P297" s="1" t="str">
        <f aca="false">IF('10. Gantt S2L'!B101="","",'10. Gantt S2L'!S101)</f>
        <v/>
      </c>
      <c r="Q297" s="1" t="str">
        <f aca="false">IF('10. Gantt S2L'!B101="","",'10. Gantt S2L'!T101)</f>
        <v/>
      </c>
      <c r="R297" s="1" t="str">
        <f aca="false">IF('10. Gantt S2L'!B101="","",'10. Gantt S2L'!U101)</f>
        <v/>
      </c>
    </row>
    <row r="298" customFormat="false" ht="15" hidden="false" customHeight="true" outlineLevel="0" collapsed="false">
      <c r="A298" s="1" t="str">
        <f aca="false">IF('10. Gantt S2L'!B102="","","SPACE TO LEAD")</f>
        <v/>
      </c>
      <c r="B298" s="1" t="str">
        <f aca="false">IF('10. Gantt S2L'!B102="","",'10. Gantt S2L'!B102)</f>
        <v/>
      </c>
      <c r="C298" s="1" t="str">
        <f aca="false">IF('10. Gantt S2L'!B102="","",'10. Gantt S2L'!C102)</f>
        <v/>
      </c>
      <c r="D298" s="1" t="str">
        <f aca="false">IF('10. Gantt S2L'!B102="","",'10. Gantt S2L'!D102)</f>
        <v/>
      </c>
      <c r="E298" s="1" t="str">
        <f aca="false">IF('10. Gantt S2L'!B102="","",'10. Gantt S2L'!E102)</f>
        <v/>
      </c>
      <c r="F298" s="1" t="str">
        <f aca="false">IF('10. Gantt S2L'!B102="","",'10. Gantt S2L'!G102)</f>
        <v/>
      </c>
      <c r="G298" s="167" t="str">
        <f aca="false">IF('10. Gantt S2L'!B102="","",'10. Gantt S2L'!H102)</f>
        <v/>
      </c>
      <c r="H298" s="167" t="str">
        <f aca="false">IF('10. Gantt S2L'!B102="","",'10. Gantt S2L'!I102)</f>
        <v/>
      </c>
      <c r="I298" s="167" t="str">
        <f aca="false">IF('10. Gantt S2L'!B102="","",'10. Gantt S2L'!K102)</f>
        <v/>
      </c>
      <c r="J298" s="168" t="str">
        <f aca="false">IF('10. Gantt S2L'!B102="","",'10. Gantt S2L'!M102)</f>
        <v/>
      </c>
      <c r="K298" s="168" t="str">
        <f aca="false">IF('10. Gantt S2L'!B102="","",'10. Gantt S2L'!N102)</f>
        <v/>
      </c>
      <c r="L298" s="169" t="str">
        <f aca="false">IF('10. Gantt S2L'!B102="","",'10. Gantt S2L'!O102)</f>
        <v/>
      </c>
      <c r="M298" s="169" t="str">
        <f aca="false">IF('10. Gantt S2L'!B102="","",'10. Gantt S2L'!P102)</f>
        <v/>
      </c>
      <c r="N298" s="1" t="str">
        <f aca="false">IF('10. Gantt S2L'!B102="","",'10. Gantt S2L'!Q102)</f>
        <v/>
      </c>
      <c r="O298" s="1" t="str">
        <f aca="false">IF('10. Gantt S2L'!B102="","",'10. Gantt S2L'!R102)</f>
        <v/>
      </c>
      <c r="P298" s="1" t="str">
        <f aca="false">IF('10. Gantt S2L'!B102="","",'10. Gantt S2L'!S102)</f>
        <v/>
      </c>
      <c r="Q298" s="1" t="str">
        <f aca="false">IF('10. Gantt S2L'!B102="","",'10. Gantt S2L'!T102)</f>
        <v/>
      </c>
      <c r="R298" s="1" t="str">
        <f aca="false">IF('10. Gantt S2L'!B102="","",'10. Gantt S2L'!U102)</f>
        <v/>
      </c>
    </row>
    <row r="299" customFormat="false" ht="15" hidden="false" customHeight="true" outlineLevel="0" collapsed="false">
      <c r="A299" s="1" t="str">
        <f aca="false">IF('10. Gantt S2L'!B103="","","SPACE TO LEAD")</f>
        <v/>
      </c>
      <c r="B299" s="1" t="str">
        <f aca="false">IF('10. Gantt S2L'!B103="","",'10. Gantt S2L'!B103)</f>
        <v/>
      </c>
      <c r="C299" s="1" t="str">
        <f aca="false">IF('10. Gantt S2L'!B103="","",'10. Gantt S2L'!C103)</f>
        <v/>
      </c>
      <c r="D299" s="1" t="str">
        <f aca="false">IF('10. Gantt S2L'!B103="","",'10. Gantt S2L'!D103)</f>
        <v/>
      </c>
      <c r="E299" s="1" t="str">
        <f aca="false">IF('10. Gantt S2L'!B103="","",'10. Gantt S2L'!E103)</f>
        <v/>
      </c>
      <c r="F299" s="1" t="str">
        <f aca="false">IF('10. Gantt S2L'!B103="","",'10. Gantt S2L'!G103)</f>
        <v/>
      </c>
      <c r="G299" s="167" t="str">
        <f aca="false">IF('10. Gantt S2L'!B103="","",'10. Gantt S2L'!H103)</f>
        <v/>
      </c>
      <c r="H299" s="167" t="str">
        <f aca="false">IF('10. Gantt S2L'!B103="","",'10. Gantt S2L'!I103)</f>
        <v/>
      </c>
      <c r="I299" s="167" t="str">
        <f aca="false">IF('10. Gantt S2L'!B103="","",'10. Gantt S2L'!K103)</f>
        <v/>
      </c>
      <c r="J299" s="168" t="str">
        <f aca="false">IF('10. Gantt S2L'!B103="","",'10. Gantt S2L'!M103)</f>
        <v/>
      </c>
      <c r="K299" s="168" t="str">
        <f aca="false">IF('10. Gantt S2L'!B103="","",'10. Gantt S2L'!N103)</f>
        <v/>
      </c>
      <c r="L299" s="169" t="str">
        <f aca="false">IF('10. Gantt S2L'!B103="","",'10. Gantt S2L'!O103)</f>
        <v/>
      </c>
      <c r="M299" s="169" t="str">
        <f aca="false">IF('10. Gantt S2L'!B103="","",'10. Gantt S2L'!P103)</f>
        <v/>
      </c>
      <c r="N299" s="1" t="str">
        <f aca="false">IF('10. Gantt S2L'!B103="","",'10. Gantt S2L'!Q103)</f>
        <v/>
      </c>
      <c r="O299" s="1" t="str">
        <f aca="false">IF('10. Gantt S2L'!B103="","",'10. Gantt S2L'!R103)</f>
        <v/>
      </c>
      <c r="P299" s="1" t="str">
        <f aca="false">IF('10. Gantt S2L'!B103="","",'10. Gantt S2L'!S103)</f>
        <v/>
      </c>
      <c r="Q299" s="1" t="str">
        <f aca="false">IF('10. Gantt S2L'!B103="","",'10. Gantt S2L'!T103)</f>
        <v/>
      </c>
      <c r="R299" s="1" t="str">
        <f aca="false">IF('10. Gantt S2L'!B103="","",'10. Gantt S2L'!U103)</f>
        <v/>
      </c>
    </row>
    <row r="300" customFormat="false" ht="15" hidden="false" customHeight="true" outlineLevel="0" collapsed="false">
      <c r="A300" s="1" t="str">
        <f aca="false">IF('10. Gantt S2L'!B104="","","SPACE TO LEAD")</f>
        <v/>
      </c>
      <c r="B300" s="1" t="str">
        <f aca="false">IF('10. Gantt S2L'!B104="","",'10. Gantt S2L'!B104)</f>
        <v/>
      </c>
      <c r="C300" s="1" t="str">
        <f aca="false">IF('10. Gantt S2L'!B104="","",'10. Gantt S2L'!C104)</f>
        <v/>
      </c>
      <c r="D300" s="1" t="str">
        <f aca="false">IF('10. Gantt S2L'!B104="","",'10. Gantt S2L'!D104)</f>
        <v/>
      </c>
      <c r="E300" s="1" t="str">
        <f aca="false">IF('10. Gantt S2L'!B104="","",'10. Gantt S2L'!E104)</f>
        <v/>
      </c>
      <c r="F300" s="1" t="str">
        <f aca="false">IF('10. Gantt S2L'!B104="","",'10. Gantt S2L'!G104)</f>
        <v/>
      </c>
      <c r="G300" s="167" t="str">
        <f aca="false">IF('10. Gantt S2L'!B104="","",'10. Gantt S2L'!H104)</f>
        <v/>
      </c>
      <c r="H300" s="167" t="str">
        <f aca="false">IF('10. Gantt S2L'!B104="","",'10. Gantt S2L'!I104)</f>
        <v/>
      </c>
      <c r="I300" s="167" t="str">
        <f aca="false">IF('10. Gantt S2L'!B104="","",'10. Gantt S2L'!K104)</f>
        <v/>
      </c>
      <c r="J300" s="168" t="str">
        <f aca="false">IF('10. Gantt S2L'!B104="","",'10. Gantt S2L'!M104)</f>
        <v/>
      </c>
      <c r="K300" s="168" t="str">
        <f aca="false">IF('10. Gantt S2L'!B104="","",'10. Gantt S2L'!N104)</f>
        <v/>
      </c>
      <c r="L300" s="169" t="str">
        <f aca="false">IF('10. Gantt S2L'!B104="","",'10. Gantt S2L'!O104)</f>
        <v/>
      </c>
      <c r="M300" s="169" t="str">
        <f aca="false">IF('10. Gantt S2L'!B104="","",'10. Gantt S2L'!P104)</f>
        <v/>
      </c>
      <c r="N300" s="1" t="str">
        <f aca="false">IF('10. Gantt S2L'!B104="","",'10. Gantt S2L'!Q104)</f>
        <v/>
      </c>
      <c r="O300" s="1" t="str">
        <f aca="false">IF('10. Gantt S2L'!B104="","",'10. Gantt S2L'!R104)</f>
        <v/>
      </c>
      <c r="P300" s="1" t="str">
        <f aca="false">IF('10. Gantt S2L'!B104="","",'10. Gantt S2L'!S104)</f>
        <v/>
      </c>
      <c r="Q300" s="1" t="str">
        <f aca="false">IF('10. Gantt S2L'!B104="","",'10. Gantt S2L'!T104)</f>
        <v/>
      </c>
      <c r="R300" s="1" t="str">
        <f aca="false">IF('10. Gantt S2L'!B104="","",'10. Gantt S2L'!U104)</f>
        <v/>
      </c>
    </row>
    <row r="301" customFormat="false" ht="15" hidden="false" customHeight="true" outlineLevel="0" collapsed="false">
      <c r="A301" s="1" t="str">
        <f aca="false">IF('10. Gantt S2L'!B105="","","SPACE TO LEAD")</f>
        <v/>
      </c>
      <c r="B301" s="1" t="str">
        <f aca="false">IF('10. Gantt S2L'!B105="","",'10. Gantt S2L'!B105)</f>
        <v/>
      </c>
      <c r="C301" s="1" t="str">
        <f aca="false">IF('10. Gantt S2L'!B105="","",'10. Gantt S2L'!C105)</f>
        <v/>
      </c>
      <c r="D301" s="1" t="str">
        <f aca="false">IF('10. Gantt S2L'!B105="","",'10. Gantt S2L'!D105)</f>
        <v/>
      </c>
      <c r="E301" s="1" t="str">
        <f aca="false">IF('10. Gantt S2L'!B105="","",'10. Gantt S2L'!E105)</f>
        <v/>
      </c>
      <c r="F301" s="1" t="str">
        <f aca="false">IF('10. Gantt S2L'!B105="","",'10. Gantt S2L'!G105)</f>
        <v/>
      </c>
      <c r="G301" s="167" t="str">
        <f aca="false">IF('10. Gantt S2L'!B105="","",'10. Gantt S2L'!H105)</f>
        <v/>
      </c>
      <c r="H301" s="167" t="str">
        <f aca="false">IF('10. Gantt S2L'!B105="","",'10. Gantt S2L'!I105)</f>
        <v/>
      </c>
      <c r="I301" s="167" t="str">
        <f aca="false">IF('10. Gantt S2L'!B105="","",'10. Gantt S2L'!K105)</f>
        <v/>
      </c>
      <c r="J301" s="168" t="str">
        <f aca="false">IF('10. Gantt S2L'!B105="","",'10. Gantt S2L'!M105)</f>
        <v/>
      </c>
      <c r="K301" s="168" t="str">
        <f aca="false">IF('10. Gantt S2L'!B105="","",'10. Gantt S2L'!N105)</f>
        <v/>
      </c>
      <c r="L301" s="169" t="str">
        <f aca="false">IF('10. Gantt S2L'!B105="","",'10. Gantt S2L'!O105)</f>
        <v/>
      </c>
      <c r="M301" s="169" t="str">
        <f aca="false">IF('10. Gantt S2L'!B105="","",'10. Gantt S2L'!P105)</f>
        <v/>
      </c>
      <c r="N301" s="1" t="str">
        <f aca="false">IF('10. Gantt S2L'!B105="","",'10. Gantt S2L'!Q105)</f>
        <v/>
      </c>
      <c r="O301" s="1" t="str">
        <f aca="false">IF('10. Gantt S2L'!B105="","",'10. Gantt S2L'!R105)</f>
        <v/>
      </c>
      <c r="P301" s="1" t="str">
        <f aca="false">IF('10. Gantt S2L'!B105="","",'10. Gantt S2L'!S105)</f>
        <v/>
      </c>
      <c r="Q301" s="1" t="str">
        <f aca="false">IF('10. Gantt S2L'!B105="","",'10. Gantt S2L'!T105)</f>
        <v/>
      </c>
      <c r="R301" s="1" t="str">
        <f aca="false">IF('10. Gantt S2L'!B105="","",'10. Gantt S2L'!U105)</f>
        <v/>
      </c>
    </row>
    <row r="302" customFormat="false" ht="15" hidden="false" customHeight="true" outlineLevel="0" collapsed="false">
      <c r="A302" s="1" t="str">
        <f aca="false">IF('10. Gantt S2L'!B106="","","SPACE TO LEAD")</f>
        <v/>
      </c>
      <c r="B302" s="1" t="str">
        <f aca="false">IF('10. Gantt S2L'!B106="","",'10. Gantt S2L'!B106)</f>
        <v/>
      </c>
      <c r="C302" s="1" t="str">
        <f aca="false">IF('10. Gantt S2L'!B106="","",'10. Gantt S2L'!C106)</f>
        <v/>
      </c>
      <c r="D302" s="1" t="str">
        <f aca="false">IF('10. Gantt S2L'!B106="","",'10. Gantt S2L'!D106)</f>
        <v/>
      </c>
      <c r="E302" s="1" t="str">
        <f aca="false">IF('10. Gantt S2L'!B106="","",'10. Gantt S2L'!E106)</f>
        <v/>
      </c>
      <c r="F302" s="1" t="str">
        <f aca="false">IF('10. Gantt S2L'!B106="","",'10. Gantt S2L'!G106)</f>
        <v/>
      </c>
      <c r="G302" s="167" t="str">
        <f aca="false">IF('10. Gantt S2L'!B106="","",'10. Gantt S2L'!H106)</f>
        <v/>
      </c>
      <c r="H302" s="167" t="str">
        <f aca="false">IF('10. Gantt S2L'!B106="","",'10. Gantt S2L'!I106)</f>
        <v/>
      </c>
      <c r="I302" s="167" t="str">
        <f aca="false">IF('10. Gantt S2L'!B106="","",'10. Gantt S2L'!K106)</f>
        <v/>
      </c>
      <c r="J302" s="168" t="str">
        <f aca="false">IF('10. Gantt S2L'!B106="","",'10. Gantt S2L'!M106)</f>
        <v/>
      </c>
      <c r="K302" s="168" t="str">
        <f aca="false">IF('10. Gantt S2L'!B106="","",'10. Gantt S2L'!N106)</f>
        <v/>
      </c>
      <c r="L302" s="169" t="str">
        <f aca="false">IF('10. Gantt S2L'!B106="","",'10. Gantt S2L'!O106)</f>
        <v/>
      </c>
      <c r="M302" s="169" t="str">
        <f aca="false">IF('10. Gantt S2L'!B106="","",'10. Gantt S2L'!P106)</f>
        <v/>
      </c>
      <c r="N302" s="1" t="str">
        <f aca="false">IF('10. Gantt S2L'!B106="","",'10. Gantt S2L'!Q106)</f>
        <v/>
      </c>
      <c r="O302" s="1" t="str">
        <f aca="false">IF('10. Gantt S2L'!B106="","",'10. Gantt S2L'!R106)</f>
        <v/>
      </c>
      <c r="P302" s="1" t="str">
        <f aca="false">IF('10. Gantt S2L'!B106="","",'10. Gantt S2L'!S106)</f>
        <v/>
      </c>
      <c r="Q302" s="1" t="str">
        <f aca="false">IF('10. Gantt S2L'!B106="","",'10. Gantt S2L'!T106)</f>
        <v/>
      </c>
      <c r="R302" s="1" t="str">
        <f aca="false">IF('10. Gantt S2L'!B106="","",'10. Gantt S2L'!U106)</f>
        <v/>
      </c>
    </row>
    <row r="303" customFormat="false" ht="15" hidden="false" customHeight="true" outlineLevel="0" collapsed="false">
      <c r="A303" s="1" t="str">
        <f aca="false">IF('10. Gantt S2L'!B107="","","SPACE TO LEAD")</f>
        <v/>
      </c>
      <c r="B303" s="1" t="str">
        <f aca="false">IF('10. Gantt S2L'!B107="","",'10. Gantt S2L'!B107)</f>
        <v/>
      </c>
      <c r="C303" s="1" t="str">
        <f aca="false">IF('10. Gantt S2L'!B107="","",'10. Gantt S2L'!C107)</f>
        <v/>
      </c>
      <c r="D303" s="1" t="str">
        <f aca="false">IF('10. Gantt S2L'!B107="","",'10. Gantt S2L'!D107)</f>
        <v/>
      </c>
      <c r="E303" s="1" t="str">
        <f aca="false">IF('10. Gantt S2L'!B107="","",'10. Gantt S2L'!E107)</f>
        <v/>
      </c>
      <c r="F303" s="1" t="str">
        <f aca="false">IF('10. Gantt S2L'!B107="","",'10. Gantt S2L'!G107)</f>
        <v/>
      </c>
      <c r="G303" s="167" t="str">
        <f aca="false">IF('10. Gantt S2L'!B107="","",'10. Gantt S2L'!H107)</f>
        <v/>
      </c>
      <c r="H303" s="167" t="str">
        <f aca="false">IF('10. Gantt S2L'!B107="","",'10. Gantt S2L'!I107)</f>
        <v/>
      </c>
      <c r="I303" s="167" t="str">
        <f aca="false">IF('10. Gantt S2L'!B107="","",'10. Gantt S2L'!K107)</f>
        <v/>
      </c>
      <c r="J303" s="168" t="str">
        <f aca="false">IF('10. Gantt S2L'!B107="","",'10. Gantt S2L'!M107)</f>
        <v/>
      </c>
      <c r="K303" s="168" t="str">
        <f aca="false">IF('10. Gantt S2L'!B107="","",'10. Gantt S2L'!N107)</f>
        <v/>
      </c>
      <c r="L303" s="169" t="str">
        <f aca="false">IF('10. Gantt S2L'!B107="","",'10. Gantt S2L'!O107)</f>
        <v/>
      </c>
      <c r="M303" s="169" t="str">
        <f aca="false">IF('10. Gantt S2L'!B107="","",'10. Gantt S2L'!P107)</f>
        <v/>
      </c>
      <c r="N303" s="1" t="str">
        <f aca="false">IF('10. Gantt S2L'!B107="","",'10. Gantt S2L'!Q107)</f>
        <v/>
      </c>
      <c r="O303" s="1" t="str">
        <f aca="false">IF('10. Gantt S2L'!B107="","",'10. Gantt S2L'!R107)</f>
        <v/>
      </c>
      <c r="P303" s="1" t="str">
        <f aca="false">IF('10. Gantt S2L'!B107="","",'10. Gantt S2L'!S107)</f>
        <v/>
      </c>
      <c r="Q303" s="1" t="str">
        <f aca="false">IF('10. Gantt S2L'!B107="","",'10. Gantt S2L'!T107)</f>
        <v/>
      </c>
      <c r="R303" s="1" t="str">
        <f aca="false">IF('10. Gantt S2L'!B107="","",'10. Gantt S2L'!U107)</f>
        <v/>
      </c>
    </row>
    <row r="304" customFormat="false" ht="15" hidden="false" customHeight="true" outlineLevel="0" collapsed="false">
      <c r="A304" s="1" t="str">
        <f aca="false">IF('10. Gantt S2L'!B108="","","SPACE TO LEAD")</f>
        <v/>
      </c>
      <c r="B304" s="1" t="str">
        <f aca="false">IF('10. Gantt S2L'!B108="","",'10. Gantt S2L'!B108)</f>
        <v/>
      </c>
      <c r="C304" s="1" t="str">
        <f aca="false">IF('10. Gantt S2L'!B108="","",'10. Gantt S2L'!C108)</f>
        <v/>
      </c>
      <c r="D304" s="1" t="str">
        <f aca="false">IF('10. Gantt S2L'!B108="","",'10. Gantt S2L'!D108)</f>
        <v/>
      </c>
      <c r="E304" s="1" t="str">
        <f aca="false">IF('10. Gantt S2L'!B108="","",'10. Gantt S2L'!E108)</f>
        <v/>
      </c>
      <c r="F304" s="1" t="str">
        <f aca="false">IF('10. Gantt S2L'!B108="","",'10. Gantt S2L'!G108)</f>
        <v/>
      </c>
      <c r="G304" s="167" t="str">
        <f aca="false">IF('10. Gantt S2L'!B108="","",'10. Gantt S2L'!H108)</f>
        <v/>
      </c>
      <c r="H304" s="167" t="str">
        <f aca="false">IF('10. Gantt S2L'!B108="","",'10. Gantt S2L'!I108)</f>
        <v/>
      </c>
      <c r="I304" s="167" t="str">
        <f aca="false">IF('10. Gantt S2L'!B108="","",'10. Gantt S2L'!K108)</f>
        <v/>
      </c>
      <c r="J304" s="168" t="str">
        <f aca="false">IF('10. Gantt S2L'!B108="","",'10. Gantt S2L'!M108)</f>
        <v/>
      </c>
      <c r="K304" s="168" t="str">
        <f aca="false">IF('10. Gantt S2L'!B108="","",'10. Gantt S2L'!N108)</f>
        <v/>
      </c>
      <c r="L304" s="169" t="str">
        <f aca="false">IF('10. Gantt S2L'!B108="","",'10. Gantt S2L'!O108)</f>
        <v/>
      </c>
      <c r="M304" s="169" t="str">
        <f aca="false">IF('10. Gantt S2L'!B108="","",'10. Gantt S2L'!P108)</f>
        <v/>
      </c>
      <c r="N304" s="1" t="str">
        <f aca="false">IF('10. Gantt S2L'!B108="","",'10. Gantt S2L'!Q108)</f>
        <v/>
      </c>
      <c r="O304" s="1" t="str">
        <f aca="false">IF('10. Gantt S2L'!B108="","",'10. Gantt S2L'!R108)</f>
        <v/>
      </c>
      <c r="P304" s="1" t="str">
        <f aca="false">IF('10. Gantt S2L'!B108="","",'10. Gantt S2L'!S108)</f>
        <v/>
      </c>
      <c r="Q304" s="1" t="str">
        <f aca="false">IF('10. Gantt S2L'!B108="","",'10. Gantt S2L'!T108)</f>
        <v/>
      </c>
      <c r="R304" s="1" t="str">
        <f aca="false">IF('10. Gantt S2L'!B108="","",'10. Gantt S2L'!U108)</f>
        <v/>
      </c>
    </row>
    <row r="305" customFormat="false" ht="15" hidden="false" customHeight="true" outlineLevel="0" collapsed="false">
      <c r="A305" s="1" t="str">
        <f aca="false">IF('10. Gantt S2L'!B109="","","SPACE TO LEAD")</f>
        <v/>
      </c>
      <c r="B305" s="1" t="str">
        <f aca="false">IF('10. Gantt S2L'!B109="","",'10. Gantt S2L'!B109)</f>
        <v/>
      </c>
      <c r="C305" s="1" t="str">
        <f aca="false">IF('10. Gantt S2L'!B109="","",'10. Gantt S2L'!C109)</f>
        <v/>
      </c>
      <c r="D305" s="1" t="str">
        <f aca="false">IF('10. Gantt S2L'!B109="","",'10. Gantt S2L'!D109)</f>
        <v/>
      </c>
      <c r="E305" s="1" t="str">
        <f aca="false">IF('10. Gantt S2L'!B109="","",'10. Gantt S2L'!E109)</f>
        <v/>
      </c>
      <c r="F305" s="1" t="str">
        <f aca="false">IF('10. Gantt S2L'!B109="","",'10. Gantt S2L'!G109)</f>
        <v/>
      </c>
      <c r="G305" s="167" t="str">
        <f aca="false">IF('10. Gantt S2L'!B109="","",'10. Gantt S2L'!H109)</f>
        <v/>
      </c>
      <c r="H305" s="167" t="str">
        <f aca="false">IF('10. Gantt S2L'!B109="","",'10. Gantt S2L'!I109)</f>
        <v/>
      </c>
      <c r="I305" s="167" t="str">
        <f aca="false">IF('10. Gantt S2L'!B109="","",'10. Gantt S2L'!K109)</f>
        <v/>
      </c>
      <c r="J305" s="168" t="str">
        <f aca="false">IF('10. Gantt S2L'!B109="","",'10. Gantt S2L'!M109)</f>
        <v/>
      </c>
      <c r="K305" s="168" t="str">
        <f aca="false">IF('10. Gantt S2L'!B109="","",'10. Gantt S2L'!N109)</f>
        <v/>
      </c>
      <c r="L305" s="169" t="str">
        <f aca="false">IF('10. Gantt S2L'!B109="","",'10. Gantt S2L'!O109)</f>
        <v/>
      </c>
      <c r="M305" s="169" t="str">
        <f aca="false">IF('10. Gantt S2L'!B109="","",'10. Gantt S2L'!P109)</f>
        <v/>
      </c>
      <c r="N305" s="1" t="str">
        <f aca="false">IF('10. Gantt S2L'!B109="","",'10. Gantt S2L'!Q109)</f>
        <v/>
      </c>
      <c r="O305" s="1" t="str">
        <f aca="false">IF('10. Gantt S2L'!B109="","",'10. Gantt S2L'!R109)</f>
        <v/>
      </c>
      <c r="P305" s="1" t="str">
        <f aca="false">IF('10. Gantt S2L'!B109="","",'10. Gantt S2L'!S109)</f>
        <v/>
      </c>
      <c r="Q305" s="1" t="str">
        <f aca="false">IF('10. Gantt S2L'!B109="","",'10. Gantt S2L'!T109)</f>
        <v/>
      </c>
      <c r="R305" s="1" t="str">
        <f aca="false">IF('10. Gantt S2L'!B109="","",'10. Gantt S2L'!U109)</f>
        <v/>
      </c>
    </row>
    <row r="306" customFormat="false" ht="15" hidden="false" customHeight="true" outlineLevel="0" collapsed="false">
      <c r="A306" s="1" t="str">
        <f aca="false">IF('10. Gantt S2L'!B110="","","SPACE TO LEAD")</f>
        <v/>
      </c>
      <c r="B306" s="1" t="str">
        <f aca="false">IF('10. Gantt S2L'!B110="","",'10. Gantt S2L'!B110)</f>
        <v/>
      </c>
      <c r="C306" s="1" t="str">
        <f aca="false">IF('10. Gantt S2L'!B110="","",'10. Gantt S2L'!C110)</f>
        <v/>
      </c>
      <c r="D306" s="1" t="str">
        <f aca="false">IF('10. Gantt S2L'!B110="","",'10. Gantt S2L'!D110)</f>
        <v/>
      </c>
      <c r="E306" s="1" t="str">
        <f aca="false">IF('10. Gantt S2L'!B110="","",'10. Gantt S2L'!E110)</f>
        <v/>
      </c>
      <c r="F306" s="1" t="str">
        <f aca="false">IF('10. Gantt S2L'!B110="","",'10. Gantt S2L'!G110)</f>
        <v/>
      </c>
      <c r="G306" s="167" t="str">
        <f aca="false">IF('10. Gantt S2L'!B110="","",'10. Gantt S2L'!H110)</f>
        <v/>
      </c>
      <c r="H306" s="167" t="str">
        <f aca="false">IF('10. Gantt S2L'!B110="","",'10. Gantt S2L'!I110)</f>
        <v/>
      </c>
      <c r="I306" s="167" t="str">
        <f aca="false">IF('10. Gantt S2L'!B110="","",'10. Gantt S2L'!K110)</f>
        <v/>
      </c>
      <c r="J306" s="168" t="str">
        <f aca="false">IF('10. Gantt S2L'!B110="","",'10. Gantt S2L'!M110)</f>
        <v/>
      </c>
      <c r="K306" s="168" t="str">
        <f aca="false">IF('10. Gantt S2L'!B110="","",'10. Gantt S2L'!N110)</f>
        <v/>
      </c>
      <c r="L306" s="169" t="str">
        <f aca="false">IF('10. Gantt S2L'!B110="","",'10. Gantt S2L'!O110)</f>
        <v/>
      </c>
      <c r="M306" s="169" t="str">
        <f aca="false">IF('10. Gantt S2L'!B110="","",'10. Gantt S2L'!P110)</f>
        <v/>
      </c>
      <c r="N306" s="1" t="str">
        <f aca="false">IF('10. Gantt S2L'!B110="","",'10. Gantt S2L'!Q110)</f>
        <v/>
      </c>
      <c r="O306" s="1" t="str">
        <f aca="false">IF('10. Gantt S2L'!B110="","",'10. Gantt S2L'!R110)</f>
        <v/>
      </c>
      <c r="P306" s="1" t="str">
        <f aca="false">IF('10. Gantt S2L'!B110="","",'10. Gantt S2L'!S110)</f>
        <v/>
      </c>
      <c r="Q306" s="1" t="str">
        <f aca="false">IF('10. Gantt S2L'!B110="","",'10. Gantt S2L'!T110)</f>
        <v/>
      </c>
      <c r="R306" s="1" t="str">
        <f aca="false">IF('10. Gantt S2L'!B110="","",'10. Gantt S2L'!U110)</f>
        <v/>
      </c>
    </row>
    <row r="307" customFormat="false" ht="15" hidden="false" customHeight="true" outlineLevel="0" collapsed="false">
      <c r="A307" s="1" t="str">
        <f aca="false">IF('10. Gantt S2L'!B111="","","SPACE TO LEAD")</f>
        <v/>
      </c>
      <c r="B307" s="1" t="str">
        <f aca="false">IF('10. Gantt S2L'!B111="","",'10. Gantt S2L'!B111)</f>
        <v/>
      </c>
      <c r="C307" s="1" t="str">
        <f aca="false">IF('10. Gantt S2L'!B111="","",'10. Gantt S2L'!C111)</f>
        <v/>
      </c>
      <c r="D307" s="1" t="str">
        <f aca="false">IF('10. Gantt S2L'!B111="","",'10. Gantt S2L'!D111)</f>
        <v/>
      </c>
      <c r="E307" s="1" t="str">
        <f aca="false">IF('10. Gantt S2L'!B111="","",'10. Gantt S2L'!E111)</f>
        <v/>
      </c>
      <c r="F307" s="1" t="str">
        <f aca="false">IF('10. Gantt S2L'!B111="","",'10. Gantt S2L'!G111)</f>
        <v/>
      </c>
      <c r="G307" s="167" t="str">
        <f aca="false">IF('10. Gantt S2L'!B111="","",'10. Gantt S2L'!H111)</f>
        <v/>
      </c>
      <c r="H307" s="167" t="str">
        <f aca="false">IF('10. Gantt S2L'!B111="","",'10. Gantt S2L'!I111)</f>
        <v/>
      </c>
      <c r="I307" s="167" t="str">
        <f aca="false">IF('10. Gantt S2L'!B111="","",'10. Gantt S2L'!K111)</f>
        <v/>
      </c>
      <c r="J307" s="168" t="str">
        <f aca="false">IF('10. Gantt S2L'!B111="","",'10. Gantt S2L'!M111)</f>
        <v/>
      </c>
      <c r="K307" s="168" t="str">
        <f aca="false">IF('10. Gantt S2L'!B111="","",'10. Gantt S2L'!N111)</f>
        <v/>
      </c>
      <c r="L307" s="169" t="str">
        <f aca="false">IF('10. Gantt S2L'!B111="","",'10. Gantt S2L'!O111)</f>
        <v/>
      </c>
      <c r="M307" s="169" t="str">
        <f aca="false">IF('10. Gantt S2L'!B111="","",'10. Gantt S2L'!P111)</f>
        <v/>
      </c>
      <c r="N307" s="1" t="str">
        <f aca="false">IF('10. Gantt S2L'!B111="","",'10. Gantt S2L'!Q111)</f>
        <v/>
      </c>
      <c r="O307" s="1" t="str">
        <f aca="false">IF('10. Gantt S2L'!B111="","",'10. Gantt S2L'!R111)</f>
        <v/>
      </c>
      <c r="P307" s="1" t="str">
        <f aca="false">IF('10. Gantt S2L'!B111="","",'10. Gantt S2L'!S111)</f>
        <v/>
      </c>
      <c r="Q307" s="1" t="str">
        <f aca="false">IF('10. Gantt S2L'!B111="","",'10. Gantt S2L'!T111)</f>
        <v/>
      </c>
      <c r="R307" s="1" t="str">
        <f aca="false">IF('10. Gantt S2L'!B111="","",'10. Gantt S2L'!U111)</f>
        <v/>
      </c>
    </row>
    <row r="308" customFormat="false" ht="15" hidden="false" customHeight="true" outlineLevel="0" collapsed="false">
      <c r="A308" s="1" t="str">
        <f aca="false">IF('10. Gantt S2L'!B112="","","SPACE TO LEAD")</f>
        <v/>
      </c>
      <c r="B308" s="1" t="str">
        <f aca="false">IF('10. Gantt S2L'!B112="","",'10. Gantt S2L'!B112)</f>
        <v/>
      </c>
      <c r="C308" s="1" t="str">
        <f aca="false">IF('10. Gantt S2L'!B112="","",'10. Gantt S2L'!C112)</f>
        <v/>
      </c>
      <c r="D308" s="1" t="str">
        <f aca="false">IF('10. Gantt S2L'!B112="","",'10. Gantt S2L'!D112)</f>
        <v/>
      </c>
      <c r="E308" s="1" t="str">
        <f aca="false">IF('10. Gantt S2L'!B112="","",'10. Gantt S2L'!E112)</f>
        <v/>
      </c>
      <c r="F308" s="1" t="str">
        <f aca="false">IF('10. Gantt S2L'!B112="","",'10. Gantt S2L'!G112)</f>
        <v/>
      </c>
      <c r="G308" s="167" t="str">
        <f aca="false">IF('10. Gantt S2L'!B112="","",'10. Gantt S2L'!H112)</f>
        <v/>
      </c>
      <c r="H308" s="167" t="str">
        <f aca="false">IF('10. Gantt S2L'!B112="","",'10. Gantt S2L'!I112)</f>
        <v/>
      </c>
      <c r="I308" s="167" t="str">
        <f aca="false">IF('10. Gantt S2L'!B112="","",'10. Gantt S2L'!K112)</f>
        <v/>
      </c>
      <c r="J308" s="168" t="str">
        <f aca="false">IF('10. Gantt S2L'!B112="","",'10. Gantt S2L'!M112)</f>
        <v/>
      </c>
      <c r="K308" s="168" t="str">
        <f aca="false">IF('10. Gantt S2L'!B112="","",'10. Gantt S2L'!N112)</f>
        <v/>
      </c>
      <c r="L308" s="169" t="str">
        <f aca="false">IF('10. Gantt S2L'!B112="","",'10. Gantt S2L'!O112)</f>
        <v/>
      </c>
      <c r="M308" s="169" t="str">
        <f aca="false">IF('10. Gantt S2L'!B112="","",'10. Gantt S2L'!P112)</f>
        <v/>
      </c>
      <c r="N308" s="1" t="str">
        <f aca="false">IF('10. Gantt S2L'!B112="","",'10. Gantt S2L'!Q112)</f>
        <v/>
      </c>
      <c r="O308" s="1" t="str">
        <f aca="false">IF('10. Gantt S2L'!B112="","",'10. Gantt S2L'!R112)</f>
        <v/>
      </c>
      <c r="P308" s="1" t="str">
        <f aca="false">IF('10. Gantt S2L'!B112="","",'10. Gantt S2L'!S112)</f>
        <v/>
      </c>
      <c r="Q308" s="1" t="str">
        <f aca="false">IF('10. Gantt S2L'!B112="","",'10. Gantt S2L'!T112)</f>
        <v/>
      </c>
      <c r="R308" s="1" t="str">
        <f aca="false">IF('10. Gantt S2L'!B112="","",'10. Gantt S2L'!U112)</f>
        <v/>
      </c>
    </row>
    <row r="309" customFormat="false" ht="15" hidden="false" customHeight="true" outlineLevel="0" collapsed="false">
      <c r="A309" s="1" t="str">
        <f aca="false">IF('10. Gantt S2L'!B113="","","SPACE TO LEAD")</f>
        <v/>
      </c>
      <c r="B309" s="1" t="str">
        <f aca="false">IF('10. Gantt S2L'!B113="","",'10. Gantt S2L'!B113)</f>
        <v/>
      </c>
      <c r="C309" s="1" t="str">
        <f aca="false">IF('10. Gantt S2L'!B113="","",'10. Gantt S2L'!C113)</f>
        <v/>
      </c>
      <c r="D309" s="1" t="str">
        <f aca="false">IF('10. Gantt S2L'!B113="","",'10. Gantt S2L'!D113)</f>
        <v/>
      </c>
      <c r="E309" s="1" t="str">
        <f aca="false">IF('10. Gantt S2L'!B113="","",'10. Gantt S2L'!E113)</f>
        <v/>
      </c>
      <c r="F309" s="1" t="str">
        <f aca="false">IF('10. Gantt S2L'!B113="","",'10. Gantt S2L'!G113)</f>
        <v/>
      </c>
      <c r="G309" s="167" t="str">
        <f aca="false">IF('10. Gantt S2L'!B113="","",'10. Gantt S2L'!H113)</f>
        <v/>
      </c>
      <c r="H309" s="167" t="str">
        <f aca="false">IF('10. Gantt S2L'!B113="","",'10. Gantt S2L'!I113)</f>
        <v/>
      </c>
      <c r="I309" s="167" t="str">
        <f aca="false">IF('10. Gantt S2L'!B113="","",'10. Gantt S2L'!K113)</f>
        <v/>
      </c>
      <c r="J309" s="168" t="str">
        <f aca="false">IF('10. Gantt S2L'!B113="","",'10. Gantt S2L'!M113)</f>
        <v/>
      </c>
      <c r="K309" s="168" t="str">
        <f aca="false">IF('10. Gantt S2L'!B113="","",'10. Gantt S2L'!N113)</f>
        <v/>
      </c>
      <c r="L309" s="169" t="str">
        <f aca="false">IF('10. Gantt S2L'!B113="","",'10. Gantt S2L'!O113)</f>
        <v/>
      </c>
      <c r="M309" s="169" t="str">
        <f aca="false">IF('10. Gantt S2L'!B113="","",'10. Gantt S2L'!P113)</f>
        <v/>
      </c>
      <c r="N309" s="1" t="str">
        <f aca="false">IF('10. Gantt S2L'!B113="","",'10. Gantt S2L'!Q113)</f>
        <v/>
      </c>
      <c r="O309" s="1" t="str">
        <f aca="false">IF('10. Gantt S2L'!B113="","",'10. Gantt S2L'!R113)</f>
        <v/>
      </c>
      <c r="P309" s="1" t="str">
        <f aca="false">IF('10. Gantt S2L'!B113="","",'10. Gantt S2L'!S113)</f>
        <v/>
      </c>
      <c r="Q309" s="1" t="str">
        <f aca="false">IF('10. Gantt S2L'!B113="","",'10. Gantt S2L'!T113)</f>
        <v/>
      </c>
      <c r="R309" s="1" t="str">
        <f aca="false">IF('10. Gantt S2L'!B113="","",'10. Gantt S2L'!U113)</f>
        <v/>
      </c>
    </row>
    <row r="310" customFormat="false" ht="15" hidden="false" customHeight="true" outlineLevel="0" collapsed="false">
      <c r="A310" s="1" t="str">
        <f aca="false">IF('10. Gantt S2L'!B114="","","SPACE TO LEAD")</f>
        <v/>
      </c>
      <c r="B310" s="1" t="str">
        <f aca="false">IF('10. Gantt S2L'!B114="","",'10. Gantt S2L'!B114)</f>
        <v/>
      </c>
      <c r="C310" s="1" t="str">
        <f aca="false">IF('10. Gantt S2L'!B114="","",'10. Gantt S2L'!C114)</f>
        <v/>
      </c>
      <c r="D310" s="1" t="str">
        <f aca="false">IF('10. Gantt S2L'!B114="","",'10. Gantt S2L'!D114)</f>
        <v/>
      </c>
      <c r="E310" s="1" t="str">
        <f aca="false">IF('10. Gantt S2L'!B114="","",'10. Gantt S2L'!E114)</f>
        <v/>
      </c>
      <c r="F310" s="1" t="str">
        <f aca="false">IF('10. Gantt S2L'!B114="","",'10. Gantt S2L'!G114)</f>
        <v/>
      </c>
      <c r="G310" s="167" t="str">
        <f aca="false">IF('10. Gantt S2L'!B114="","",'10. Gantt S2L'!H114)</f>
        <v/>
      </c>
      <c r="H310" s="167" t="str">
        <f aca="false">IF('10. Gantt S2L'!B114="","",'10. Gantt S2L'!I114)</f>
        <v/>
      </c>
      <c r="I310" s="167" t="str">
        <f aca="false">IF('10. Gantt S2L'!B114="","",'10. Gantt S2L'!K114)</f>
        <v/>
      </c>
      <c r="J310" s="168" t="str">
        <f aca="false">IF('10. Gantt S2L'!B114="","",'10. Gantt S2L'!M114)</f>
        <v/>
      </c>
      <c r="K310" s="168" t="str">
        <f aca="false">IF('10. Gantt S2L'!B114="","",'10. Gantt S2L'!N114)</f>
        <v/>
      </c>
      <c r="L310" s="169" t="str">
        <f aca="false">IF('10. Gantt S2L'!B114="","",'10. Gantt S2L'!O114)</f>
        <v/>
      </c>
      <c r="M310" s="169" t="str">
        <f aca="false">IF('10. Gantt S2L'!B114="","",'10. Gantt S2L'!P114)</f>
        <v/>
      </c>
      <c r="N310" s="1" t="str">
        <f aca="false">IF('10. Gantt S2L'!B114="","",'10. Gantt S2L'!Q114)</f>
        <v/>
      </c>
      <c r="O310" s="1" t="str">
        <f aca="false">IF('10. Gantt S2L'!B114="","",'10. Gantt S2L'!R114)</f>
        <v/>
      </c>
      <c r="P310" s="1" t="str">
        <f aca="false">IF('10. Gantt S2L'!B114="","",'10. Gantt S2L'!S114)</f>
        <v/>
      </c>
      <c r="Q310" s="1" t="str">
        <f aca="false">IF('10. Gantt S2L'!B114="","",'10. Gantt S2L'!T114)</f>
        <v/>
      </c>
      <c r="R310" s="1" t="str">
        <f aca="false">IF('10. Gantt S2L'!B114="","",'10. Gantt S2L'!U114)</f>
        <v/>
      </c>
    </row>
    <row r="311" customFormat="false" ht="15" hidden="false" customHeight="true" outlineLevel="0" collapsed="false">
      <c r="A311" s="1" t="str">
        <f aca="false">IF('10. Gantt S2L'!B115="","","SPACE TO LEAD")</f>
        <v/>
      </c>
      <c r="B311" s="1" t="str">
        <f aca="false">IF('10. Gantt S2L'!B115="","",'10. Gantt S2L'!B115)</f>
        <v/>
      </c>
      <c r="C311" s="1" t="str">
        <f aca="false">IF('10. Gantt S2L'!B115="","",'10. Gantt S2L'!C115)</f>
        <v/>
      </c>
      <c r="D311" s="1" t="str">
        <f aca="false">IF('10. Gantt S2L'!B115="","",'10. Gantt S2L'!D115)</f>
        <v/>
      </c>
      <c r="E311" s="1" t="str">
        <f aca="false">IF('10. Gantt S2L'!B115="","",'10. Gantt S2L'!E115)</f>
        <v/>
      </c>
      <c r="F311" s="1" t="str">
        <f aca="false">IF('10. Gantt S2L'!B115="","",'10. Gantt S2L'!G115)</f>
        <v/>
      </c>
      <c r="G311" s="167" t="str">
        <f aca="false">IF('10. Gantt S2L'!B115="","",'10. Gantt S2L'!H115)</f>
        <v/>
      </c>
      <c r="H311" s="167" t="str">
        <f aca="false">IF('10. Gantt S2L'!B115="","",'10. Gantt S2L'!I115)</f>
        <v/>
      </c>
      <c r="I311" s="167" t="str">
        <f aca="false">IF('10. Gantt S2L'!B115="","",'10. Gantt S2L'!K115)</f>
        <v/>
      </c>
      <c r="J311" s="168" t="str">
        <f aca="false">IF('10. Gantt S2L'!B115="","",'10. Gantt S2L'!M115)</f>
        <v/>
      </c>
      <c r="K311" s="168" t="str">
        <f aca="false">IF('10. Gantt S2L'!B115="","",'10. Gantt S2L'!N115)</f>
        <v/>
      </c>
      <c r="L311" s="169" t="str">
        <f aca="false">IF('10. Gantt S2L'!B115="","",'10. Gantt S2L'!O115)</f>
        <v/>
      </c>
      <c r="M311" s="169" t="str">
        <f aca="false">IF('10. Gantt S2L'!B115="","",'10. Gantt S2L'!P115)</f>
        <v/>
      </c>
      <c r="N311" s="1" t="str">
        <f aca="false">IF('10. Gantt S2L'!B115="","",'10. Gantt S2L'!Q115)</f>
        <v/>
      </c>
      <c r="O311" s="1" t="str">
        <f aca="false">IF('10. Gantt S2L'!B115="","",'10. Gantt S2L'!R115)</f>
        <v/>
      </c>
      <c r="P311" s="1" t="str">
        <f aca="false">IF('10. Gantt S2L'!B115="","",'10. Gantt S2L'!S115)</f>
        <v/>
      </c>
      <c r="Q311" s="1" t="str">
        <f aca="false">IF('10. Gantt S2L'!B115="","",'10. Gantt S2L'!T115)</f>
        <v/>
      </c>
      <c r="R311" s="1" t="str">
        <f aca="false">IF('10. Gantt S2L'!B115="","",'10. Gantt S2L'!U115)</f>
        <v/>
      </c>
    </row>
    <row r="312" customFormat="false" ht="15" hidden="false" customHeight="true" outlineLevel="0" collapsed="false">
      <c r="A312" s="1" t="str">
        <f aca="false">IF('10. Gantt S2L'!B116="","","SPACE TO LEAD")</f>
        <v/>
      </c>
      <c r="B312" s="1" t="str">
        <f aca="false">IF('10. Gantt S2L'!B116="","",'10. Gantt S2L'!B116)</f>
        <v/>
      </c>
      <c r="C312" s="1" t="str">
        <f aca="false">IF('10. Gantt S2L'!B116="","",'10. Gantt S2L'!C116)</f>
        <v/>
      </c>
      <c r="D312" s="1" t="str">
        <f aca="false">IF('10. Gantt S2L'!B116="","",'10. Gantt S2L'!D116)</f>
        <v/>
      </c>
      <c r="E312" s="1" t="str">
        <f aca="false">IF('10. Gantt S2L'!B116="","",'10. Gantt S2L'!E116)</f>
        <v/>
      </c>
      <c r="F312" s="1" t="str">
        <f aca="false">IF('10. Gantt S2L'!B116="","",'10. Gantt S2L'!G116)</f>
        <v/>
      </c>
      <c r="G312" s="167" t="str">
        <f aca="false">IF('10. Gantt S2L'!B116="","",'10. Gantt S2L'!H116)</f>
        <v/>
      </c>
      <c r="H312" s="167" t="str">
        <f aca="false">IF('10. Gantt S2L'!B116="","",'10. Gantt S2L'!I116)</f>
        <v/>
      </c>
      <c r="I312" s="167" t="str">
        <f aca="false">IF('10. Gantt S2L'!B116="","",'10. Gantt S2L'!K116)</f>
        <v/>
      </c>
      <c r="J312" s="168" t="str">
        <f aca="false">IF('10. Gantt S2L'!B116="","",'10. Gantt S2L'!M116)</f>
        <v/>
      </c>
      <c r="K312" s="168" t="str">
        <f aca="false">IF('10. Gantt S2L'!B116="","",'10. Gantt S2L'!N116)</f>
        <v/>
      </c>
      <c r="L312" s="169" t="str">
        <f aca="false">IF('10. Gantt S2L'!B116="","",'10. Gantt S2L'!O116)</f>
        <v/>
      </c>
      <c r="M312" s="169" t="str">
        <f aca="false">IF('10. Gantt S2L'!B116="","",'10. Gantt S2L'!P116)</f>
        <v/>
      </c>
      <c r="N312" s="1" t="str">
        <f aca="false">IF('10. Gantt S2L'!B116="","",'10. Gantt S2L'!Q116)</f>
        <v/>
      </c>
      <c r="O312" s="1" t="str">
        <f aca="false">IF('10. Gantt S2L'!B116="","",'10. Gantt S2L'!R116)</f>
        <v/>
      </c>
      <c r="P312" s="1" t="str">
        <f aca="false">IF('10. Gantt S2L'!B116="","",'10. Gantt S2L'!S116)</f>
        <v/>
      </c>
      <c r="Q312" s="1" t="str">
        <f aca="false">IF('10. Gantt S2L'!B116="","",'10. Gantt S2L'!T116)</f>
        <v/>
      </c>
      <c r="R312" s="1" t="str">
        <f aca="false">IF('10. Gantt S2L'!B116="","",'10. Gantt S2L'!U116)</f>
        <v/>
      </c>
    </row>
    <row r="313" customFormat="false" ht="15" hidden="false" customHeight="true" outlineLevel="0" collapsed="false">
      <c r="A313" s="1" t="str">
        <f aca="false">IF('10. Gantt S2L'!B117="","","SPACE TO LEAD")</f>
        <v/>
      </c>
      <c r="B313" s="1" t="str">
        <f aca="false">IF('10. Gantt S2L'!B117="","",'10. Gantt S2L'!B117)</f>
        <v/>
      </c>
      <c r="C313" s="1" t="str">
        <f aca="false">IF('10. Gantt S2L'!B117="","",'10. Gantt S2L'!C117)</f>
        <v/>
      </c>
      <c r="D313" s="1" t="str">
        <f aca="false">IF('10. Gantt S2L'!B117="","",'10. Gantt S2L'!D117)</f>
        <v/>
      </c>
      <c r="E313" s="1" t="str">
        <f aca="false">IF('10. Gantt S2L'!B117="","",'10. Gantt S2L'!E117)</f>
        <v/>
      </c>
      <c r="F313" s="1" t="str">
        <f aca="false">IF('10. Gantt S2L'!B117="","",'10. Gantt S2L'!G117)</f>
        <v/>
      </c>
      <c r="G313" s="167" t="str">
        <f aca="false">IF('10. Gantt S2L'!B117="","",'10. Gantt S2L'!H117)</f>
        <v/>
      </c>
      <c r="H313" s="167" t="str">
        <f aca="false">IF('10. Gantt S2L'!B117="","",'10. Gantt S2L'!I117)</f>
        <v/>
      </c>
      <c r="I313" s="167" t="str">
        <f aca="false">IF('10. Gantt S2L'!B117="","",'10. Gantt S2L'!K117)</f>
        <v/>
      </c>
      <c r="J313" s="168" t="str">
        <f aca="false">IF('10. Gantt S2L'!B117="","",'10. Gantt S2L'!M117)</f>
        <v/>
      </c>
      <c r="K313" s="168" t="str">
        <f aca="false">IF('10. Gantt S2L'!B117="","",'10. Gantt S2L'!N117)</f>
        <v/>
      </c>
      <c r="L313" s="169" t="str">
        <f aca="false">IF('10. Gantt S2L'!B117="","",'10. Gantt S2L'!O117)</f>
        <v/>
      </c>
      <c r="M313" s="169" t="str">
        <f aca="false">IF('10. Gantt S2L'!B117="","",'10. Gantt S2L'!P117)</f>
        <v/>
      </c>
      <c r="N313" s="1" t="str">
        <f aca="false">IF('10. Gantt S2L'!B117="","",'10. Gantt S2L'!Q117)</f>
        <v/>
      </c>
      <c r="O313" s="1" t="str">
        <f aca="false">IF('10. Gantt S2L'!B117="","",'10. Gantt S2L'!R117)</f>
        <v/>
      </c>
      <c r="P313" s="1" t="str">
        <f aca="false">IF('10. Gantt S2L'!B117="","",'10. Gantt S2L'!S117)</f>
        <v/>
      </c>
      <c r="Q313" s="1" t="str">
        <f aca="false">IF('10. Gantt S2L'!B117="","",'10. Gantt S2L'!T117)</f>
        <v/>
      </c>
      <c r="R313" s="1" t="str">
        <f aca="false">IF('10. Gantt S2L'!B117="","",'10. Gantt S2L'!U117)</f>
        <v/>
      </c>
    </row>
    <row r="314" customFormat="false" ht="15" hidden="false" customHeight="true" outlineLevel="0" collapsed="false">
      <c r="A314" s="1" t="str">
        <f aca="false">IF('10. Gantt S2L'!B118="","","SPACE TO LEAD")</f>
        <v/>
      </c>
      <c r="B314" s="1" t="str">
        <f aca="false">IF('10. Gantt S2L'!B118="","",'10. Gantt S2L'!B118)</f>
        <v/>
      </c>
      <c r="C314" s="1" t="str">
        <f aca="false">IF('10. Gantt S2L'!B118="","",'10. Gantt S2L'!C118)</f>
        <v/>
      </c>
      <c r="D314" s="1" t="str">
        <f aca="false">IF('10. Gantt S2L'!B118="","",'10. Gantt S2L'!D118)</f>
        <v/>
      </c>
      <c r="E314" s="1" t="str">
        <f aca="false">IF('10. Gantt S2L'!B118="","",'10. Gantt S2L'!E118)</f>
        <v/>
      </c>
      <c r="F314" s="1" t="str">
        <f aca="false">IF('10. Gantt S2L'!B118="","",'10. Gantt S2L'!G118)</f>
        <v/>
      </c>
      <c r="G314" s="167" t="str">
        <f aca="false">IF('10. Gantt S2L'!B118="","",'10. Gantt S2L'!H118)</f>
        <v/>
      </c>
      <c r="H314" s="167" t="str">
        <f aca="false">IF('10. Gantt S2L'!B118="","",'10. Gantt S2L'!I118)</f>
        <v/>
      </c>
      <c r="I314" s="167" t="str">
        <f aca="false">IF('10. Gantt S2L'!B118="","",'10. Gantt S2L'!K118)</f>
        <v/>
      </c>
      <c r="J314" s="168" t="str">
        <f aca="false">IF('10. Gantt S2L'!B118="","",'10. Gantt S2L'!M118)</f>
        <v/>
      </c>
      <c r="K314" s="168" t="str">
        <f aca="false">IF('10. Gantt S2L'!B118="","",'10. Gantt S2L'!N118)</f>
        <v/>
      </c>
      <c r="L314" s="169" t="str">
        <f aca="false">IF('10. Gantt S2L'!B118="","",'10. Gantt S2L'!O118)</f>
        <v/>
      </c>
      <c r="M314" s="169" t="str">
        <f aca="false">IF('10. Gantt S2L'!B118="","",'10. Gantt S2L'!P118)</f>
        <v/>
      </c>
      <c r="N314" s="1" t="str">
        <f aca="false">IF('10. Gantt S2L'!B118="","",'10. Gantt S2L'!Q118)</f>
        <v/>
      </c>
      <c r="O314" s="1" t="str">
        <f aca="false">IF('10. Gantt S2L'!B118="","",'10. Gantt S2L'!R118)</f>
        <v/>
      </c>
      <c r="P314" s="1" t="str">
        <f aca="false">IF('10. Gantt S2L'!B118="","",'10. Gantt S2L'!S118)</f>
        <v/>
      </c>
      <c r="Q314" s="1" t="str">
        <f aca="false">IF('10. Gantt S2L'!B118="","",'10. Gantt S2L'!T118)</f>
        <v/>
      </c>
      <c r="R314" s="1" t="str">
        <f aca="false">IF('10. Gantt S2L'!B118="","",'10. Gantt S2L'!U118)</f>
        <v/>
      </c>
    </row>
    <row r="315" customFormat="false" ht="15" hidden="false" customHeight="true" outlineLevel="0" collapsed="false">
      <c r="A315" s="1" t="str">
        <f aca="false">IF('10. Gantt S2L'!B119="","","SPACE TO LEAD")</f>
        <v/>
      </c>
      <c r="B315" s="1" t="str">
        <f aca="false">IF('10. Gantt S2L'!B119="","",'10. Gantt S2L'!B119)</f>
        <v/>
      </c>
      <c r="C315" s="1" t="str">
        <f aca="false">IF('10. Gantt S2L'!B119="","",'10. Gantt S2L'!C119)</f>
        <v/>
      </c>
      <c r="D315" s="1" t="str">
        <f aca="false">IF('10. Gantt S2L'!B119="","",'10. Gantt S2L'!D119)</f>
        <v/>
      </c>
      <c r="E315" s="1" t="str">
        <f aca="false">IF('10. Gantt S2L'!B119="","",'10. Gantt S2L'!E119)</f>
        <v/>
      </c>
      <c r="F315" s="1" t="str">
        <f aca="false">IF('10. Gantt S2L'!B119="","",'10. Gantt S2L'!G119)</f>
        <v/>
      </c>
      <c r="G315" s="167" t="str">
        <f aca="false">IF('10. Gantt S2L'!B119="","",'10. Gantt S2L'!H119)</f>
        <v/>
      </c>
      <c r="H315" s="167" t="str">
        <f aca="false">IF('10. Gantt S2L'!B119="","",'10. Gantt S2L'!I119)</f>
        <v/>
      </c>
      <c r="I315" s="167" t="str">
        <f aca="false">IF('10. Gantt S2L'!B119="","",'10. Gantt S2L'!K119)</f>
        <v/>
      </c>
      <c r="J315" s="168" t="str">
        <f aca="false">IF('10. Gantt S2L'!B119="","",'10. Gantt S2L'!M119)</f>
        <v/>
      </c>
      <c r="K315" s="168" t="str">
        <f aca="false">IF('10. Gantt S2L'!B119="","",'10. Gantt S2L'!N119)</f>
        <v/>
      </c>
      <c r="L315" s="169" t="str">
        <f aca="false">IF('10. Gantt S2L'!B119="","",'10. Gantt S2L'!O119)</f>
        <v/>
      </c>
      <c r="M315" s="169" t="str">
        <f aca="false">IF('10. Gantt S2L'!B119="","",'10. Gantt S2L'!P119)</f>
        <v/>
      </c>
      <c r="N315" s="1" t="str">
        <f aca="false">IF('10. Gantt S2L'!B119="","",'10. Gantt S2L'!Q119)</f>
        <v/>
      </c>
      <c r="O315" s="1" t="str">
        <f aca="false">IF('10. Gantt S2L'!B119="","",'10. Gantt S2L'!R119)</f>
        <v/>
      </c>
      <c r="P315" s="1" t="str">
        <f aca="false">IF('10. Gantt S2L'!B119="","",'10. Gantt S2L'!S119)</f>
        <v/>
      </c>
      <c r="Q315" s="1" t="str">
        <f aca="false">IF('10. Gantt S2L'!B119="","",'10. Gantt S2L'!T119)</f>
        <v/>
      </c>
      <c r="R315" s="1" t="str">
        <f aca="false">IF('10. Gantt S2L'!B119="","",'10. Gantt S2L'!U119)</f>
        <v/>
      </c>
    </row>
    <row r="316" customFormat="false" ht="15" hidden="false" customHeight="true" outlineLevel="0" collapsed="false">
      <c r="A316" s="1" t="str">
        <f aca="false">IF('10. Gantt S2L'!B120="","","SPACE TO LEAD")</f>
        <v/>
      </c>
      <c r="B316" s="1" t="str">
        <f aca="false">IF('10. Gantt S2L'!B120="","",'10. Gantt S2L'!B120)</f>
        <v/>
      </c>
      <c r="C316" s="1" t="str">
        <f aca="false">IF('10. Gantt S2L'!B120="","",'10. Gantt S2L'!C120)</f>
        <v/>
      </c>
      <c r="D316" s="1" t="str">
        <f aca="false">IF('10. Gantt S2L'!B120="","",'10. Gantt S2L'!D120)</f>
        <v/>
      </c>
      <c r="E316" s="1" t="str">
        <f aca="false">IF('10. Gantt S2L'!B120="","",'10. Gantt S2L'!E120)</f>
        <v/>
      </c>
      <c r="F316" s="1" t="str">
        <f aca="false">IF('10. Gantt S2L'!B120="","",'10. Gantt S2L'!G120)</f>
        <v/>
      </c>
      <c r="G316" s="167" t="str">
        <f aca="false">IF('10. Gantt S2L'!B120="","",'10. Gantt S2L'!H120)</f>
        <v/>
      </c>
      <c r="H316" s="167" t="str">
        <f aca="false">IF('10. Gantt S2L'!B120="","",'10. Gantt S2L'!I120)</f>
        <v/>
      </c>
      <c r="I316" s="167" t="str">
        <f aca="false">IF('10. Gantt S2L'!B120="","",'10. Gantt S2L'!K120)</f>
        <v/>
      </c>
      <c r="J316" s="168" t="str">
        <f aca="false">IF('10. Gantt S2L'!B120="","",'10. Gantt S2L'!M120)</f>
        <v/>
      </c>
      <c r="K316" s="168" t="str">
        <f aca="false">IF('10. Gantt S2L'!B120="","",'10. Gantt S2L'!N120)</f>
        <v/>
      </c>
      <c r="L316" s="169" t="str">
        <f aca="false">IF('10. Gantt S2L'!B120="","",'10. Gantt S2L'!O120)</f>
        <v/>
      </c>
      <c r="M316" s="169" t="str">
        <f aca="false">IF('10. Gantt S2L'!B120="","",'10. Gantt S2L'!P120)</f>
        <v/>
      </c>
      <c r="N316" s="1" t="str">
        <f aca="false">IF('10. Gantt S2L'!B120="","",'10. Gantt S2L'!Q120)</f>
        <v/>
      </c>
      <c r="O316" s="1" t="str">
        <f aca="false">IF('10. Gantt S2L'!B120="","",'10. Gantt S2L'!R120)</f>
        <v/>
      </c>
      <c r="P316" s="1" t="str">
        <f aca="false">IF('10. Gantt S2L'!B120="","",'10. Gantt S2L'!S120)</f>
        <v/>
      </c>
      <c r="Q316" s="1" t="str">
        <f aca="false">IF('10. Gantt S2L'!B120="","",'10. Gantt S2L'!T120)</f>
        <v/>
      </c>
      <c r="R316" s="1" t="str">
        <f aca="false">IF('10. Gantt S2L'!B120="","",'10. Gantt S2L'!U120)</f>
        <v/>
      </c>
    </row>
    <row r="317" customFormat="false" ht="15" hidden="false" customHeight="true" outlineLevel="0" collapsed="false">
      <c r="A317" s="1" t="str">
        <f aca="false">IF('10. Gantt S2L'!B121="","","SPACE TO LEAD")</f>
        <v/>
      </c>
      <c r="B317" s="1" t="str">
        <f aca="false">IF('10. Gantt S2L'!B121="","",'10. Gantt S2L'!B121)</f>
        <v/>
      </c>
      <c r="C317" s="1" t="str">
        <f aca="false">IF('10. Gantt S2L'!B121="","",'10. Gantt S2L'!C121)</f>
        <v/>
      </c>
      <c r="D317" s="1" t="str">
        <f aca="false">IF('10. Gantt S2L'!B121="","",'10. Gantt S2L'!D121)</f>
        <v/>
      </c>
      <c r="E317" s="1" t="str">
        <f aca="false">IF('10. Gantt S2L'!B121="","",'10. Gantt S2L'!E121)</f>
        <v/>
      </c>
      <c r="F317" s="1" t="str">
        <f aca="false">IF('10. Gantt S2L'!B121="","",'10. Gantt S2L'!G121)</f>
        <v/>
      </c>
      <c r="G317" s="167" t="str">
        <f aca="false">IF('10. Gantt S2L'!B121="","",'10. Gantt S2L'!H121)</f>
        <v/>
      </c>
      <c r="H317" s="167" t="str">
        <f aca="false">IF('10. Gantt S2L'!B121="","",'10. Gantt S2L'!I121)</f>
        <v/>
      </c>
      <c r="I317" s="167" t="str">
        <f aca="false">IF('10. Gantt S2L'!B121="","",'10. Gantt S2L'!K121)</f>
        <v/>
      </c>
      <c r="J317" s="168" t="str">
        <f aca="false">IF('10. Gantt S2L'!B121="","",'10. Gantt S2L'!M121)</f>
        <v/>
      </c>
      <c r="K317" s="168" t="str">
        <f aca="false">IF('10. Gantt S2L'!B121="","",'10. Gantt S2L'!N121)</f>
        <v/>
      </c>
      <c r="L317" s="169" t="str">
        <f aca="false">IF('10. Gantt S2L'!B121="","",'10. Gantt S2L'!O121)</f>
        <v/>
      </c>
      <c r="M317" s="169" t="str">
        <f aca="false">IF('10. Gantt S2L'!B121="","",'10. Gantt S2L'!P121)</f>
        <v/>
      </c>
      <c r="N317" s="1" t="str">
        <f aca="false">IF('10. Gantt S2L'!B121="","",'10. Gantt S2L'!Q121)</f>
        <v/>
      </c>
      <c r="O317" s="1" t="str">
        <f aca="false">IF('10. Gantt S2L'!B121="","",'10. Gantt S2L'!R121)</f>
        <v/>
      </c>
      <c r="P317" s="1" t="str">
        <f aca="false">IF('10. Gantt S2L'!B121="","",'10. Gantt S2L'!S121)</f>
        <v/>
      </c>
      <c r="Q317" s="1" t="str">
        <f aca="false">IF('10. Gantt S2L'!B121="","",'10. Gantt S2L'!T121)</f>
        <v/>
      </c>
      <c r="R317" s="1" t="str">
        <f aca="false">IF('10. Gantt S2L'!B121="","",'10. Gantt S2L'!U121)</f>
        <v/>
      </c>
    </row>
    <row r="318" customFormat="false" ht="15" hidden="false" customHeight="true" outlineLevel="0" collapsed="false">
      <c r="A318" s="1" t="str">
        <f aca="false">IF('10. Gantt S2L'!B122="","","SPACE TO LEAD")</f>
        <v/>
      </c>
      <c r="B318" s="1" t="str">
        <f aca="false">IF('10. Gantt S2L'!B122="","",'10. Gantt S2L'!B122)</f>
        <v/>
      </c>
      <c r="C318" s="1" t="str">
        <f aca="false">IF('10. Gantt S2L'!B122="","",'10. Gantt S2L'!C122)</f>
        <v/>
      </c>
      <c r="D318" s="1" t="str">
        <f aca="false">IF('10. Gantt S2L'!B122="","",'10. Gantt S2L'!D122)</f>
        <v/>
      </c>
      <c r="E318" s="1" t="str">
        <f aca="false">IF('10. Gantt S2L'!B122="","",'10. Gantt S2L'!E122)</f>
        <v/>
      </c>
      <c r="F318" s="1" t="str">
        <f aca="false">IF('10. Gantt S2L'!B122="","",'10. Gantt S2L'!G122)</f>
        <v/>
      </c>
      <c r="G318" s="167" t="str">
        <f aca="false">IF('10. Gantt S2L'!B122="","",'10. Gantt S2L'!H122)</f>
        <v/>
      </c>
      <c r="H318" s="167" t="str">
        <f aca="false">IF('10. Gantt S2L'!B122="","",'10. Gantt S2L'!I122)</f>
        <v/>
      </c>
      <c r="I318" s="167" t="str">
        <f aca="false">IF('10. Gantt S2L'!B122="","",'10. Gantt S2L'!K122)</f>
        <v/>
      </c>
      <c r="J318" s="168" t="str">
        <f aca="false">IF('10. Gantt S2L'!B122="","",'10. Gantt S2L'!M122)</f>
        <v/>
      </c>
      <c r="K318" s="168" t="str">
        <f aca="false">IF('10. Gantt S2L'!B122="","",'10. Gantt S2L'!N122)</f>
        <v/>
      </c>
      <c r="L318" s="169" t="str">
        <f aca="false">IF('10. Gantt S2L'!B122="","",'10. Gantt S2L'!O122)</f>
        <v/>
      </c>
      <c r="M318" s="169" t="str">
        <f aca="false">IF('10. Gantt S2L'!B122="","",'10. Gantt S2L'!P122)</f>
        <v/>
      </c>
      <c r="N318" s="1" t="str">
        <f aca="false">IF('10. Gantt S2L'!B122="","",'10. Gantt S2L'!Q122)</f>
        <v/>
      </c>
      <c r="O318" s="1" t="str">
        <f aca="false">IF('10. Gantt S2L'!B122="","",'10. Gantt S2L'!R122)</f>
        <v/>
      </c>
      <c r="P318" s="1" t="str">
        <f aca="false">IF('10. Gantt S2L'!B122="","",'10. Gantt S2L'!S122)</f>
        <v/>
      </c>
      <c r="Q318" s="1" t="str">
        <f aca="false">IF('10. Gantt S2L'!B122="","",'10. Gantt S2L'!T122)</f>
        <v/>
      </c>
      <c r="R318" s="1" t="str">
        <f aca="false">IF('10. Gantt S2L'!B122="","",'10. Gantt S2L'!U122)</f>
        <v/>
      </c>
    </row>
    <row r="319" customFormat="false" ht="15" hidden="false" customHeight="true" outlineLevel="0" collapsed="false">
      <c r="A319" s="1" t="str">
        <f aca="false">IF('10. Gantt S2L'!B123="","","SPACE TO LEAD")</f>
        <v/>
      </c>
      <c r="B319" s="1" t="str">
        <f aca="false">IF('10. Gantt S2L'!B123="","",'10. Gantt S2L'!B123)</f>
        <v/>
      </c>
      <c r="C319" s="1" t="str">
        <f aca="false">IF('10. Gantt S2L'!B123="","",'10. Gantt S2L'!C123)</f>
        <v/>
      </c>
      <c r="D319" s="1" t="str">
        <f aca="false">IF('10. Gantt S2L'!B123="","",'10. Gantt S2L'!D123)</f>
        <v/>
      </c>
      <c r="E319" s="1" t="str">
        <f aca="false">IF('10. Gantt S2L'!B123="","",'10. Gantt S2L'!E123)</f>
        <v/>
      </c>
      <c r="F319" s="1" t="str">
        <f aca="false">IF('10. Gantt S2L'!B123="","",'10. Gantt S2L'!G123)</f>
        <v/>
      </c>
      <c r="G319" s="167" t="str">
        <f aca="false">IF('10. Gantt S2L'!B123="","",'10. Gantt S2L'!H123)</f>
        <v/>
      </c>
      <c r="H319" s="167" t="str">
        <f aca="false">IF('10. Gantt S2L'!B123="","",'10. Gantt S2L'!I123)</f>
        <v/>
      </c>
      <c r="I319" s="167" t="str">
        <f aca="false">IF('10. Gantt S2L'!B123="","",'10. Gantt S2L'!K123)</f>
        <v/>
      </c>
      <c r="J319" s="168" t="str">
        <f aca="false">IF('10. Gantt S2L'!B123="","",'10. Gantt S2L'!M123)</f>
        <v/>
      </c>
      <c r="K319" s="168" t="str">
        <f aca="false">IF('10. Gantt S2L'!B123="","",'10. Gantt S2L'!N123)</f>
        <v/>
      </c>
      <c r="L319" s="169" t="str">
        <f aca="false">IF('10. Gantt S2L'!B123="","",'10. Gantt S2L'!O123)</f>
        <v/>
      </c>
      <c r="M319" s="169" t="str">
        <f aca="false">IF('10. Gantt S2L'!B123="","",'10. Gantt S2L'!P123)</f>
        <v/>
      </c>
      <c r="N319" s="1" t="str">
        <f aca="false">IF('10. Gantt S2L'!B123="","",'10. Gantt S2L'!Q123)</f>
        <v/>
      </c>
      <c r="O319" s="1" t="str">
        <f aca="false">IF('10. Gantt S2L'!B123="","",'10. Gantt S2L'!R123)</f>
        <v/>
      </c>
      <c r="P319" s="1" t="str">
        <f aca="false">IF('10. Gantt S2L'!B123="","",'10. Gantt S2L'!S123)</f>
        <v/>
      </c>
      <c r="Q319" s="1" t="str">
        <f aca="false">IF('10. Gantt S2L'!B123="","",'10. Gantt S2L'!T123)</f>
        <v/>
      </c>
      <c r="R319" s="1" t="str">
        <f aca="false">IF('10. Gantt S2L'!B123="","",'10. Gantt S2L'!U123)</f>
        <v/>
      </c>
    </row>
    <row r="320" customFormat="false" ht="15" hidden="false" customHeight="true" outlineLevel="0" collapsed="false">
      <c r="A320" s="1" t="str">
        <f aca="false">IF('10. Gantt S2L'!B124="","","SPACE TO LEAD")</f>
        <v/>
      </c>
      <c r="B320" s="1" t="str">
        <f aca="false">IF('10. Gantt S2L'!B124="","",'10. Gantt S2L'!B124)</f>
        <v/>
      </c>
      <c r="C320" s="1" t="str">
        <f aca="false">IF('10. Gantt S2L'!B124="","",'10. Gantt S2L'!C124)</f>
        <v/>
      </c>
      <c r="D320" s="1" t="str">
        <f aca="false">IF('10. Gantt S2L'!B124="","",'10. Gantt S2L'!D124)</f>
        <v/>
      </c>
      <c r="E320" s="1" t="str">
        <f aca="false">IF('10. Gantt S2L'!B124="","",'10. Gantt S2L'!E124)</f>
        <v/>
      </c>
      <c r="F320" s="1" t="str">
        <f aca="false">IF('10. Gantt S2L'!B124="","",'10. Gantt S2L'!G124)</f>
        <v/>
      </c>
      <c r="G320" s="167" t="str">
        <f aca="false">IF('10. Gantt S2L'!B124="","",'10. Gantt S2L'!H124)</f>
        <v/>
      </c>
      <c r="H320" s="167" t="str">
        <f aca="false">IF('10. Gantt S2L'!B124="","",'10. Gantt S2L'!I124)</f>
        <v/>
      </c>
      <c r="I320" s="167" t="str">
        <f aca="false">IF('10. Gantt S2L'!B124="","",'10. Gantt S2L'!K124)</f>
        <v/>
      </c>
      <c r="J320" s="168" t="str">
        <f aca="false">IF('10. Gantt S2L'!B124="","",'10. Gantt S2L'!M124)</f>
        <v/>
      </c>
      <c r="K320" s="168" t="str">
        <f aca="false">IF('10. Gantt S2L'!B124="","",'10. Gantt S2L'!N124)</f>
        <v/>
      </c>
      <c r="L320" s="169" t="str">
        <f aca="false">IF('10. Gantt S2L'!B124="","",'10. Gantt S2L'!O124)</f>
        <v/>
      </c>
      <c r="M320" s="169" t="str">
        <f aca="false">IF('10. Gantt S2L'!B124="","",'10. Gantt S2L'!P124)</f>
        <v/>
      </c>
      <c r="N320" s="1" t="str">
        <f aca="false">IF('10. Gantt S2L'!B124="","",'10. Gantt S2L'!Q124)</f>
        <v/>
      </c>
      <c r="O320" s="1" t="str">
        <f aca="false">IF('10. Gantt S2L'!B124="","",'10. Gantt S2L'!R124)</f>
        <v/>
      </c>
      <c r="P320" s="1" t="str">
        <f aca="false">IF('10. Gantt S2L'!B124="","",'10. Gantt S2L'!S124)</f>
        <v/>
      </c>
      <c r="Q320" s="1" t="str">
        <f aca="false">IF('10. Gantt S2L'!B124="","",'10. Gantt S2L'!T124)</f>
        <v/>
      </c>
      <c r="R320" s="1" t="str">
        <f aca="false">IF('10. Gantt S2L'!B124="","",'10. Gantt S2L'!U124)</f>
        <v/>
      </c>
    </row>
    <row r="321" customFormat="false" ht="15" hidden="false" customHeight="true" outlineLevel="0" collapsed="false">
      <c r="A321" s="1" t="str">
        <f aca="false">IF('10. Gantt S2L'!B125="","","SPACE TO LEAD")</f>
        <v/>
      </c>
      <c r="B321" s="1" t="str">
        <f aca="false">IF('10. Gantt S2L'!B125="","",'10. Gantt S2L'!B125)</f>
        <v/>
      </c>
      <c r="C321" s="1" t="str">
        <f aca="false">IF('10. Gantt S2L'!B125="","",'10. Gantt S2L'!C125)</f>
        <v/>
      </c>
      <c r="D321" s="1" t="str">
        <f aca="false">IF('10. Gantt S2L'!B125="","",'10. Gantt S2L'!D125)</f>
        <v/>
      </c>
      <c r="E321" s="1" t="str">
        <f aca="false">IF('10. Gantt S2L'!B125="","",'10. Gantt S2L'!E125)</f>
        <v/>
      </c>
      <c r="F321" s="1" t="str">
        <f aca="false">IF('10. Gantt S2L'!B125="","",'10. Gantt S2L'!G125)</f>
        <v/>
      </c>
      <c r="G321" s="167" t="str">
        <f aca="false">IF('10. Gantt S2L'!B125="","",'10. Gantt S2L'!H125)</f>
        <v/>
      </c>
      <c r="H321" s="167" t="str">
        <f aca="false">IF('10. Gantt S2L'!B125="","",'10. Gantt S2L'!I125)</f>
        <v/>
      </c>
      <c r="I321" s="167" t="str">
        <f aca="false">IF('10. Gantt S2L'!B125="","",'10. Gantt S2L'!K125)</f>
        <v/>
      </c>
      <c r="J321" s="168" t="str">
        <f aca="false">IF('10. Gantt S2L'!B125="","",'10. Gantt S2L'!M125)</f>
        <v/>
      </c>
      <c r="K321" s="168" t="str">
        <f aca="false">IF('10. Gantt S2L'!B125="","",'10. Gantt S2L'!N125)</f>
        <v/>
      </c>
      <c r="L321" s="169" t="str">
        <f aca="false">IF('10. Gantt S2L'!B125="","",'10. Gantt S2L'!O125)</f>
        <v/>
      </c>
      <c r="M321" s="169" t="str">
        <f aca="false">IF('10. Gantt S2L'!B125="","",'10. Gantt S2L'!P125)</f>
        <v/>
      </c>
      <c r="N321" s="1" t="str">
        <f aca="false">IF('10. Gantt S2L'!B125="","",'10. Gantt S2L'!Q125)</f>
        <v/>
      </c>
      <c r="O321" s="1" t="str">
        <f aca="false">IF('10. Gantt S2L'!B125="","",'10. Gantt S2L'!R125)</f>
        <v/>
      </c>
      <c r="P321" s="1" t="str">
        <f aca="false">IF('10. Gantt S2L'!B125="","",'10. Gantt S2L'!S125)</f>
        <v/>
      </c>
      <c r="Q321" s="1" t="str">
        <f aca="false">IF('10. Gantt S2L'!B125="","",'10. Gantt S2L'!T125)</f>
        <v/>
      </c>
      <c r="R321" s="1" t="str">
        <f aca="false">IF('10. Gantt S2L'!B125="","",'10. Gantt S2L'!U125)</f>
        <v/>
      </c>
    </row>
    <row r="322" customFormat="false" ht="15" hidden="false" customHeight="true" outlineLevel="0" collapsed="false">
      <c r="A322" s="1" t="str">
        <f aca="false">IF('10. Gantt S2L'!B126="","","SPACE TO LEAD")</f>
        <v/>
      </c>
      <c r="B322" s="1" t="str">
        <f aca="false">IF('10. Gantt S2L'!B126="","",'10. Gantt S2L'!B126)</f>
        <v/>
      </c>
      <c r="C322" s="1" t="str">
        <f aca="false">IF('10. Gantt S2L'!B126="","",'10. Gantt S2L'!C126)</f>
        <v/>
      </c>
      <c r="D322" s="1" t="str">
        <f aca="false">IF('10. Gantt S2L'!B126="","",'10. Gantt S2L'!D126)</f>
        <v/>
      </c>
      <c r="E322" s="1" t="str">
        <f aca="false">IF('10. Gantt S2L'!B126="","",'10. Gantt S2L'!E126)</f>
        <v/>
      </c>
      <c r="F322" s="1" t="str">
        <f aca="false">IF('10. Gantt S2L'!B126="","",'10. Gantt S2L'!G126)</f>
        <v/>
      </c>
      <c r="G322" s="167" t="str">
        <f aca="false">IF('10. Gantt S2L'!B126="","",'10. Gantt S2L'!H126)</f>
        <v/>
      </c>
      <c r="H322" s="167" t="str">
        <f aca="false">IF('10. Gantt S2L'!B126="","",'10. Gantt S2L'!I126)</f>
        <v/>
      </c>
      <c r="I322" s="167" t="str">
        <f aca="false">IF('10. Gantt S2L'!B126="","",'10. Gantt S2L'!K126)</f>
        <v/>
      </c>
      <c r="J322" s="168" t="str">
        <f aca="false">IF('10. Gantt S2L'!B126="","",'10. Gantt S2L'!M126)</f>
        <v/>
      </c>
      <c r="K322" s="168" t="str">
        <f aca="false">IF('10. Gantt S2L'!B126="","",'10. Gantt S2L'!N126)</f>
        <v/>
      </c>
      <c r="L322" s="169" t="str">
        <f aca="false">IF('10. Gantt S2L'!B126="","",'10. Gantt S2L'!O126)</f>
        <v/>
      </c>
      <c r="M322" s="169" t="str">
        <f aca="false">IF('10. Gantt S2L'!B126="","",'10. Gantt S2L'!P126)</f>
        <v/>
      </c>
      <c r="N322" s="1" t="str">
        <f aca="false">IF('10. Gantt S2L'!B126="","",'10. Gantt S2L'!Q126)</f>
        <v/>
      </c>
      <c r="O322" s="1" t="str">
        <f aca="false">IF('10. Gantt S2L'!B126="","",'10. Gantt S2L'!R126)</f>
        <v/>
      </c>
      <c r="P322" s="1" t="str">
        <f aca="false">IF('10. Gantt S2L'!B126="","",'10. Gantt S2L'!S126)</f>
        <v/>
      </c>
      <c r="Q322" s="1" t="str">
        <f aca="false">IF('10. Gantt S2L'!B126="","",'10. Gantt S2L'!T126)</f>
        <v/>
      </c>
      <c r="R322" s="1" t="str">
        <f aca="false">IF('10. Gantt S2L'!B126="","",'10. Gantt S2L'!U126)</f>
        <v/>
      </c>
    </row>
    <row r="323" customFormat="false" ht="15" hidden="false" customHeight="true" outlineLevel="0" collapsed="false">
      <c r="A323" s="1" t="str">
        <f aca="false">IF('10. Gantt S2L'!B127="","","SPACE TO LEAD")</f>
        <v/>
      </c>
      <c r="B323" s="1" t="str">
        <f aca="false">IF('10. Gantt S2L'!B127="","",'10. Gantt S2L'!B127)</f>
        <v/>
      </c>
      <c r="C323" s="1" t="str">
        <f aca="false">IF('10. Gantt S2L'!B127="","",'10. Gantt S2L'!C127)</f>
        <v/>
      </c>
      <c r="D323" s="1" t="str">
        <f aca="false">IF('10. Gantt S2L'!B127="","",'10. Gantt S2L'!D127)</f>
        <v/>
      </c>
      <c r="E323" s="1" t="str">
        <f aca="false">IF('10. Gantt S2L'!B127="","",'10. Gantt S2L'!E127)</f>
        <v/>
      </c>
      <c r="F323" s="1" t="str">
        <f aca="false">IF('10. Gantt S2L'!B127="","",'10. Gantt S2L'!G127)</f>
        <v/>
      </c>
      <c r="G323" s="167" t="str">
        <f aca="false">IF('10. Gantt S2L'!B127="","",'10. Gantt S2L'!H127)</f>
        <v/>
      </c>
      <c r="H323" s="167" t="str">
        <f aca="false">IF('10. Gantt S2L'!B127="","",'10. Gantt S2L'!I127)</f>
        <v/>
      </c>
      <c r="I323" s="167" t="str">
        <f aca="false">IF('10. Gantt S2L'!B127="","",'10. Gantt S2L'!K127)</f>
        <v/>
      </c>
      <c r="J323" s="168" t="str">
        <f aca="false">IF('10. Gantt S2L'!B127="","",'10. Gantt S2L'!M127)</f>
        <v/>
      </c>
      <c r="K323" s="168" t="str">
        <f aca="false">IF('10. Gantt S2L'!B127="","",'10. Gantt S2L'!N127)</f>
        <v/>
      </c>
      <c r="L323" s="169" t="str">
        <f aca="false">IF('10. Gantt S2L'!B127="","",'10. Gantt S2L'!O127)</f>
        <v/>
      </c>
      <c r="M323" s="169" t="str">
        <f aca="false">IF('10. Gantt S2L'!B127="","",'10. Gantt S2L'!P127)</f>
        <v/>
      </c>
      <c r="N323" s="1" t="str">
        <f aca="false">IF('10. Gantt S2L'!B127="","",'10. Gantt S2L'!Q127)</f>
        <v/>
      </c>
      <c r="O323" s="1" t="str">
        <f aca="false">IF('10. Gantt S2L'!B127="","",'10. Gantt S2L'!R127)</f>
        <v/>
      </c>
      <c r="P323" s="1" t="str">
        <f aca="false">IF('10. Gantt S2L'!B127="","",'10. Gantt S2L'!S127)</f>
        <v/>
      </c>
      <c r="Q323" s="1" t="str">
        <f aca="false">IF('10. Gantt S2L'!B127="","",'10. Gantt S2L'!T127)</f>
        <v/>
      </c>
      <c r="R323" s="1" t="str">
        <f aca="false">IF('10. Gantt S2L'!B127="","",'10. Gantt S2L'!U127)</f>
        <v/>
      </c>
    </row>
    <row r="324" customFormat="false" ht="15" hidden="false" customHeight="true" outlineLevel="0" collapsed="false">
      <c r="A324" s="1" t="str">
        <f aca="false">IF('10. Gantt S2L'!B128="","","SPACE TO LEAD")</f>
        <v/>
      </c>
      <c r="B324" s="1" t="str">
        <f aca="false">IF('10. Gantt S2L'!B128="","",'10. Gantt S2L'!B128)</f>
        <v/>
      </c>
      <c r="C324" s="1" t="str">
        <f aca="false">IF('10. Gantt S2L'!B128="","",'10. Gantt S2L'!C128)</f>
        <v/>
      </c>
      <c r="D324" s="1" t="str">
        <f aca="false">IF('10. Gantt S2L'!B128="","",'10. Gantt S2L'!D128)</f>
        <v/>
      </c>
      <c r="E324" s="1" t="str">
        <f aca="false">IF('10. Gantt S2L'!B128="","",'10. Gantt S2L'!E128)</f>
        <v/>
      </c>
      <c r="F324" s="1" t="str">
        <f aca="false">IF('10. Gantt S2L'!B128="","",'10. Gantt S2L'!G128)</f>
        <v/>
      </c>
      <c r="G324" s="167" t="str">
        <f aca="false">IF('10. Gantt S2L'!B128="","",'10. Gantt S2L'!H128)</f>
        <v/>
      </c>
      <c r="H324" s="167" t="str">
        <f aca="false">IF('10. Gantt S2L'!B128="","",'10. Gantt S2L'!I128)</f>
        <v/>
      </c>
      <c r="I324" s="167" t="str">
        <f aca="false">IF('10. Gantt S2L'!B128="","",'10. Gantt S2L'!K128)</f>
        <v/>
      </c>
      <c r="J324" s="168" t="str">
        <f aca="false">IF('10. Gantt S2L'!B128="","",'10. Gantt S2L'!M128)</f>
        <v/>
      </c>
      <c r="K324" s="168" t="str">
        <f aca="false">IF('10. Gantt S2L'!B128="","",'10. Gantt S2L'!N128)</f>
        <v/>
      </c>
      <c r="L324" s="169" t="str">
        <f aca="false">IF('10. Gantt S2L'!B128="","",'10. Gantt S2L'!O128)</f>
        <v/>
      </c>
      <c r="M324" s="169" t="str">
        <f aca="false">IF('10. Gantt S2L'!B128="","",'10. Gantt S2L'!P128)</f>
        <v/>
      </c>
      <c r="N324" s="1" t="str">
        <f aca="false">IF('10. Gantt S2L'!B128="","",'10. Gantt S2L'!Q128)</f>
        <v/>
      </c>
      <c r="O324" s="1" t="str">
        <f aca="false">IF('10. Gantt S2L'!B128="","",'10. Gantt S2L'!R128)</f>
        <v/>
      </c>
      <c r="P324" s="1" t="str">
        <f aca="false">IF('10. Gantt S2L'!B128="","",'10. Gantt S2L'!S128)</f>
        <v/>
      </c>
      <c r="Q324" s="1" t="str">
        <f aca="false">IF('10. Gantt S2L'!B128="","",'10. Gantt S2L'!T128)</f>
        <v/>
      </c>
      <c r="R324" s="1" t="str">
        <f aca="false">IF('10. Gantt S2L'!B128="","",'10. Gantt S2L'!U128)</f>
        <v/>
      </c>
    </row>
    <row r="325" customFormat="false" ht="15" hidden="false" customHeight="true" outlineLevel="0" collapsed="false">
      <c r="A325" s="1" t="str">
        <f aca="false">IF('10. Gantt S2L'!B129="","","SPACE TO LEAD")</f>
        <v/>
      </c>
      <c r="B325" s="1" t="str">
        <f aca="false">IF('10. Gantt S2L'!B129="","",'10. Gantt S2L'!B129)</f>
        <v/>
      </c>
      <c r="C325" s="1" t="str">
        <f aca="false">IF('10. Gantt S2L'!B129="","",'10. Gantt S2L'!C129)</f>
        <v/>
      </c>
      <c r="D325" s="1" t="str">
        <f aca="false">IF('10. Gantt S2L'!B129="","",'10. Gantt S2L'!D129)</f>
        <v/>
      </c>
      <c r="E325" s="1" t="str">
        <f aca="false">IF('10. Gantt S2L'!B129="","",'10. Gantt S2L'!E129)</f>
        <v/>
      </c>
      <c r="F325" s="1" t="str">
        <f aca="false">IF('10. Gantt S2L'!B129="","",'10. Gantt S2L'!G129)</f>
        <v/>
      </c>
      <c r="G325" s="167" t="str">
        <f aca="false">IF('10. Gantt S2L'!B129="","",'10. Gantt S2L'!H129)</f>
        <v/>
      </c>
      <c r="H325" s="167" t="str">
        <f aca="false">IF('10. Gantt S2L'!B129="","",'10. Gantt S2L'!I129)</f>
        <v/>
      </c>
      <c r="I325" s="167" t="str">
        <f aca="false">IF('10. Gantt S2L'!B129="","",'10. Gantt S2L'!K129)</f>
        <v/>
      </c>
      <c r="J325" s="168" t="str">
        <f aca="false">IF('10. Gantt S2L'!B129="","",'10. Gantt S2L'!M129)</f>
        <v/>
      </c>
      <c r="K325" s="168" t="str">
        <f aca="false">IF('10. Gantt S2L'!B129="","",'10. Gantt S2L'!N129)</f>
        <v/>
      </c>
      <c r="L325" s="169" t="str">
        <f aca="false">IF('10. Gantt S2L'!B129="","",'10. Gantt S2L'!O129)</f>
        <v/>
      </c>
      <c r="M325" s="169" t="str">
        <f aca="false">IF('10. Gantt S2L'!B129="","",'10. Gantt S2L'!P129)</f>
        <v/>
      </c>
      <c r="N325" s="1" t="str">
        <f aca="false">IF('10. Gantt S2L'!B129="","",'10. Gantt S2L'!Q129)</f>
        <v/>
      </c>
      <c r="O325" s="1" t="str">
        <f aca="false">IF('10. Gantt S2L'!B129="","",'10. Gantt S2L'!R129)</f>
        <v/>
      </c>
      <c r="P325" s="1" t="str">
        <f aca="false">IF('10. Gantt S2L'!B129="","",'10. Gantt S2L'!S129)</f>
        <v/>
      </c>
      <c r="Q325" s="1" t="str">
        <f aca="false">IF('10. Gantt S2L'!B129="","",'10. Gantt S2L'!T129)</f>
        <v/>
      </c>
      <c r="R325" s="1" t="str">
        <f aca="false">IF('10. Gantt S2L'!B129="","",'10. Gantt S2L'!U129)</f>
        <v/>
      </c>
    </row>
    <row r="326" customFormat="false" ht="15" hidden="false" customHeight="true" outlineLevel="0" collapsed="false">
      <c r="A326" s="1" t="str">
        <f aca="false">IF('10. Gantt S2L'!B130="","","SPACE TO LEAD")</f>
        <v/>
      </c>
      <c r="B326" s="1" t="str">
        <f aca="false">IF('10. Gantt S2L'!B130="","",'10. Gantt S2L'!B130)</f>
        <v/>
      </c>
      <c r="C326" s="1" t="str">
        <f aca="false">IF('10. Gantt S2L'!B130="","",'10. Gantt S2L'!C130)</f>
        <v/>
      </c>
      <c r="D326" s="1" t="str">
        <f aca="false">IF('10. Gantt S2L'!B130="","",'10. Gantt S2L'!D130)</f>
        <v/>
      </c>
      <c r="E326" s="1" t="str">
        <f aca="false">IF('10. Gantt S2L'!B130="","",'10. Gantt S2L'!E130)</f>
        <v/>
      </c>
      <c r="F326" s="1" t="str">
        <f aca="false">IF('10. Gantt S2L'!B130="","",'10. Gantt S2L'!G130)</f>
        <v/>
      </c>
      <c r="G326" s="167" t="str">
        <f aca="false">IF('10. Gantt S2L'!B130="","",'10. Gantt S2L'!H130)</f>
        <v/>
      </c>
      <c r="H326" s="167" t="str">
        <f aca="false">IF('10. Gantt S2L'!B130="","",'10. Gantt S2L'!I130)</f>
        <v/>
      </c>
      <c r="I326" s="167" t="str">
        <f aca="false">IF('10. Gantt S2L'!B130="","",'10. Gantt S2L'!K130)</f>
        <v/>
      </c>
      <c r="J326" s="168" t="str">
        <f aca="false">IF('10. Gantt S2L'!B130="","",'10. Gantt S2L'!M130)</f>
        <v/>
      </c>
      <c r="K326" s="168" t="str">
        <f aca="false">IF('10. Gantt S2L'!B130="","",'10. Gantt S2L'!N130)</f>
        <v/>
      </c>
      <c r="L326" s="169" t="str">
        <f aca="false">IF('10. Gantt S2L'!B130="","",'10. Gantt S2L'!O130)</f>
        <v/>
      </c>
      <c r="M326" s="169" t="str">
        <f aca="false">IF('10. Gantt S2L'!B130="","",'10. Gantt S2L'!P130)</f>
        <v/>
      </c>
      <c r="N326" s="1" t="str">
        <f aca="false">IF('10. Gantt S2L'!B130="","",'10. Gantt S2L'!Q130)</f>
        <v/>
      </c>
      <c r="O326" s="1" t="str">
        <f aca="false">IF('10. Gantt S2L'!B130="","",'10. Gantt S2L'!R130)</f>
        <v/>
      </c>
      <c r="P326" s="1" t="str">
        <f aca="false">IF('10. Gantt S2L'!B130="","",'10. Gantt S2L'!S130)</f>
        <v/>
      </c>
      <c r="Q326" s="1" t="str">
        <f aca="false">IF('10. Gantt S2L'!B130="","",'10. Gantt S2L'!T130)</f>
        <v/>
      </c>
      <c r="R326" s="1" t="str">
        <f aca="false">IF('10. Gantt S2L'!B130="","",'10. Gantt S2L'!U130)</f>
        <v/>
      </c>
    </row>
    <row r="327" customFormat="false" ht="15" hidden="false" customHeight="true" outlineLevel="0" collapsed="false">
      <c r="A327" s="1" t="str">
        <f aca="false">IF('10. Gantt S2L'!B131="","","SPACE TO LEAD")</f>
        <v/>
      </c>
      <c r="B327" s="1" t="str">
        <f aca="false">IF('10. Gantt S2L'!B131="","",'10. Gantt S2L'!B131)</f>
        <v/>
      </c>
      <c r="C327" s="1" t="str">
        <f aca="false">IF('10. Gantt S2L'!B131="","",'10. Gantt S2L'!C131)</f>
        <v/>
      </c>
      <c r="D327" s="1" t="str">
        <f aca="false">IF('10. Gantt S2L'!B131="","",'10. Gantt S2L'!D131)</f>
        <v/>
      </c>
      <c r="E327" s="1" t="str">
        <f aca="false">IF('10. Gantt S2L'!B131="","",'10. Gantt S2L'!E131)</f>
        <v/>
      </c>
      <c r="F327" s="1" t="str">
        <f aca="false">IF('10. Gantt S2L'!B131="","",'10. Gantt S2L'!G131)</f>
        <v/>
      </c>
      <c r="G327" s="167" t="str">
        <f aca="false">IF('10. Gantt S2L'!B131="","",'10. Gantt S2L'!H131)</f>
        <v/>
      </c>
      <c r="H327" s="167" t="str">
        <f aca="false">IF('10. Gantt S2L'!B131="","",'10. Gantt S2L'!I131)</f>
        <v/>
      </c>
      <c r="I327" s="167" t="str">
        <f aca="false">IF('10. Gantt S2L'!B131="","",'10. Gantt S2L'!K131)</f>
        <v/>
      </c>
      <c r="J327" s="168" t="str">
        <f aca="false">IF('10. Gantt S2L'!B131="","",'10. Gantt S2L'!M131)</f>
        <v/>
      </c>
      <c r="K327" s="168" t="str">
        <f aca="false">IF('10. Gantt S2L'!B131="","",'10. Gantt S2L'!N131)</f>
        <v/>
      </c>
      <c r="L327" s="169" t="str">
        <f aca="false">IF('10. Gantt S2L'!B131="","",'10. Gantt S2L'!O131)</f>
        <v/>
      </c>
      <c r="M327" s="169" t="str">
        <f aca="false">IF('10. Gantt S2L'!B131="","",'10. Gantt S2L'!P131)</f>
        <v/>
      </c>
      <c r="N327" s="1" t="str">
        <f aca="false">IF('10. Gantt S2L'!B131="","",'10. Gantt S2L'!Q131)</f>
        <v/>
      </c>
      <c r="O327" s="1" t="str">
        <f aca="false">IF('10. Gantt S2L'!B131="","",'10. Gantt S2L'!R131)</f>
        <v/>
      </c>
      <c r="P327" s="1" t="str">
        <f aca="false">IF('10. Gantt S2L'!B131="","",'10. Gantt S2L'!S131)</f>
        <v/>
      </c>
      <c r="Q327" s="1" t="str">
        <f aca="false">IF('10. Gantt S2L'!B131="","",'10. Gantt S2L'!T131)</f>
        <v/>
      </c>
      <c r="R327" s="1" t="str">
        <f aca="false">IF('10. Gantt S2L'!B131="","",'10. Gantt S2L'!U131)</f>
        <v/>
      </c>
    </row>
    <row r="328" customFormat="false" ht="15" hidden="false" customHeight="true" outlineLevel="0" collapsed="false">
      <c r="A328" s="1" t="str">
        <f aca="false">IF('10. Gantt S2L'!B132="","","SPACE TO LEAD")</f>
        <v/>
      </c>
      <c r="B328" s="1" t="str">
        <f aca="false">IF('10. Gantt S2L'!B132="","",'10. Gantt S2L'!B132)</f>
        <v/>
      </c>
      <c r="C328" s="1" t="str">
        <f aca="false">IF('10. Gantt S2L'!B132="","",'10. Gantt S2L'!C132)</f>
        <v/>
      </c>
      <c r="D328" s="1" t="str">
        <f aca="false">IF('10. Gantt S2L'!B132="","",'10. Gantt S2L'!D132)</f>
        <v/>
      </c>
      <c r="E328" s="1" t="str">
        <f aca="false">IF('10. Gantt S2L'!B132="","",'10. Gantt S2L'!E132)</f>
        <v/>
      </c>
      <c r="F328" s="1" t="str">
        <f aca="false">IF('10. Gantt S2L'!B132="","",'10. Gantt S2L'!G132)</f>
        <v/>
      </c>
      <c r="G328" s="167" t="str">
        <f aca="false">IF('10. Gantt S2L'!B132="","",'10. Gantt S2L'!H132)</f>
        <v/>
      </c>
      <c r="H328" s="167" t="str">
        <f aca="false">IF('10. Gantt S2L'!B132="","",'10. Gantt S2L'!I132)</f>
        <v/>
      </c>
      <c r="I328" s="167" t="str">
        <f aca="false">IF('10. Gantt S2L'!B132="","",'10. Gantt S2L'!K132)</f>
        <v/>
      </c>
      <c r="J328" s="168" t="str">
        <f aca="false">IF('10. Gantt S2L'!B132="","",'10. Gantt S2L'!M132)</f>
        <v/>
      </c>
      <c r="K328" s="168" t="str">
        <f aca="false">IF('10. Gantt S2L'!B132="","",'10. Gantt S2L'!N132)</f>
        <v/>
      </c>
      <c r="L328" s="169" t="str">
        <f aca="false">IF('10. Gantt S2L'!B132="","",'10. Gantt S2L'!O132)</f>
        <v/>
      </c>
      <c r="M328" s="169" t="str">
        <f aca="false">IF('10. Gantt S2L'!B132="","",'10. Gantt S2L'!P132)</f>
        <v/>
      </c>
      <c r="N328" s="1" t="str">
        <f aca="false">IF('10. Gantt S2L'!B132="","",'10. Gantt S2L'!Q132)</f>
        <v/>
      </c>
      <c r="O328" s="1" t="str">
        <f aca="false">IF('10. Gantt S2L'!B132="","",'10. Gantt S2L'!R132)</f>
        <v/>
      </c>
      <c r="P328" s="1" t="str">
        <f aca="false">IF('10. Gantt S2L'!B132="","",'10. Gantt S2L'!S132)</f>
        <v/>
      </c>
      <c r="Q328" s="1" t="str">
        <f aca="false">IF('10. Gantt S2L'!B132="","",'10. Gantt S2L'!T132)</f>
        <v/>
      </c>
      <c r="R328" s="1" t="str">
        <f aca="false">IF('10. Gantt S2L'!B132="","",'10. Gantt S2L'!U132)</f>
        <v/>
      </c>
    </row>
    <row r="329" customFormat="false" ht="15" hidden="false" customHeight="true" outlineLevel="0" collapsed="false">
      <c r="A329" s="1" t="str">
        <f aca="false">IF('10. Gantt S2L'!B133="","","SPACE TO LEAD")</f>
        <v/>
      </c>
      <c r="B329" s="1" t="str">
        <f aca="false">IF('10. Gantt S2L'!B133="","",'10. Gantt S2L'!B133)</f>
        <v/>
      </c>
      <c r="C329" s="1" t="str">
        <f aca="false">IF('10. Gantt S2L'!B133="","",'10. Gantt S2L'!C133)</f>
        <v/>
      </c>
      <c r="D329" s="1" t="str">
        <f aca="false">IF('10. Gantt S2L'!B133="","",'10. Gantt S2L'!D133)</f>
        <v/>
      </c>
      <c r="E329" s="1" t="str">
        <f aca="false">IF('10. Gantt S2L'!B133="","",'10. Gantt S2L'!E133)</f>
        <v/>
      </c>
      <c r="F329" s="1" t="str">
        <f aca="false">IF('10. Gantt S2L'!B133="","",'10. Gantt S2L'!G133)</f>
        <v/>
      </c>
      <c r="G329" s="167" t="str">
        <f aca="false">IF('10. Gantt S2L'!B133="","",'10. Gantt S2L'!H133)</f>
        <v/>
      </c>
      <c r="H329" s="167" t="str">
        <f aca="false">IF('10. Gantt S2L'!B133="","",'10. Gantt S2L'!I133)</f>
        <v/>
      </c>
      <c r="I329" s="167" t="str">
        <f aca="false">IF('10. Gantt S2L'!B133="","",'10. Gantt S2L'!K133)</f>
        <v/>
      </c>
      <c r="J329" s="168" t="str">
        <f aca="false">IF('10. Gantt S2L'!B133="","",'10. Gantt S2L'!M133)</f>
        <v/>
      </c>
      <c r="K329" s="168" t="str">
        <f aca="false">IF('10. Gantt S2L'!B133="","",'10. Gantt S2L'!N133)</f>
        <v/>
      </c>
      <c r="L329" s="169" t="str">
        <f aca="false">IF('10. Gantt S2L'!B133="","",'10. Gantt S2L'!O133)</f>
        <v/>
      </c>
      <c r="M329" s="169" t="str">
        <f aca="false">IF('10. Gantt S2L'!B133="","",'10. Gantt S2L'!P133)</f>
        <v/>
      </c>
      <c r="N329" s="1" t="str">
        <f aca="false">IF('10. Gantt S2L'!B133="","",'10. Gantt S2L'!Q133)</f>
        <v/>
      </c>
      <c r="O329" s="1" t="str">
        <f aca="false">IF('10. Gantt S2L'!B133="","",'10. Gantt S2L'!R133)</f>
        <v/>
      </c>
      <c r="P329" s="1" t="str">
        <f aca="false">IF('10. Gantt S2L'!B133="","",'10. Gantt S2L'!S133)</f>
        <v/>
      </c>
      <c r="Q329" s="1" t="str">
        <f aca="false">IF('10. Gantt S2L'!B133="","",'10. Gantt S2L'!T133)</f>
        <v/>
      </c>
      <c r="R329" s="1" t="str">
        <f aca="false">IF('10. Gantt S2L'!B133="","",'10. Gantt S2L'!U133)</f>
        <v/>
      </c>
    </row>
    <row r="330" customFormat="false" ht="15" hidden="false" customHeight="true" outlineLevel="0" collapsed="false">
      <c r="A330" s="1" t="str">
        <f aca="false">IF('10. Gantt S2L'!B134="","","SPACE TO LEAD")</f>
        <v/>
      </c>
      <c r="B330" s="1" t="str">
        <f aca="false">IF('10. Gantt S2L'!B134="","",'10. Gantt S2L'!B134)</f>
        <v/>
      </c>
      <c r="C330" s="1" t="str">
        <f aca="false">IF('10. Gantt S2L'!B134="","",'10. Gantt S2L'!C134)</f>
        <v/>
      </c>
      <c r="D330" s="1" t="str">
        <f aca="false">IF('10. Gantt S2L'!B134="","",'10. Gantt S2L'!D134)</f>
        <v/>
      </c>
      <c r="E330" s="1" t="str">
        <f aca="false">IF('10. Gantt S2L'!B134="","",'10. Gantt S2L'!E134)</f>
        <v/>
      </c>
      <c r="F330" s="1" t="str">
        <f aca="false">IF('10. Gantt S2L'!B134="","",'10. Gantt S2L'!G134)</f>
        <v/>
      </c>
      <c r="G330" s="167" t="str">
        <f aca="false">IF('10. Gantt S2L'!B134="","",'10. Gantt S2L'!H134)</f>
        <v/>
      </c>
      <c r="H330" s="167" t="str">
        <f aca="false">IF('10. Gantt S2L'!B134="","",'10. Gantt S2L'!I134)</f>
        <v/>
      </c>
      <c r="I330" s="167" t="str">
        <f aca="false">IF('10. Gantt S2L'!B134="","",'10. Gantt S2L'!K134)</f>
        <v/>
      </c>
      <c r="J330" s="168" t="str">
        <f aca="false">IF('10. Gantt S2L'!B134="","",'10. Gantt S2L'!M134)</f>
        <v/>
      </c>
      <c r="K330" s="168" t="str">
        <f aca="false">IF('10. Gantt S2L'!B134="","",'10. Gantt S2L'!N134)</f>
        <v/>
      </c>
      <c r="L330" s="169" t="str">
        <f aca="false">IF('10. Gantt S2L'!B134="","",'10. Gantt S2L'!O134)</f>
        <v/>
      </c>
      <c r="M330" s="169" t="str">
        <f aca="false">IF('10. Gantt S2L'!B134="","",'10. Gantt S2L'!P134)</f>
        <v/>
      </c>
      <c r="N330" s="1" t="str">
        <f aca="false">IF('10. Gantt S2L'!B134="","",'10. Gantt S2L'!Q134)</f>
        <v/>
      </c>
      <c r="O330" s="1" t="str">
        <f aca="false">IF('10. Gantt S2L'!B134="","",'10. Gantt S2L'!R134)</f>
        <v/>
      </c>
      <c r="P330" s="1" t="str">
        <f aca="false">IF('10. Gantt S2L'!B134="","",'10. Gantt S2L'!S134)</f>
        <v/>
      </c>
      <c r="Q330" s="1" t="str">
        <f aca="false">IF('10. Gantt S2L'!B134="","",'10. Gantt S2L'!T134)</f>
        <v/>
      </c>
      <c r="R330" s="1" t="str">
        <f aca="false">IF('10. Gantt S2L'!B134="","",'10. Gantt S2L'!U134)</f>
        <v/>
      </c>
    </row>
    <row r="331" customFormat="false" ht="15" hidden="false" customHeight="true" outlineLevel="0" collapsed="false">
      <c r="A331" s="1" t="str">
        <f aca="false">IF('10. Gantt S2L'!B135="","","SPACE TO LEAD")</f>
        <v/>
      </c>
      <c r="B331" s="1" t="str">
        <f aca="false">IF('10. Gantt S2L'!B135="","",'10. Gantt S2L'!B135)</f>
        <v/>
      </c>
      <c r="C331" s="1" t="str">
        <f aca="false">IF('10. Gantt S2L'!B135="","",'10. Gantt S2L'!C135)</f>
        <v/>
      </c>
      <c r="D331" s="1" t="str">
        <f aca="false">IF('10. Gantt S2L'!B135="","",'10. Gantt S2L'!D135)</f>
        <v/>
      </c>
      <c r="E331" s="1" t="str">
        <f aca="false">IF('10. Gantt S2L'!B135="","",'10. Gantt S2L'!E135)</f>
        <v/>
      </c>
      <c r="F331" s="1" t="str">
        <f aca="false">IF('10. Gantt S2L'!B135="","",'10. Gantt S2L'!G135)</f>
        <v/>
      </c>
      <c r="G331" s="167" t="str">
        <f aca="false">IF('10. Gantt S2L'!B135="","",'10. Gantt S2L'!H135)</f>
        <v/>
      </c>
      <c r="H331" s="167" t="str">
        <f aca="false">IF('10. Gantt S2L'!B135="","",'10. Gantt S2L'!I135)</f>
        <v/>
      </c>
      <c r="I331" s="167" t="str">
        <f aca="false">IF('10. Gantt S2L'!B135="","",'10. Gantt S2L'!K135)</f>
        <v/>
      </c>
      <c r="J331" s="168" t="str">
        <f aca="false">IF('10. Gantt S2L'!B135="","",'10. Gantt S2L'!M135)</f>
        <v/>
      </c>
      <c r="K331" s="168" t="str">
        <f aca="false">IF('10. Gantt S2L'!B135="","",'10. Gantt S2L'!N135)</f>
        <v/>
      </c>
      <c r="L331" s="169" t="str">
        <f aca="false">IF('10. Gantt S2L'!B135="","",'10. Gantt S2L'!O135)</f>
        <v/>
      </c>
      <c r="M331" s="169" t="str">
        <f aca="false">IF('10. Gantt S2L'!B135="","",'10. Gantt S2L'!P135)</f>
        <v/>
      </c>
      <c r="N331" s="1" t="str">
        <f aca="false">IF('10. Gantt S2L'!B135="","",'10. Gantt S2L'!Q135)</f>
        <v/>
      </c>
      <c r="O331" s="1" t="str">
        <f aca="false">IF('10. Gantt S2L'!B135="","",'10. Gantt S2L'!R135)</f>
        <v/>
      </c>
      <c r="P331" s="1" t="str">
        <f aca="false">IF('10. Gantt S2L'!B135="","",'10. Gantt S2L'!S135)</f>
        <v/>
      </c>
      <c r="Q331" s="1" t="str">
        <f aca="false">IF('10. Gantt S2L'!B135="","",'10. Gantt S2L'!T135)</f>
        <v/>
      </c>
      <c r="R331" s="1" t="str">
        <f aca="false">IF('10. Gantt S2L'!B135="","",'10. Gantt S2L'!U135)</f>
        <v/>
      </c>
    </row>
    <row r="332" customFormat="false" ht="15" hidden="false" customHeight="true" outlineLevel="0" collapsed="false">
      <c r="A332" s="1" t="str">
        <f aca="false">IF('10. Gantt S2L'!B136="","","SPACE TO LEAD")</f>
        <v/>
      </c>
      <c r="B332" s="1" t="str">
        <f aca="false">IF('10. Gantt S2L'!B136="","",'10. Gantt S2L'!B136)</f>
        <v/>
      </c>
      <c r="C332" s="1" t="str">
        <f aca="false">IF('10. Gantt S2L'!B136="","",'10. Gantt S2L'!C136)</f>
        <v/>
      </c>
      <c r="D332" s="1" t="str">
        <f aca="false">IF('10. Gantt S2L'!B136="","",'10. Gantt S2L'!D136)</f>
        <v/>
      </c>
      <c r="E332" s="1" t="str">
        <f aca="false">IF('10. Gantt S2L'!B136="","",'10. Gantt S2L'!E136)</f>
        <v/>
      </c>
      <c r="F332" s="1" t="str">
        <f aca="false">IF('10. Gantt S2L'!B136="","",'10. Gantt S2L'!G136)</f>
        <v/>
      </c>
      <c r="G332" s="167" t="str">
        <f aca="false">IF('10. Gantt S2L'!B136="","",'10. Gantt S2L'!H136)</f>
        <v/>
      </c>
      <c r="H332" s="167" t="str">
        <f aca="false">IF('10. Gantt S2L'!B136="","",'10. Gantt S2L'!I136)</f>
        <v/>
      </c>
      <c r="I332" s="167" t="str">
        <f aca="false">IF('10. Gantt S2L'!B136="","",'10. Gantt S2L'!K136)</f>
        <v/>
      </c>
      <c r="J332" s="168" t="str">
        <f aca="false">IF('10. Gantt S2L'!B136="","",'10. Gantt S2L'!M136)</f>
        <v/>
      </c>
      <c r="K332" s="168" t="str">
        <f aca="false">IF('10. Gantt S2L'!B136="","",'10. Gantt S2L'!N136)</f>
        <v/>
      </c>
      <c r="L332" s="169" t="str">
        <f aca="false">IF('10. Gantt S2L'!B136="","",'10. Gantt S2L'!O136)</f>
        <v/>
      </c>
      <c r="M332" s="169" t="str">
        <f aca="false">IF('10. Gantt S2L'!B136="","",'10. Gantt S2L'!P136)</f>
        <v/>
      </c>
      <c r="N332" s="1" t="str">
        <f aca="false">IF('10. Gantt S2L'!B136="","",'10. Gantt S2L'!Q136)</f>
        <v/>
      </c>
      <c r="O332" s="1" t="str">
        <f aca="false">IF('10. Gantt S2L'!B136="","",'10. Gantt S2L'!R136)</f>
        <v/>
      </c>
      <c r="P332" s="1" t="str">
        <f aca="false">IF('10. Gantt S2L'!B136="","",'10. Gantt S2L'!S136)</f>
        <v/>
      </c>
      <c r="Q332" s="1" t="str">
        <f aca="false">IF('10. Gantt S2L'!B136="","",'10. Gantt S2L'!T136)</f>
        <v/>
      </c>
      <c r="R332" s="1" t="str">
        <f aca="false">IF('10. Gantt S2L'!B136="","",'10. Gantt S2L'!U136)</f>
        <v/>
      </c>
    </row>
    <row r="333" customFormat="false" ht="15" hidden="false" customHeight="true" outlineLevel="0" collapsed="false">
      <c r="A333" s="1" t="str">
        <f aca="false">IF('10. Gantt S2L'!B137="","","SPACE TO LEAD")</f>
        <v/>
      </c>
      <c r="B333" s="1" t="str">
        <f aca="false">IF('10. Gantt S2L'!B137="","",'10. Gantt S2L'!B137)</f>
        <v/>
      </c>
      <c r="C333" s="1" t="str">
        <f aca="false">IF('10. Gantt S2L'!B137="","",'10. Gantt S2L'!C137)</f>
        <v/>
      </c>
      <c r="D333" s="1" t="str">
        <f aca="false">IF('10. Gantt S2L'!B137="","",'10. Gantt S2L'!D137)</f>
        <v/>
      </c>
      <c r="E333" s="1" t="str">
        <f aca="false">IF('10. Gantt S2L'!B137="","",'10. Gantt S2L'!E137)</f>
        <v/>
      </c>
      <c r="F333" s="1" t="str">
        <f aca="false">IF('10. Gantt S2L'!B137="","",'10. Gantt S2L'!G137)</f>
        <v/>
      </c>
      <c r="G333" s="167" t="str">
        <f aca="false">IF('10. Gantt S2L'!B137="","",'10. Gantt S2L'!H137)</f>
        <v/>
      </c>
      <c r="H333" s="167" t="str">
        <f aca="false">IF('10. Gantt S2L'!B137="","",'10. Gantt S2L'!I137)</f>
        <v/>
      </c>
      <c r="I333" s="167" t="str">
        <f aca="false">IF('10. Gantt S2L'!B137="","",'10. Gantt S2L'!K137)</f>
        <v/>
      </c>
      <c r="J333" s="168" t="str">
        <f aca="false">IF('10. Gantt S2L'!B137="","",'10. Gantt S2L'!M137)</f>
        <v/>
      </c>
      <c r="K333" s="168" t="str">
        <f aca="false">IF('10. Gantt S2L'!B137="","",'10. Gantt S2L'!N137)</f>
        <v/>
      </c>
      <c r="L333" s="169" t="str">
        <f aca="false">IF('10. Gantt S2L'!B137="","",'10. Gantt S2L'!O137)</f>
        <v/>
      </c>
      <c r="M333" s="169" t="str">
        <f aca="false">IF('10. Gantt S2L'!B137="","",'10. Gantt S2L'!P137)</f>
        <v/>
      </c>
      <c r="N333" s="1" t="str">
        <f aca="false">IF('10. Gantt S2L'!B137="","",'10. Gantt S2L'!Q137)</f>
        <v/>
      </c>
      <c r="O333" s="1" t="str">
        <f aca="false">IF('10. Gantt S2L'!B137="","",'10. Gantt S2L'!R137)</f>
        <v/>
      </c>
      <c r="P333" s="1" t="str">
        <f aca="false">IF('10. Gantt S2L'!B137="","",'10. Gantt S2L'!S137)</f>
        <v/>
      </c>
      <c r="Q333" s="1" t="str">
        <f aca="false">IF('10. Gantt S2L'!B137="","",'10. Gantt S2L'!T137)</f>
        <v/>
      </c>
      <c r="R333" s="1" t="str">
        <f aca="false">IF('10. Gantt S2L'!B137="","",'10. Gantt S2L'!U137)</f>
        <v/>
      </c>
    </row>
    <row r="334" customFormat="false" ht="15" hidden="false" customHeight="true" outlineLevel="0" collapsed="false">
      <c r="A334" s="1" t="str">
        <f aca="false">IF('10. Gantt S2L'!B138="","","SPACE TO LEAD")</f>
        <v/>
      </c>
      <c r="B334" s="1" t="str">
        <f aca="false">IF('10. Gantt S2L'!B138="","",'10. Gantt S2L'!B138)</f>
        <v/>
      </c>
      <c r="C334" s="1" t="str">
        <f aca="false">IF('10. Gantt S2L'!B138="","",'10. Gantt S2L'!C138)</f>
        <v/>
      </c>
      <c r="D334" s="1" t="str">
        <f aca="false">IF('10. Gantt S2L'!B138="","",'10. Gantt S2L'!D138)</f>
        <v/>
      </c>
      <c r="E334" s="1" t="str">
        <f aca="false">IF('10. Gantt S2L'!B138="","",'10. Gantt S2L'!E138)</f>
        <v/>
      </c>
      <c r="F334" s="1" t="str">
        <f aca="false">IF('10. Gantt S2L'!B138="","",'10. Gantt S2L'!G138)</f>
        <v/>
      </c>
      <c r="G334" s="167" t="str">
        <f aca="false">IF('10. Gantt S2L'!B138="","",'10. Gantt S2L'!H138)</f>
        <v/>
      </c>
      <c r="H334" s="167" t="str">
        <f aca="false">IF('10. Gantt S2L'!B138="","",'10. Gantt S2L'!I138)</f>
        <v/>
      </c>
      <c r="I334" s="167" t="str">
        <f aca="false">IF('10. Gantt S2L'!B138="","",'10. Gantt S2L'!K138)</f>
        <v/>
      </c>
      <c r="J334" s="168" t="str">
        <f aca="false">IF('10. Gantt S2L'!B138="","",'10. Gantt S2L'!M138)</f>
        <v/>
      </c>
      <c r="K334" s="168" t="str">
        <f aca="false">IF('10. Gantt S2L'!B138="","",'10. Gantt S2L'!N138)</f>
        <v/>
      </c>
      <c r="L334" s="169" t="str">
        <f aca="false">IF('10. Gantt S2L'!B138="","",'10. Gantt S2L'!O138)</f>
        <v/>
      </c>
      <c r="M334" s="169" t="str">
        <f aca="false">IF('10. Gantt S2L'!B138="","",'10. Gantt S2L'!P138)</f>
        <v/>
      </c>
      <c r="N334" s="1" t="str">
        <f aca="false">IF('10. Gantt S2L'!B138="","",'10. Gantt S2L'!Q138)</f>
        <v/>
      </c>
      <c r="O334" s="1" t="str">
        <f aca="false">IF('10. Gantt S2L'!B138="","",'10. Gantt S2L'!R138)</f>
        <v/>
      </c>
      <c r="P334" s="1" t="str">
        <f aca="false">IF('10. Gantt S2L'!B138="","",'10. Gantt S2L'!S138)</f>
        <v/>
      </c>
      <c r="Q334" s="1" t="str">
        <f aca="false">IF('10. Gantt S2L'!B138="","",'10. Gantt S2L'!T138)</f>
        <v/>
      </c>
      <c r="R334" s="1" t="str">
        <f aca="false">IF('10. Gantt S2L'!B138="","",'10. Gantt S2L'!U138)</f>
        <v/>
      </c>
    </row>
    <row r="335" customFormat="false" ht="15" hidden="false" customHeight="true" outlineLevel="0" collapsed="false">
      <c r="A335" s="1" t="str">
        <f aca="false">IF('10. Gantt S2L'!B139="","","SPACE TO LEAD")</f>
        <v/>
      </c>
      <c r="B335" s="1" t="str">
        <f aca="false">IF('10. Gantt S2L'!B139="","",'10. Gantt S2L'!B139)</f>
        <v/>
      </c>
      <c r="C335" s="1" t="str">
        <f aca="false">IF('10. Gantt S2L'!B139="","",'10. Gantt S2L'!C139)</f>
        <v/>
      </c>
      <c r="D335" s="1" t="str">
        <f aca="false">IF('10. Gantt S2L'!B139="","",'10. Gantt S2L'!D139)</f>
        <v/>
      </c>
      <c r="E335" s="1" t="str">
        <f aca="false">IF('10. Gantt S2L'!B139="","",'10. Gantt S2L'!E139)</f>
        <v/>
      </c>
      <c r="F335" s="1" t="str">
        <f aca="false">IF('10. Gantt S2L'!B139="","",'10. Gantt S2L'!G139)</f>
        <v/>
      </c>
      <c r="G335" s="167" t="str">
        <f aca="false">IF('10. Gantt S2L'!B139="","",'10. Gantt S2L'!H139)</f>
        <v/>
      </c>
      <c r="H335" s="167" t="str">
        <f aca="false">IF('10. Gantt S2L'!B139="","",'10. Gantt S2L'!I139)</f>
        <v/>
      </c>
      <c r="I335" s="167" t="str">
        <f aca="false">IF('10. Gantt S2L'!B139="","",'10. Gantt S2L'!K139)</f>
        <v/>
      </c>
      <c r="J335" s="168" t="str">
        <f aca="false">IF('10. Gantt S2L'!B139="","",'10. Gantt S2L'!M139)</f>
        <v/>
      </c>
      <c r="K335" s="168" t="str">
        <f aca="false">IF('10. Gantt S2L'!B139="","",'10. Gantt S2L'!N139)</f>
        <v/>
      </c>
      <c r="L335" s="169" t="str">
        <f aca="false">IF('10. Gantt S2L'!B139="","",'10. Gantt S2L'!O139)</f>
        <v/>
      </c>
      <c r="M335" s="169" t="str">
        <f aca="false">IF('10. Gantt S2L'!B139="","",'10. Gantt S2L'!P139)</f>
        <v/>
      </c>
      <c r="N335" s="1" t="str">
        <f aca="false">IF('10. Gantt S2L'!B139="","",'10. Gantt S2L'!Q139)</f>
        <v/>
      </c>
      <c r="O335" s="1" t="str">
        <f aca="false">IF('10. Gantt S2L'!B139="","",'10. Gantt S2L'!R139)</f>
        <v/>
      </c>
      <c r="P335" s="1" t="str">
        <f aca="false">IF('10. Gantt S2L'!B139="","",'10. Gantt S2L'!S139)</f>
        <v/>
      </c>
      <c r="Q335" s="1" t="str">
        <f aca="false">IF('10. Gantt S2L'!B139="","",'10. Gantt S2L'!T139)</f>
        <v/>
      </c>
      <c r="R335" s="1" t="str">
        <f aca="false">IF('10. Gantt S2L'!B139="","",'10. Gantt S2L'!U139)</f>
        <v/>
      </c>
    </row>
    <row r="336" customFormat="false" ht="15" hidden="false" customHeight="true" outlineLevel="0" collapsed="false">
      <c r="A336" s="1" t="str">
        <f aca="false">IF('10. Gantt S2L'!B140="","","SPACE TO LEAD")</f>
        <v/>
      </c>
      <c r="B336" s="1" t="str">
        <f aca="false">IF('10. Gantt S2L'!B140="","",'10. Gantt S2L'!B140)</f>
        <v/>
      </c>
      <c r="C336" s="1" t="str">
        <f aca="false">IF('10. Gantt S2L'!B140="","",'10. Gantt S2L'!C140)</f>
        <v/>
      </c>
      <c r="D336" s="1" t="str">
        <f aca="false">IF('10. Gantt S2L'!B140="","",'10. Gantt S2L'!D140)</f>
        <v/>
      </c>
      <c r="E336" s="1" t="str">
        <f aca="false">IF('10. Gantt S2L'!B140="","",'10. Gantt S2L'!E140)</f>
        <v/>
      </c>
      <c r="F336" s="1" t="str">
        <f aca="false">IF('10. Gantt S2L'!B140="","",'10. Gantt S2L'!G140)</f>
        <v/>
      </c>
      <c r="G336" s="167" t="str">
        <f aca="false">IF('10. Gantt S2L'!B140="","",'10. Gantt S2L'!H140)</f>
        <v/>
      </c>
      <c r="H336" s="167" t="str">
        <f aca="false">IF('10. Gantt S2L'!B140="","",'10. Gantt S2L'!I140)</f>
        <v/>
      </c>
      <c r="I336" s="167" t="str">
        <f aca="false">IF('10. Gantt S2L'!B140="","",'10. Gantt S2L'!K140)</f>
        <v/>
      </c>
      <c r="J336" s="168" t="str">
        <f aca="false">IF('10. Gantt S2L'!B140="","",'10. Gantt S2L'!M140)</f>
        <v/>
      </c>
      <c r="K336" s="168" t="str">
        <f aca="false">IF('10. Gantt S2L'!B140="","",'10. Gantt S2L'!N140)</f>
        <v/>
      </c>
      <c r="L336" s="169" t="str">
        <f aca="false">IF('10. Gantt S2L'!B140="","",'10. Gantt S2L'!O140)</f>
        <v/>
      </c>
      <c r="M336" s="169" t="str">
        <f aca="false">IF('10. Gantt S2L'!B140="","",'10. Gantt S2L'!P140)</f>
        <v/>
      </c>
      <c r="N336" s="1" t="str">
        <f aca="false">IF('10. Gantt S2L'!B140="","",'10. Gantt S2L'!Q140)</f>
        <v/>
      </c>
      <c r="O336" s="1" t="str">
        <f aca="false">IF('10. Gantt S2L'!B140="","",'10. Gantt S2L'!R140)</f>
        <v/>
      </c>
      <c r="P336" s="1" t="str">
        <f aca="false">IF('10. Gantt S2L'!B140="","",'10. Gantt S2L'!S140)</f>
        <v/>
      </c>
      <c r="Q336" s="1" t="str">
        <f aca="false">IF('10. Gantt S2L'!B140="","",'10. Gantt S2L'!T140)</f>
        <v/>
      </c>
      <c r="R336" s="1" t="str">
        <f aca="false">IF('10. Gantt S2L'!B140="","",'10. Gantt S2L'!U140)</f>
        <v/>
      </c>
    </row>
    <row r="337" customFormat="false" ht="15" hidden="false" customHeight="true" outlineLevel="0" collapsed="false">
      <c r="A337" s="1" t="str">
        <f aca="false">IF('10. Gantt S2L'!B141="","","SPACE TO LEAD")</f>
        <v/>
      </c>
      <c r="B337" s="1" t="str">
        <f aca="false">IF('10. Gantt S2L'!B141="","",'10. Gantt S2L'!B141)</f>
        <v/>
      </c>
      <c r="C337" s="1" t="str">
        <f aca="false">IF('10. Gantt S2L'!B141="","",'10. Gantt S2L'!C141)</f>
        <v/>
      </c>
      <c r="D337" s="1" t="str">
        <f aca="false">IF('10. Gantt S2L'!B141="","",'10. Gantt S2L'!D141)</f>
        <v/>
      </c>
      <c r="E337" s="1" t="str">
        <f aca="false">IF('10. Gantt S2L'!B141="","",'10. Gantt S2L'!E141)</f>
        <v/>
      </c>
      <c r="F337" s="1" t="str">
        <f aca="false">IF('10. Gantt S2L'!B141="","",'10. Gantt S2L'!G141)</f>
        <v/>
      </c>
      <c r="G337" s="167" t="str">
        <f aca="false">IF('10. Gantt S2L'!B141="","",'10. Gantt S2L'!H141)</f>
        <v/>
      </c>
      <c r="H337" s="167" t="str">
        <f aca="false">IF('10. Gantt S2L'!B141="","",'10. Gantt S2L'!I141)</f>
        <v/>
      </c>
      <c r="I337" s="167" t="str">
        <f aca="false">IF('10. Gantt S2L'!B141="","",'10. Gantt S2L'!K141)</f>
        <v/>
      </c>
      <c r="J337" s="168" t="str">
        <f aca="false">IF('10. Gantt S2L'!B141="","",'10. Gantt S2L'!M141)</f>
        <v/>
      </c>
      <c r="K337" s="168" t="str">
        <f aca="false">IF('10. Gantt S2L'!B141="","",'10. Gantt S2L'!N141)</f>
        <v/>
      </c>
      <c r="L337" s="169" t="str">
        <f aca="false">IF('10. Gantt S2L'!B141="","",'10. Gantt S2L'!O141)</f>
        <v/>
      </c>
      <c r="M337" s="169" t="str">
        <f aca="false">IF('10. Gantt S2L'!B141="","",'10. Gantt S2L'!P141)</f>
        <v/>
      </c>
      <c r="N337" s="1" t="str">
        <f aca="false">IF('10. Gantt S2L'!B141="","",'10. Gantt S2L'!Q141)</f>
        <v/>
      </c>
      <c r="O337" s="1" t="str">
        <f aca="false">IF('10. Gantt S2L'!B141="","",'10. Gantt S2L'!R141)</f>
        <v/>
      </c>
      <c r="P337" s="1" t="str">
        <f aca="false">IF('10. Gantt S2L'!B141="","",'10. Gantt S2L'!S141)</f>
        <v/>
      </c>
      <c r="Q337" s="1" t="str">
        <f aca="false">IF('10. Gantt S2L'!B141="","",'10. Gantt S2L'!T141)</f>
        <v/>
      </c>
      <c r="R337" s="1" t="str">
        <f aca="false">IF('10. Gantt S2L'!B141="","",'10. Gantt S2L'!U141)</f>
        <v/>
      </c>
    </row>
    <row r="338" customFormat="false" ht="15" hidden="false" customHeight="true" outlineLevel="0" collapsed="false">
      <c r="A338" s="1" t="str">
        <f aca="false">IF('10. Gantt S2L'!B142="","","SPACE TO LEAD")</f>
        <v/>
      </c>
      <c r="B338" s="1" t="str">
        <f aca="false">IF('10. Gantt S2L'!B142="","",'10. Gantt S2L'!B142)</f>
        <v/>
      </c>
      <c r="C338" s="1" t="str">
        <f aca="false">IF('10. Gantt S2L'!B142="","",'10. Gantt S2L'!C142)</f>
        <v/>
      </c>
      <c r="D338" s="1" t="str">
        <f aca="false">IF('10. Gantt S2L'!B142="","",'10. Gantt S2L'!D142)</f>
        <v/>
      </c>
      <c r="E338" s="1" t="str">
        <f aca="false">IF('10. Gantt S2L'!B142="","",'10. Gantt S2L'!E142)</f>
        <v/>
      </c>
      <c r="F338" s="1" t="str">
        <f aca="false">IF('10. Gantt S2L'!B142="","",'10. Gantt S2L'!G142)</f>
        <v/>
      </c>
      <c r="G338" s="167" t="str">
        <f aca="false">IF('10. Gantt S2L'!B142="","",'10. Gantt S2L'!H142)</f>
        <v/>
      </c>
      <c r="H338" s="167" t="str">
        <f aca="false">IF('10. Gantt S2L'!B142="","",'10. Gantt S2L'!I142)</f>
        <v/>
      </c>
      <c r="I338" s="167" t="str">
        <f aca="false">IF('10. Gantt S2L'!B142="","",'10. Gantt S2L'!K142)</f>
        <v/>
      </c>
      <c r="J338" s="168" t="str">
        <f aca="false">IF('10. Gantt S2L'!B142="","",'10. Gantt S2L'!M142)</f>
        <v/>
      </c>
      <c r="K338" s="168" t="str">
        <f aca="false">IF('10. Gantt S2L'!B142="","",'10. Gantt S2L'!N142)</f>
        <v/>
      </c>
      <c r="L338" s="169" t="str">
        <f aca="false">IF('10. Gantt S2L'!B142="","",'10. Gantt S2L'!O142)</f>
        <v/>
      </c>
      <c r="M338" s="169" t="str">
        <f aca="false">IF('10. Gantt S2L'!B142="","",'10. Gantt S2L'!P142)</f>
        <v/>
      </c>
      <c r="N338" s="1" t="str">
        <f aca="false">IF('10. Gantt S2L'!B142="","",'10. Gantt S2L'!Q142)</f>
        <v/>
      </c>
      <c r="O338" s="1" t="str">
        <f aca="false">IF('10. Gantt S2L'!B142="","",'10. Gantt S2L'!R142)</f>
        <v/>
      </c>
      <c r="P338" s="1" t="str">
        <f aca="false">IF('10. Gantt S2L'!B142="","",'10. Gantt S2L'!S142)</f>
        <v/>
      </c>
      <c r="Q338" s="1" t="str">
        <f aca="false">IF('10. Gantt S2L'!B142="","",'10. Gantt S2L'!T142)</f>
        <v/>
      </c>
      <c r="R338" s="1" t="str">
        <f aca="false">IF('10. Gantt S2L'!B142="","",'10. Gantt S2L'!U142)</f>
        <v/>
      </c>
    </row>
    <row r="339" customFormat="false" ht="15" hidden="false" customHeight="true" outlineLevel="0" collapsed="false">
      <c r="A339" s="1" t="str">
        <f aca="false">IF('10. Gantt S2L'!B143="","","SPACE TO LEAD")</f>
        <v/>
      </c>
      <c r="B339" s="1" t="str">
        <f aca="false">IF('10. Gantt S2L'!B143="","",'10. Gantt S2L'!B143)</f>
        <v/>
      </c>
      <c r="C339" s="1" t="str">
        <f aca="false">IF('10. Gantt S2L'!B143="","",'10. Gantt S2L'!C143)</f>
        <v/>
      </c>
      <c r="D339" s="1" t="str">
        <f aca="false">IF('10. Gantt S2L'!B143="","",'10. Gantt S2L'!D143)</f>
        <v/>
      </c>
      <c r="E339" s="1" t="str">
        <f aca="false">IF('10. Gantt S2L'!B143="","",'10. Gantt S2L'!E143)</f>
        <v/>
      </c>
      <c r="F339" s="1" t="str">
        <f aca="false">IF('10. Gantt S2L'!B143="","",'10. Gantt S2L'!G143)</f>
        <v/>
      </c>
      <c r="G339" s="167" t="str">
        <f aca="false">IF('10. Gantt S2L'!B143="","",'10. Gantt S2L'!H143)</f>
        <v/>
      </c>
      <c r="H339" s="167" t="str">
        <f aca="false">IF('10. Gantt S2L'!B143="","",'10. Gantt S2L'!I143)</f>
        <v/>
      </c>
      <c r="I339" s="167" t="str">
        <f aca="false">IF('10. Gantt S2L'!B143="","",'10. Gantt S2L'!K143)</f>
        <v/>
      </c>
      <c r="J339" s="168" t="str">
        <f aca="false">IF('10. Gantt S2L'!B143="","",'10. Gantt S2L'!M143)</f>
        <v/>
      </c>
      <c r="K339" s="168" t="str">
        <f aca="false">IF('10. Gantt S2L'!B143="","",'10. Gantt S2L'!N143)</f>
        <v/>
      </c>
      <c r="L339" s="169" t="str">
        <f aca="false">IF('10. Gantt S2L'!B143="","",'10. Gantt S2L'!O143)</f>
        <v/>
      </c>
      <c r="M339" s="169" t="str">
        <f aca="false">IF('10. Gantt S2L'!B143="","",'10. Gantt S2L'!P143)</f>
        <v/>
      </c>
      <c r="N339" s="1" t="str">
        <f aca="false">IF('10. Gantt S2L'!B143="","",'10. Gantt S2L'!Q143)</f>
        <v/>
      </c>
      <c r="O339" s="1" t="str">
        <f aca="false">IF('10. Gantt S2L'!B143="","",'10. Gantt S2L'!R143)</f>
        <v/>
      </c>
      <c r="P339" s="1" t="str">
        <f aca="false">IF('10. Gantt S2L'!B143="","",'10. Gantt S2L'!S143)</f>
        <v/>
      </c>
      <c r="Q339" s="1" t="str">
        <f aca="false">IF('10. Gantt S2L'!B143="","",'10. Gantt S2L'!T143)</f>
        <v/>
      </c>
      <c r="R339" s="1" t="str">
        <f aca="false">IF('10. Gantt S2L'!B143="","",'10. Gantt S2L'!U143)</f>
        <v/>
      </c>
    </row>
    <row r="340" customFormat="false" ht="15" hidden="false" customHeight="true" outlineLevel="0" collapsed="false">
      <c r="A340" s="1" t="str">
        <f aca="false">IF('10. Gantt S2L'!B144="","","SPACE TO LEAD")</f>
        <v/>
      </c>
      <c r="B340" s="1" t="str">
        <f aca="false">IF('10. Gantt S2L'!B144="","",'10. Gantt S2L'!B144)</f>
        <v/>
      </c>
      <c r="C340" s="1" t="str">
        <f aca="false">IF('10. Gantt S2L'!B144="","",'10. Gantt S2L'!C144)</f>
        <v/>
      </c>
      <c r="D340" s="1" t="str">
        <f aca="false">IF('10. Gantt S2L'!B144="","",'10. Gantt S2L'!D144)</f>
        <v/>
      </c>
      <c r="E340" s="1" t="str">
        <f aca="false">IF('10. Gantt S2L'!B144="","",'10. Gantt S2L'!E144)</f>
        <v/>
      </c>
      <c r="F340" s="1" t="str">
        <f aca="false">IF('10. Gantt S2L'!B144="","",'10. Gantt S2L'!G144)</f>
        <v/>
      </c>
      <c r="G340" s="167" t="str">
        <f aca="false">IF('10. Gantt S2L'!B144="","",'10. Gantt S2L'!H144)</f>
        <v/>
      </c>
      <c r="H340" s="167" t="str">
        <f aca="false">IF('10. Gantt S2L'!B144="","",'10. Gantt S2L'!I144)</f>
        <v/>
      </c>
      <c r="I340" s="167" t="str">
        <f aca="false">IF('10. Gantt S2L'!B144="","",'10. Gantt S2L'!K144)</f>
        <v/>
      </c>
      <c r="J340" s="168" t="str">
        <f aca="false">IF('10. Gantt S2L'!B144="","",'10. Gantt S2L'!M144)</f>
        <v/>
      </c>
      <c r="K340" s="168" t="str">
        <f aca="false">IF('10. Gantt S2L'!B144="","",'10. Gantt S2L'!N144)</f>
        <v/>
      </c>
      <c r="L340" s="169" t="str">
        <f aca="false">IF('10. Gantt S2L'!B144="","",'10. Gantt S2L'!O144)</f>
        <v/>
      </c>
      <c r="M340" s="169" t="str">
        <f aca="false">IF('10. Gantt S2L'!B144="","",'10. Gantt S2L'!P144)</f>
        <v/>
      </c>
      <c r="N340" s="1" t="str">
        <f aca="false">IF('10. Gantt S2L'!B144="","",'10. Gantt S2L'!Q144)</f>
        <v/>
      </c>
      <c r="O340" s="1" t="str">
        <f aca="false">IF('10. Gantt S2L'!B144="","",'10. Gantt S2L'!R144)</f>
        <v/>
      </c>
      <c r="P340" s="1" t="str">
        <f aca="false">IF('10. Gantt S2L'!B144="","",'10. Gantt S2L'!S144)</f>
        <v/>
      </c>
      <c r="Q340" s="1" t="str">
        <f aca="false">IF('10. Gantt S2L'!B144="","",'10. Gantt S2L'!T144)</f>
        <v/>
      </c>
      <c r="R340" s="1" t="str">
        <f aca="false">IF('10. Gantt S2L'!B144="","",'10. Gantt S2L'!U144)</f>
        <v/>
      </c>
    </row>
    <row r="341" customFormat="false" ht="15" hidden="false" customHeight="true" outlineLevel="0" collapsed="false">
      <c r="A341" s="1" t="str">
        <f aca="false">IF('10. Gantt S2L'!B145="","","SPACE TO LEAD")</f>
        <v/>
      </c>
      <c r="B341" s="1" t="str">
        <f aca="false">IF('10. Gantt S2L'!B145="","",'10. Gantt S2L'!B145)</f>
        <v/>
      </c>
      <c r="C341" s="1" t="str">
        <f aca="false">IF('10. Gantt S2L'!B145="","",'10. Gantt S2L'!C145)</f>
        <v/>
      </c>
      <c r="D341" s="1" t="str">
        <f aca="false">IF('10. Gantt S2L'!B145="","",'10. Gantt S2L'!D145)</f>
        <v/>
      </c>
      <c r="E341" s="1" t="str">
        <f aca="false">IF('10. Gantt S2L'!B145="","",'10. Gantt S2L'!E145)</f>
        <v/>
      </c>
      <c r="F341" s="1" t="str">
        <f aca="false">IF('10. Gantt S2L'!B145="","",'10. Gantt S2L'!G145)</f>
        <v/>
      </c>
      <c r="G341" s="167" t="str">
        <f aca="false">IF('10. Gantt S2L'!B145="","",'10. Gantt S2L'!H145)</f>
        <v/>
      </c>
      <c r="H341" s="167" t="str">
        <f aca="false">IF('10. Gantt S2L'!B145="","",'10. Gantt S2L'!I145)</f>
        <v/>
      </c>
      <c r="I341" s="167" t="str">
        <f aca="false">IF('10. Gantt S2L'!B145="","",'10. Gantt S2L'!K145)</f>
        <v/>
      </c>
      <c r="J341" s="168" t="str">
        <f aca="false">IF('10. Gantt S2L'!B145="","",'10. Gantt S2L'!M145)</f>
        <v/>
      </c>
      <c r="K341" s="168" t="str">
        <f aca="false">IF('10. Gantt S2L'!B145="","",'10. Gantt S2L'!N145)</f>
        <v/>
      </c>
      <c r="L341" s="169" t="str">
        <f aca="false">IF('10. Gantt S2L'!B145="","",'10. Gantt S2L'!O145)</f>
        <v/>
      </c>
      <c r="M341" s="169" t="str">
        <f aca="false">IF('10. Gantt S2L'!B145="","",'10. Gantt S2L'!P145)</f>
        <v/>
      </c>
      <c r="N341" s="1" t="str">
        <f aca="false">IF('10. Gantt S2L'!B145="","",'10. Gantt S2L'!Q145)</f>
        <v/>
      </c>
      <c r="O341" s="1" t="str">
        <f aca="false">IF('10. Gantt S2L'!B145="","",'10. Gantt S2L'!R145)</f>
        <v/>
      </c>
      <c r="P341" s="1" t="str">
        <f aca="false">IF('10. Gantt S2L'!B145="","",'10. Gantt S2L'!S145)</f>
        <v/>
      </c>
      <c r="Q341" s="1" t="str">
        <f aca="false">IF('10. Gantt S2L'!B145="","",'10. Gantt S2L'!T145)</f>
        <v/>
      </c>
      <c r="R341" s="1" t="str">
        <f aca="false">IF('10. Gantt S2L'!B145="","",'10. Gantt S2L'!U145)</f>
        <v/>
      </c>
    </row>
    <row r="342" customFormat="false" ht="15" hidden="false" customHeight="true" outlineLevel="0" collapsed="false">
      <c r="A342" s="1" t="str">
        <f aca="false">IF('10. Gantt S2L'!B146="","","SPACE TO LEAD")</f>
        <v/>
      </c>
      <c r="B342" s="1" t="str">
        <f aca="false">IF('10. Gantt S2L'!B146="","",'10. Gantt S2L'!B146)</f>
        <v/>
      </c>
      <c r="C342" s="1" t="str">
        <f aca="false">IF('10. Gantt S2L'!B146="","",'10. Gantt S2L'!C146)</f>
        <v/>
      </c>
      <c r="D342" s="1" t="str">
        <f aca="false">IF('10. Gantt S2L'!B146="","",'10. Gantt S2L'!D146)</f>
        <v/>
      </c>
      <c r="E342" s="1" t="str">
        <f aca="false">IF('10. Gantt S2L'!B146="","",'10. Gantt S2L'!E146)</f>
        <v/>
      </c>
      <c r="F342" s="1" t="str">
        <f aca="false">IF('10. Gantt S2L'!B146="","",'10. Gantt S2L'!G146)</f>
        <v/>
      </c>
      <c r="G342" s="167" t="str">
        <f aca="false">IF('10. Gantt S2L'!B146="","",'10. Gantt S2L'!H146)</f>
        <v/>
      </c>
      <c r="H342" s="167" t="str">
        <f aca="false">IF('10. Gantt S2L'!B146="","",'10. Gantt S2L'!I146)</f>
        <v/>
      </c>
      <c r="I342" s="167" t="str">
        <f aca="false">IF('10. Gantt S2L'!B146="","",'10. Gantt S2L'!K146)</f>
        <v/>
      </c>
      <c r="J342" s="168" t="str">
        <f aca="false">IF('10. Gantt S2L'!B146="","",'10. Gantt S2L'!M146)</f>
        <v/>
      </c>
      <c r="K342" s="168" t="str">
        <f aca="false">IF('10. Gantt S2L'!B146="","",'10. Gantt S2L'!N146)</f>
        <v/>
      </c>
      <c r="L342" s="169" t="str">
        <f aca="false">IF('10. Gantt S2L'!B146="","",'10. Gantt S2L'!O146)</f>
        <v/>
      </c>
      <c r="M342" s="169" t="str">
        <f aca="false">IF('10. Gantt S2L'!B146="","",'10. Gantt S2L'!P146)</f>
        <v/>
      </c>
      <c r="N342" s="1" t="str">
        <f aca="false">IF('10. Gantt S2L'!B146="","",'10. Gantt S2L'!Q146)</f>
        <v/>
      </c>
      <c r="O342" s="1" t="str">
        <f aca="false">IF('10. Gantt S2L'!B146="","",'10. Gantt S2L'!R146)</f>
        <v/>
      </c>
      <c r="P342" s="1" t="str">
        <f aca="false">IF('10. Gantt S2L'!B146="","",'10. Gantt S2L'!S146)</f>
        <v/>
      </c>
      <c r="Q342" s="1" t="str">
        <f aca="false">IF('10. Gantt S2L'!B146="","",'10. Gantt S2L'!T146)</f>
        <v/>
      </c>
      <c r="R342" s="1" t="str">
        <f aca="false">IF('10. Gantt S2L'!B146="","",'10. Gantt S2L'!U146)</f>
        <v/>
      </c>
    </row>
    <row r="343" customFormat="false" ht="15" hidden="false" customHeight="true" outlineLevel="0" collapsed="false">
      <c r="A343" s="1" t="str">
        <f aca="false">IF('10. Gantt S2L'!B147="","","SPACE TO LEAD")</f>
        <v/>
      </c>
      <c r="B343" s="1" t="str">
        <f aca="false">IF('10. Gantt S2L'!B147="","",'10. Gantt S2L'!B147)</f>
        <v/>
      </c>
      <c r="C343" s="1" t="str">
        <f aca="false">IF('10. Gantt S2L'!B147="","",'10. Gantt S2L'!C147)</f>
        <v/>
      </c>
      <c r="D343" s="1" t="str">
        <f aca="false">IF('10. Gantt S2L'!B147="","",'10. Gantt S2L'!D147)</f>
        <v/>
      </c>
      <c r="E343" s="1" t="str">
        <f aca="false">IF('10. Gantt S2L'!B147="","",'10. Gantt S2L'!E147)</f>
        <v/>
      </c>
      <c r="F343" s="1" t="str">
        <f aca="false">IF('10. Gantt S2L'!B147="","",'10. Gantt S2L'!G147)</f>
        <v/>
      </c>
      <c r="G343" s="167" t="str">
        <f aca="false">IF('10. Gantt S2L'!B147="","",'10. Gantt S2L'!H147)</f>
        <v/>
      </c>
      <c r="H343" s="167" t="str">
        <f aca="false">IF('10. Gantt S2L'!B147="","",'10. Gantt S2L'!I147)</f>
        <v/>
      </c>
      <c r="I343" s="167" t="str">
        <f aca="false">IF('10. Gantt S2L'!B147="","",'10. Gantt S2L'!K147)</f>
        <v/>
      </c>
      <c r="J343" s="168" t="str">
        <f aca="false">IF('10. Gantt S2L'!B147="","",'10. Gantt S2L'!M147)</f>
        <v/>
      </c>
      <c r="K343" s="168" t="str">
        <f aca="false">IF('10. Gantt S2L'!B147="","",'10. Gantt S2L'!N147)</f>
        <v/>
      </c>
      <c r="L343" s="169" t="str">
        <f aca="false">IF('10. Gantt S2L'!B147="","",'10. Gantt S2L'!O147)</f>
        <v/>
      </c>
      <c r="M343" s="169" t="str">
        <f aca="false">IF('10. Gantt S2L'!B147="","",'10. Gantt S2L'!P147)</f>
        <v/>
      </c>
      <c r="N343" s="1" t="str">
        <f aca="false">IF('10. Gantt S2L'!B147="","",'10. Gantt S2L'!Q147)</f>
        <v/>
      </c>
      <c r="O343" s="1" t="str">
        <f aca="false">IF('10. Gantt S2L'!B147="","",'10. Gantt S2L'!R147)</f>
        <v/>
      </c>
      <c r="P343" s="1" t="str">
        <f aca="false">IF('10. Gantt S2L'!B147="","",'10. Gantt S2L'!S147)</f>
        <v/>
      </c>
      <c r="Q343" s="1" t="str">
        <f aca="false">IF('10. Gantt S2L'!B147="","",'10. Gantt S2L'!T147)</f>
        <v/>
      </c>
      <c r="R343" s="1" t="str">
        <f aca="false">IF('10. Gantt S2L'!B147="","",'10. Gantt S2L'!U147)</f>
        <v/>
      </c>
    </row>
    <row r="344" customFormat="false" ht="15" hidden="false" customHeight="true" outlineLevel="0" collapsed="false">
      <c r="A344" s="1" t="str">
        <f aca="false">IF('10. Gantt S2L'!B148="","","SPACE TO LEAD")</f>
        <v/>
      </c>
      <c r="B344" s="1" t="str">
        <f aca="false">IF('10. Gantt S2L'!B148="","",'10. Gantt S2L'!B148)</f>
        <v/>
      </c>
      <c r="C344" s="1" t="str">
        <f aca="false">IF('10. Gantt S2L'!B148="","",'10. Gantt S2L'!C148)</f>
        <v/>
      </c>
      <c r="D344" s="1" t="str">
        <f aca="false">IF('10. Gantt S2L'!B148="","",'10. Gantt S2L'!D148)</f>
        <v/>
      </c>
      <c r="E344" s="1" t="str">
        <f aca="false">IF('10. Gantt S2L'!B148="","",'10. Gantt S2L'!E148)</f>
        <v/>
      </c>
      <c r="F344" s="1" t="str">
        <f aca="false">IF('10. Gantt S2L'!B148="","",'10. Gantt S2L'!G148)</f>
        <v/>
      </c>
      <c r="G344" s="167" t="str">
        <f aca="false">IF('10. Gantt S2L'!B148="","",'10. Gantt S2L'!H148)</f>
        <v/>
      </c>
      <c r="H344" s="167" t="str">
        <f aca="false">IF('10. Gantt S2L'!B148="","",'10. Gantt S2L'!I148)</f>
        <v/>
      </c>
      <c r="I344" s="167" t="str">
        <f aca="false">IF('10. Gantt S2L'!B148="","",'10. Gantt S2L'!K148)</f>
        <v/>
      </c>
      <c r="J344" s="168" t="str">
        <f aca="false">IF('10. Gantt S2L'!B148="","",'10. Gantt S2L'!M148)</f>
        <v/>
      </c>
      <c r="K344" s="168" t="str">
        <f aca="false">IF('10. Gantt S2L'!B148="","",'10. Gantt S2L'!N148)</f>
        <v/>
      </c>
      <c r="L344" s="169" t="str">
        <f aca="false">IF('10. Gantt S2L'!B148="","",'10. Gantt S2L'!O148)</f>
        <v/>
      </c>
      <c r="M344" s="169" t="str">
        <f aca="false">IF('10. Gantt S2L'!B148="","",'10. Gantt S2L'!P148)</f>
        <v/>
      </c>
      <c r="N344" s="1" t="str">
        <f aca="false">IF('10. Gantt S2L'!B148="","",'10. Gantt S2L'!Q148)</f>
        <v/>
      </c>
      <c r="O344" s="1" t="str">
        <f aca="false">IF('10. Gantt S2L'!B148="","",'10. Gantt S2L'!R148)</f>
        <v/>
      </c>
      <c r="P344" s="1" t="str">
        <f aca="false">IF('10. Gantt S2L'!B148="","",'10. Gantt S2L'!S148)</f>
        <v/>
      </c>
      <c r="Q344" s="1" t="str">
        <f aca="false">IF('10. Gantt S2L'!B148="","",'10. Gantt S2L'!T148)</f>
        <v/>
      </c>
      <c r="R344" s="1" t="str">
        <f aca="false">IF('10. Gantt S2L'!B148="","",'10. Gantt S2L'!U148)</f>
        <v/>
      </c>
    </row>
    <row r="345" customFormat="false" ht="15" hidden="false" customHeight="true" outlineLevel="0" collapsed="false">
      <c r="A345" s="1" t="str">
        <f aca="false">IF('10. Gantt S2L'!B149="","","SPACE TO LEAD")</f>
        <v/>
      </c>
      <c r="B345" s="1" t="str">
        <f aca="false">IF('10. Gantt S2L'!B149="","",'10. Gantt S2L'!B149)</f>
        <v/>
      </c>
      <c r="C345" s="1" t="str">
        <f aca="false">IF('10. Gantt S2L'!B149="","",'10. Gantt S2L'!C149)</f>
        <v/>
      </c>
      <c r="D345" s="1" t="str">
        <f aca="false">IF('10. Gantt S2L'!B149="","",'10. Gantt S2L'!D149)</f>
        <v/>
      </c>
      <c r="E345" s="1" t="str">
        <f aca="false">IF('10. Gantt S2L'!B149="","",'10. Gantt S2L'!E149)</f>
        <v/>
      </c>
      <c r="F345" s="1" t="str">
        <f aca="false">IF('10. Gantt S2L'!B149="","",'10. Gantt S2L'!G149)</f>
        <v/>
      </c>
      <c r="G345" s="167" t="str">
        <f aca="false">IF('10. Gantt S2L'!B149="","",'10. Gantt S2L'!H149)</f>
        <v/>
      </c>
      <c r="H345" s="167" t="str">
        <f aca="false">IF('10. Gantt S2L'!B149="","",'10. Gantt S2L'!I149)</f>
        <v/>
      </c>
      <c r="I345" s="167" t="str">
        <f aca="false">IF('10. Gantt S2L'!B149="","",'10. Gantt S2L'!K149)</f>
        <v/>
      </c>
      <c r="J345" s="168" t="str">
        <f aca="false">IF('10. Gantt S2L'!B149="","",'10. Gantt S2L'!M149)</f>
        <v/>
      </c>
      <c r="K345" s="168" t="str">
        <f aca="false">IF('10. Gantt S2L'!B149="","",'10. Gantt S2L'!N149)</f>
        <v/>
      </c>
      <c r="L345" s="169" t="str">
        <f aca="false">IF('10. Gantt S2L'!B149="","",'10. Gantt S2L'!O149)</f>
        <v/>
      </c>
      <c r="M345" s="169" t="str">
        <f aca="false">IF('10. Gantt S2L'!B149="","",'10. Gantt S2L'!P149)</f>
        <v/>
      </c>
      <c r="N345" s="1" t="str">
        <f aca="false">IF('10. Gantt S2L'!B149="","",'10. Gantt S2L'!Q149)</f>
        <v/>
      </c>
      <c r="O345" s="1" t="str">
        <f aca="false">IF('10. Gantt S2L'!B149="","",'10. Gantt S2L'!R149)</f>
        <v/>
      </c>
      <c r="P345" s="1" t="str">
        <f aca="false">IF('10. Gantt S2L'!B149="","",'10. Gantt S2L'!S149)</f>
        <v/>
      </c>
      <c r="Q345" s="1" t="str">
        <f aca="false">IF('10. Gantt S2L'!B149="","",'10. Gantt S2L'!T149)</f>
        <v/>
      </c>
      <c r="R345" s="1" t="str">
        <f aca="false">IF('10. Gantt S2L'!B149="","",'10. Gantt S2L'!U149)</f>
        <v/>
      </c>
    </row>
    <row r="346" customFormat="false" ht="15" hidden="false" customHeight="true" outlineLevel="0" collapsed="false">
      <c r="A346" s="1" t="str">
        <f aca="false">IF('10. Gantt S2L'!B150="","","SPACE TO LEAD")</f>
        <v/>
      </c>
      <c r="B346" s="1" t="str">
        <f aca="false">IF('10. Gantt S2L'!B150="","",'10. Gantt S2L'!B150)</f>
        <v/>
      </c>
      <c r="C346" s="1" t="str">
        <f aca="false">IF('10. Gantt S2L'!B150="","",'10. Gantt S2L'!C150)</f>
        <v/>
      </c>
      <c r="D346" s="1" t="str">
        <f aca="false">IF('10. Gantt S2L'!B150="","",'10. Gantt S2L'!D150)</f>
        <v/>
      </c>
      <c r="E346" s="1" t="str">
        <f aca="false">IF('10. Gantt S2L'!B150="","",'10. Gantt S2L'!E150)</f>
        <v/>
      </c>
      <c r="F346" s="1" t="str">
        <f aca="false">IF('10. Gantt S2L'!B150="","",'10. Gantt S2L'!G150)</f>
        <v/>
      </c>
      <c r="G346" s="167" t="str">
        <f aca="false">IF('10. Gantt S2L'!B150="","",'10. Gantt S2L'!H150)</f>
        <v/>
      </c>
      <c r="H346" s="167" t="str">
        <f aca="false">IF('10. Gantt S2L'!B150="","",'10. Gantt S2L'!I150)</f>
        <v/>
      </c>
      <c r="I346" s="167" t="str">
        <f aca="false">IF('10. Gantt S2L'!B150="","",'10. Gantt S2L'!K150)</f>
        <v/>
      </c>
      <c r="J346" s="168" t="str">
        <f aca="false">IF('10. Gantt S2L'!B150="","",'10. Gantt S2L'!M150)</f>
        <v/>
      </c>
      <c r="K346" s="168" t="str">
        <f aca="false">IF('10. Gantt S2L'!B150="","",'10. Gantt S2L'!N150)</f>
        <v/>
      </c>
      <c r="L346" s="169" t="str">
        <f aca="false">IF('10. Gantt S2L'!B150="","",'10. Gantt S2L'!O150)</f>
        <v/>
      </c>
      <c r="M346" s="169" t="str">
        <f aca="false">IF('10. Gantt S2L'!B150="","",'10. Gantt S2L'!P150)</f>
        <v/>
      </c>
      <c r="N346" s="1" t="str">
        <f aca="false">IF('10. Gantt S2L'!B150="","",'10. Gantt S2L'!Q150)</f>
        <v/>
      </c>
      <c r="O346" s="1" t="str">
        <f aca="false">IF('10. Gantt S2L'!B150="","",'10. Gantt S2L'!R150)</f>
        <v/>
      </c>
      <c r="P346" s="1" t="str">
        <f aca="false">IF('10. Gantt S2L'!B150="","",'10. Gantt S2L'!S150)</f>
        <v/>
      </c>
      <c r="Q346" s="1" t="str">
        <f aca="false">IF('10. Gantt S2L'!B150="","",'10. Gantt S2L'!T150)</f>
        <v/>
      </c>
      <c r="R346" s="1" t="str">
        <f aca="false">IF('10. Gantt S2L'!B150="","",'10. Gantt S2L'!U150)</f>
        <v/>
      </c>
    </row>
    <row r="347" customFormat="false" ht="15" hidden="false" customHeight="true" outlineLevel="0" collapsed="false">
      <c r="A347" s="1" t="str">
        <f aca="false">IF('10. Gantt S2L'!B151="","","SPACE TO LEAD")</f>
        <v/>
      </c>
      <c r="B347" s="1" t="str">
        <f aca="false">IF('10. Gantt S2L'!B151="","",'10. Gantt S2L'!B151)</f>
        <v/>
      </c>
      <c r="C347" s="1" t="str">
        <f aca="false">IF('10. Gantt S2L'!B151="","",'10. Gantt S2L'!C151)</f>
        <v/>
      </c>
      <c r="D347" s="1" t="str">
        <f aca="false">IF('10. Gantt S2L'!B151="","",'10. Gantt S2L'!D151)</f>
        <v/>
      </c>
      <c r="E347" s="1" t="str">
        <f aca="false">IF('10. Gantt S2L'!B151="","",'10. Gantt S2L'!E151)</f>
        <v/>
      </c>
      <c r="F347" s="1" t="str">
        <f aca="false">IF('10. Gantt S2L'!B151="","",'10. Gantt S2L'!G151)</f>
        <v/>
      </c>
      <c r="G347" s="167" t="str">
        <f aca="false">IF('10. Gantt S2L'!B151="","",'10. Gantt S2L'!H151)</f>
        <v/>
      </c>
      <c r="H347" s="167" t="str">
        <f aca="false">IF('10. Gantt S2L'!B151="","",'10. Gantt S2L'!I151)</f>
        <v/>
      </c>
      <c r="I347" s="167" t="str">
        <f aca="false">IF('10. Gantt S2L'!B151="","",'10. Gantt S2L'!K151)</f>
        <v/>
      </c>
      <c r="J347" s="168" t="str">
        <f aca="false">IF('10. Gantt S2L'!B151="","",'10. Gantt S2L'!M151)</f>
        <v/>
      </c>
      <c r="K347" s="168" t="str">
        <f aca="false">IF('10. Gantt S2L'!B151="","",'10. Gantt S2L'!N151)</f>
        <v/>
      </c>
      <c r="L347" s="169" t="str">
        <f aca="false">IF('10. Gantt S2L'!B151="","",'10. Gantt S2L'!O151)</f>
        <v/>
      </c>
      <c r="M347" s="169" t="str">
        <f aca="false">IF('10. Gantt S2L'!B151="","",'10. Gantt S2L'!P151)</f>
        <v/>
      </c>
      <c r="N347" s="1" t="str">
        <f aca="false">IF('10. Gantt S2L'!B151="","",'10. Gantt S2L'!Q151)</f>
        <v/>
      </c>
      <c r="O347" s="1" t="str">
        <f aca="false">IF('10. Gantt S2L'!B151="","",'10. Gantt S2L'!R151)</f>
        <v/>
      </c>
      <c r="P347" s="1" t="str">
        <f aca="false">IF('10. Gantt S2L'!B151="","",'10. Gantt S2L'!S151)</f>
        <v/>
      </c>
      <c r="Q347" s="1" t="str">
        <f aca="false">IF('10. Gantt S2L'!B151="","",'10. Gantt S2L'!T151)</f>
        <v/>
      </c>
      <c r="R347" s="1" t="str">
        <f aca="false">IF('10. Gantt S2L'!B151="","",'10. Gantt S2L'!U151)</f>
        <v/>
      </c>
    </row>
    <row r="348" customFormat="false" ht="15" hidden="false" customHeight="true" outlineLevel="0" collapsed="false">
      <c r="A348" s="1" t="str">
        <f aca="false">IF('10. Gantt S2L'!B152="","","SPACE TO LEAD")</f>
        <v/>
      </c>
      <c r="B348" s="1" t="str">
        <f aca="false">IF('10. Gantt S2L'!B152="","",'10. Gantt S2L'!B152)</f>
        <v/>
      </c>
      <c r="C348" s="1" t="str">
        <f aca="false">IF('10. Gantt S2L'!B152="","",'10. Gantt S2L'!C152)</f>
        <v/>
      </c>
      <c r="D348" s="1" t="str">
        <f aca="false">IF('10. Gantt S2L'!B152="","",'10. Gantt S2L'!D152)</f>
        <v/>
      </c>
      <c r="E348" s="1" t="str">
        <f aca="false">IF('10. Gantt S2L'!B152="","",'10. Gantt S2L'!E152)</f>
        <v/>
      </c>
      <c r="F348" s="1" t="str">
        <f aca="false">IF('10. Gantt S2L'!B152="","",'10. Gantt S2L'!G152)</f>
        <v/>
      </c>
      <c r="G348" s="167" t="str">
        <f aca="false">IF('10. Gantt S2L'!B152="","",'10. Gantt S2L'!H152)</f>
        <v/>
      </c>
      <c r="H348" s="167" t="str">
        <f aca="false">IF('10. Gantt S2L'!B152="","",'10. Gantt S2L'!I152)</f>
        <v/>
      </c>
      <c r="I348" s="167" t="str">
        <f aca="false">IF('10. Gantt S2L'!B152="","",'10. Gantt S2L'!K152)</f>
        <v/>
      </c>
      <c r="J348" s="168" t="str">
        <f aca="false">IF('10. Gantt S2L'!B152="","",'10. Gantt S2L'!M152)</f>
        <v/>
      </c>
      <c r="K348" s="168" t="str">
        <f aca="false">IF('10. Gantt S2L'!B152="","",'10. Gantt S2L'!N152)</f>
        <v/>
      </c>
      <c r="L348" s="169" t="str">
        <f aca="false">IF('10. Gantt S2L'!B152="","",'10. Gantt S2L'!O152)</f>
        <v/>
      </c>
      <c r="M348" s="169" t="str">
        <f aca="false">IF('10. Gantt S2L'!B152="","",'10. Gantt S2L'!P152)</f>
        <v/>
      </c>
      <c r="N348" s="1" t="str">
        <f aca="false">IF('10. Gantt S2L'!B152="","",'10. Gantt S2L'!Q152)</f>
        <v/>
      </c>
      <c r="O348" s="1" t="str">
        <f aca="false">IF('10. Gantt S2L'!B152="","",'10. Gantt S2L'!R152)</f>
        <v/>
      </c>
      <c r="P348" s="1" t="str">
        <f aca="false">IF('10. Gantt S2L'!B152="","",'10. Gantt S2L'!S152)</f>
        <v/>
      </c>
      <c r="Q348" s="1" t="str">
        <f aca="false">IF('10. Gantt S2L'!B152="","",'10. Gantt S2L'!T152)</f>
        <v/>
      </c>
      <c r="R348" s="1" t="str">
        <f aca="false">IF('10. Gantt S2L'!B152="","",'10. Gantt S2L'!U152)</f>
        <v/>
      </c>
    </row>
    <row r="349" customFormat="false" ht="15" hidden="false" customHeight="true" outlineLevel="0" collapsed="false">
      <c r="A349" s="1" t="str">
        <f aca="false">IF('10. Gantt S2L'!B153="","","SPACE TO LEAD")</f>
        <v/>
      </c>
      <c r="B349" s="1" t="str">
        <f aca="false">IF('10. Gantt S2L'!B153="","",'10. Gantt S2L'!B153)</f>
        <v/>
      </c>
      <c r="C349" s="1" t="str">
        <f aca="false">IF('10. Gantt S2L'!B153="","",'10. Gantt S2L'!C153)</f>
        <v/>
      </c>
      <c r="D349" s="1" t="str">
        <f aca="false">IF('10. Gantt S2L'!B153="","",'10. Gantt S2L'!D153)</f>
        <v/>
      </c>
      <c r="E349" s="1" t="str">
        <f aca="false">IF('10. Gantt S2L'!B153="","",'10. Gantt S2L'!E153)</f>
        <v/>
      </c>
      <c r="F349" s="1" t="str">
        <f aca="false">IF('10. Gantt S2L'!B153="","",'10. Gantt S2L'!G153)</f>
        <v/>
      </c>
      <c r="G349" s="167" t="str">
        <f aca="false">IF('10. Gantt S2L'!B153="","",'10. Gantt S2L'!H153)</f>
        <v/>
      </c>
      <c r="H349" s="167" t="str">
        <f aca="false">IF('10. Gantt S2L'!B153="","",'10. Gantt S2L'!I153)</f>
        <v/>
      </c>
      <c r="I349" s="167" t="str">
        <f aca="false">IF('10. Gantt S2L'!B153="","",'10. Gantt S2L'!K153)</f>
        <v/>
      </c>
      <c r="J349" s="168" t="str">
        <f aca="false">IF('10. Gantt S2L'!B153="","",'10. Gantt S2L'!M153)</f>
        <v/>
      </c>
      <c r="K349" s="168" t="str">
        <f aca="false">IF('10. Gantt S2L'!B153="","",'10. Gantt S2L'!N153)</f>
        <v/>
      </c>
      <c r="L349" s="169" t="str">
        <f aca="false">IF('10. Gantt S2L'!B153="","",'10. Gantt S2L'!O153)</f>
        <v/>
      </c>
      <c r="M349" s="169" t="str">
        <f aca="false">IF('10. Gantt S2L'!B153="","",'10. Gantt S2L'!P153)</f>
        <v/>
      </c>
      <c r="N349" s="1" t="str">
        <f aca="false">IF('10. Gantt S2L'!B153="","",'10. Gantt S2L'!Q153)</f>
        <v/>
      </c>
      <c r="O349" s="1" t="str">
        <f aca="false">IF('10. Gantt S2L'!B153="","",'10. Gantt S2L'!R153)</f>
        <v/>
      </c>
      <c r="P349" s="1" t="str">
        <f aca="false">IF('10. Gantt S2L'!B153="","",'10. Gantt S2L'!S153)</f>
        <v/>
      </c>
      <c r="Q349" s="1" t="str">
        <f aca="false">IF('10. Gantt S2L'!B153="","",'10. Gantt S2L'!T153)</f>
        <v/>
      </c>
      <c r="R349" s="1" t="str">
        <f aca="false">IF('10. Gantt S2L'!B153="","",'10. Gantt S2L'!U153)</f>
        <v/>
      </c>
    </row>
    <row r="350" customFormat="false" ht="15" hidden="false" customHeight="true" outlineLevel="0" collapsed="false">
      <c r="A350" s="1" t="str">
        <f aca="false">IF('10. Gantt S2L'!B154="","","SPACE TO LEAD")</f>
        <v/>
      </c>
      <c r="B350" s="1" t="str">
        <f aca="false">IF('10. Gantt S2L'!B154="","",'10. Gantt S2L'!B154)</f>
        <v/>
      </c>
      <c r="C350" s="1" t="str">
        <f aca="false">IF('10. Gantt S2L'!B154="","",'10. Gantt S2L'!C154)</f>
        <v/>
      </c>
      <c r="D350" s="1" t="str">
        <f aca="false">IF('10. Gantt S2L'!B154="","",'10. Gantt S2L'!D154)</f>
        <v/>
      </c>
      <c r="E350" s="1" t="str">
        <f aca="false">IF('10. Gantt S2L'!B154="","",'10. Gantt S2L'!E154)</f>
        <v/>
      </c>
      <c r="F350" s="1" t="str">
        <f aca="false">IF('10. Gantt S2L'!B154="","",'10. Gantt S2L'!G154)</f>
        <v/>
      </c>
      <c r="G350" s="167" t="str">
        <f aca="false">IF('10. Gantt S2L'!B154="","",'10. Gantt S2L'!H154)</f>
        <v/>
      </c>
      <c r="H350" s="167" t="str">
        <f aca="false">IF('10. Gantt S2L'!B154="","",'10. Gantt S2L'!I154)</f>
        <v/>
      </c>
      <c r="I350" s="167" t="str">
        <f aca="false">IF('10. Gantt S2L'!B154="","",'10. Gantt S2L'!K154)</f>
        <v/>
      </c>
      <c r="J350" s="168" t="str">
        <f aca="false">IF('10. Gantt S2L'!B154="","",'10. Gantt S2L'!M154)</f>
        <v/>
      </c>
      <c r="K350" s="168" t="str">
        <f aca="false">IF('10. Gantt S2L'!B154="","",'10. Gantt S2L'!N154)</f>
        <v/>
      </c>
      <c r="L350" s="169" t="str">
        <f aca="false">IF('10. Gantt S2L'!B154="","",'10. Gantt S2L'!O154)</f>
        <v/>
      </c>
      <c r="M350" s="169" t="str">
        <f aca="false">IF('10. Gantt S2L'!B154="","",'10. Gantt S2L'!P154)</f>
        <v/>
      </c>
      <c r="N350" s="1" t="str">
        <f aca="false">IF('10. Gantt S2L'!B154="","",'10. Gantt S2L'!Q154)</f>
        <v/>
      </c>
      <c r="O350" s="1" t="str">
        <f aca="false">IF('10. Gantt S2L'!B154="","",'10. Gantt S2L'!R154)</f>
        <v/>
      </c>
      <c r="P350" s="1" t="str">
        <f aca="false">IF('10. Gantt S2L'!B154="","",'10. Gantt S2L'!S154)</f>
        <v/>
      </c>
      <c r="Q350" s="1" t="str">
        <f aca="false">IF('10. Gantt S2L'!B154="","",'10. Gantt S2L'!T154)</f>
        <v/>
      </c>
      <c r="R350" s="1" t="str">
        <f aca="false">IF('10. Gantt S2L'!B154="","",'10. Gantt S2L'!U154)</f>
        <v/>
      </c>
    </row>
    <row r="351" customFormat="false" ht="15" hidden="false" customHeight="true" outlineLevel="0" collapsed="false">
      <c r="A351" s="1" t="str">
        <f aca="false">IF('10. Gantt S2L'!B155="","","SPACE TO LEAD")</f>
        <v/>
      </c>
      <c r="B351" s="1" t="str">
        <f aca="false">IF('10. Gantt S2L'!B155="","",'10. Gantt S2L'!B155)</f>
        <v/>
      </c>
      <c r="C351" s="1" t="str">
        <f aca="false">IF('10. Gantt S2L'!B155="","",'10. Gantt S2L'!C155)</f>
        <v/>
      </c>
      <c r="D351" s="1" t="str">
        <f aca="false">IF('10. Gantt S2L'!B155="","",'10. Gantt S2L'!D155)</f>
        <v/>
      </c>
      <c r="E351" s="1" t="str">
        <f aca="false">IF('10. Gantt S2L'!B155="","",'10. Gantt S2L'!E155)</f>
        <v/>
      </c>
      <c r="F351" s="1" t="str">
        <f aca="false">IF('10. Gantt S2L'!B155="","",'10. Gantt S2L'!G155)</f>
        <v/>
      </c>
      <c r="G351" s="167" t="str">
        <f aca="false">IF('10. Gantt S2L'!B155="","",'10. Gantt S2L'!H155)</f>
        <v/>
      </c>
      <c r="H351" s="167" t="str">
        <f aca="false">IF('10. Gantt S2L'!B155="","",'10. Gantt S2L'!I155)</f>
        <v/>
      </c>
      <c r="I351" s="167" t="str">
        <f aca="false">IF('10. Gantt S2L'!B155="","",'10. Gantt S2L'!K155)</f>
        <v/>
      </c>
      <c r="J351" s="168" t="str">
        <f aca="false">IF('10. Gantt S2L'!B155="","",'10. Gantt S2L'!M155)</f>
        <v/>
      </c>
      <c r="K351" s="168" t="str">
        <f aca="false">IF('10. Gantt S2L'!B155="","",'10. Gantt S2L'!N155)</f>
        <v/>
      </c>
      <c r="L351" s="169" t="str">
        <f aca="false">IF('10. Gantt S2L'!B155="","",'10. Gantt S2L'!O155)</f>
        <v/>
      </c>
      <c r="M351" s="169" t="str">
        <f aca="false">IF('10. Gantt S2L'!B155="","",'10. Gantt S2L'!P155)</f>
        <v/>
      </c>
      <c r="N351" s="1" t="str">
        <f aca="false">IF('10. Gantt S2L'!B155="","",'10. Gantt S2L'!Q155)</f>
        <v/>
      </c>
      <c r="O351" s="1" t="str">
        <f aca="false">IF('10. Gantt S2L'!B155="","",'10. Gantt S2L'!R155)</f>
        <v/>
      </c>
      <c r="P351" s="1" t="str">
        <f aca="false">IF('10. Gantt S2L'!B155="","",'10. Gantt S2L'!S155)</f>
        <v/>
      </c>
      <c r="Q351" s="1" t="str">
        <f aca="false">IF('10. Gantt S2L'!B155="","",'10. Gantt S2L'!T155)</f>
        <v/>
      </c>
      <c r="R351" s="1" t="str">
        <f aca="false">IF('10. Gantt S2L'!B155="","",'10. Gantt S2L'!U155)</f>
        <v/>
      </c>
    </row>
    <row r="352" customFormat="false" ht="15" hidden="false" customHeight="true" outlineLevel="0" collapsed="false">
      <c r="A352" s="1" t="str">
        <f aca="false">IF('10. Gantt S2L'!B156="","","SPACE TO LEAD")</f>
        <v/>
      </c>
      <c r="B352" s="1" t="str">
        <f aca="false">IF('10. Gantt S2L'!B156="","",'10. Gantt S2L'!B156)</f>
        <v/>
      </c>
      <c r="C352" s="1" t="str">
        <f aca="false">IF('10. Gantt S2L'!B156="","",'10. Gantt S2L'!C156)</f>
        <v/>
      </c>
      <c r="D352" s="1" t="str">
        <f aca="false">IF('10. Gantt S2L'!B156="","",'10. Gantt S2L'!D156)</f>
        <v/>
      </c>
      <c r="E352" s="1" t="str">
        <f aca="false">IF('10. Gantt S2L'!B156="","",'10. Gantt S2L'!E156)</f>
        <v/>
      </c>
      <c r="F352" s="1" t="str">
        <f aca="false">IF('10. Gantt S2L'!B156="","",'10. Gantt S2L'!G156)</f>
        <v/>
      </c>
      <c r="G352" s="167" t="str">
        <f aca="false">IF('10. Gantt S2L'!B156="","",'10. Gantt S2L'!H156)</f>
        <v/>
      </c>
      <c r="H352" s="167" t="str">
        <f aca="false">IF('10. Gantt S2L'!B156="","",'10. Gantt S2L'!I156)</f>
        <v/>
      </c>
      <c r="I352" s="167" t="str">
        <f aca="false">IF('10. Gantt S2L'!B156="","",'10. Gantt S2L'!K156)</f>
        <v/>
      </c>
      <c r="J352" s="168" t="str">
        <f aca="false">IF('10. Gantt S2L'!B156="","",'10. Gantt S2L'!M156)</f>
        <v/>
      </c>
      <c r="K352" s="168" t="str">
        <f aca="false">IF('10. Gantt S2L'!B156="","",'10. Gantt S2L'!N156)</f>
        <v/>
      </c>
      <c r="L352" s="169" t="str">
        <f aca="false">IF('10. Gantt S2L'!B156="","",'10. Gantt S2L'!O156)</f>
        <v/>
      </c>
      <c r="M352" s="169" t="str">
        <f aca="false">IF('10. Gantt S2L'!B156="","",'10. Gantt S2L'!P156)</f>
        <v/>
      </c>
      <c r="N352" s="1" t="str">
        <f aca="false">IF('10. Gantt S2L'!B156="","",'10. Gantt S2L'!Q156)</f>
        <v/>
      </c>
      <c r="O352" s="1" t="str">
        <f aca="false">IF('10. Gantt S2L'!B156="","",'10. Gantt S2L'!R156)</f>
        <v/>
      </c>
      <c r="P352" s="1" t="str">
        <f aca="false">IF('10. Gantt S2L'!B156="","",'10. Gantt S2L'!S156)</f>
        <v/>
      </c>
      <c r="Q352" s="1" t="str">
        <f aca="false">IF('10. Gantt S2L'!B156="","",'10. Gantt S2L'!T156)</f>
        <v/>
      </c>
      <c r="R352" s="1" t="str">
        <f aca="false">IF('10. Gantt S2L'!B156="","",'10. Gantt S2L'!U156)</f>
        <v/>
      </c>
    </row>
    <row r="353" customFormat="false" ht="15" hidden="false" customHeight="true" outlineLevel="0" collapsed="false">
      <c r="A353" s="1" t="str">
        <f aca="false">IF('10. Gantt S2L'!B157="","","SPACE TO LEAD")</f>
        <v/>
      </c>
      <c r="B353" s="1" t="str">
        <f aca="false">IF('10. Gantt S2L'!B157="","",'10. Gantt S2L'!B157)</f>
        <v/>
      </c>
      <c r="C353" s="1" t="str">
        <f aca="false">IF('10. Gantt S2L'!B157="","",'10. Gantt S2L'!C157)</f>
        <v/>
      </c>
      <c r="D353" s="1" t="str">
        <f aca="false">IF('10. Gantt S2L'!B157="","",'10. Gantt S2L'!D157)</f>
        <v/>
      </c>
      <c r="E353" s="1" t="str">
        <f aca="false">IF('10. Gantt S2L'!B157="","",'10. Gantt S2L'!E157)</f>
        <v/>
      </c>
      <c r="F353" s="1" t="str">
        <f aca="false">IF('10. Gantt S2L'!B157="","",'10. Gantt S2L'!G157)</f>
        <v/>
      </c>
      <c r="G353" s="167" t="str">
        <f aca="false">IF('10. Gantt S2L'!B157="","",'10. Gantt S2L'!H157)</f>
        <v/>
      </c>
      <c r="H353" s="167" t="str">
        <f aca="false">IF('10. Gantt S2L'!B157="","",'10. Gantt S2L'!I157)</f>
        <v/>
      </c>
      <c r="I353" s="167" t="str">
        <f aca="false">IF('10. Gantt S2L'!B157="","",'10. Gantt S2L'!K157)</f>
        <v/>
      </c>
      <c r="J353" s="168" t="str">
        <f aca="false">IF('10. Gantt S2L'!B157="","",'10. Gantt S2L'!M157)</f>
        <v/>
      </c>
      <c r="K353" s="168" t="str">
        <f aca="false">IF('10. Gantt S2L'!B157="","",'10. Gantt S2L'!N157)</f>
        <v/>
      </c>
      <c r="L353" s="169" t="str">
        <f aca="false">IF('10. Gantt S2L'!B157="","",'10. Gantt S2L'!O157)</f>
        <v/>
      </c>
      <c r="M353" s="169" t="str">
        <f aca="false">IF('10. Gantt S2L'!B157="","",'10. Gantt S2L'!P157)</f>
        <v/>
      </c>
      <c r="N353" s="1" t="str">
        <f aca="false">IF('10. Gantt S2L'!B157="","",'10. Gantt S2L'!Q157)</f>
        <v/>
      </c>
      <c r="O353" s="1" t="str">
        <f aca="false">IF('10. Gantt S2L'!B157="","",'10. Gantt S2L'!R157)</f>
        <v/>
      </c>
      <c r="P353" s="1" t="str">
        <f aca="false">IF('10. Gantt S2L'!B157="","",'10. Gantt S2L'!S157)</f>
        <v/>
      </c>
      <c r="Q353" s="1" t="str">
        <f aca="false">IF('10. Gantt S2L'!B157="","",'10. Gantt S2L'!T157)</f>
        <v/>
      </c>
      <c r="R353" s="1" t="str">
        <f aca="false">IF('10. Gantt S2L'!B157="","",'10. Gantt S2L'!U157)</f>
        <v/>
      </c>
    </row>
    <row r="354" customFormat="false" ht="15" hidden="false" customHeight="true" outlineLevel="0" collapsed="false">
      <c r="A354" s="1" t="str">
        <f aca="false">IF('10. Gantt S2L'!B158="","","SPACE TO LEAD")</f>
        <v/>
      </c>
      <c r="B354" s="1" t="str">
        <f aca="false">IF('10. Gantt S2L'!B158="","",'10. Gantt S2L'!B158)</f>
        <v/>
      </c>
      <c r="C354" s="1" t="str">
        <f aca="false">IF('10. Gantt S2L'!B158="","",'10. Gantt S2L'!C158)</f>
        <v/>
      </c>
      <c r="D354" s="1" t="str">
        <f aca="false">IF('10. Gantt S2L'!B158="","",'10. Gantt S2L'!D158)</f>
        <v/>
      </c>
      <c r="E354" s="1" t="str">
        <f aca="false">IF('10. Gantt S2L'!B158="","",'10. Gantt S2L'!E158)</f>
        <v/>
      </c>
      <c r="F354" s="1" t="str">
        <f aca="false">IF('10. Gantt S2L'!B158="","",'10. Gantt S2L'!G158)</f>
        <v/>
      </c>
      <c r="G354" s="167" t="str">
        <f aca="false">IF('10. Gantt S2L'!B158="","",'10. Gantt S2L'!H158)</f>
        <v/>
      </c>
      <c r="H354" s="167" t="str">
        <f aca="false">IF('10. Gantt S2L'!B158="","",'10. Gantt S2L'!I158)</f>
        <v/>
      </c>
      <c r="I354" s="167" t="str">
        <f aca="false">IF('10. Gantt S2L'!B158="","",'10. Gantt S2L'!K158)</f>
        <v/>
      </c>
      <c r="J354" s="168" t="str">
        <f aca="false">IF('10. Gantt S2L'!B158="","",'10. Gantt S2L'!M158)</f>
        <v/>
      </c>
      <c r="K354" s="168" t="str">
        <f aca="false">IF('10. Gantt S2L'!B158="","",'10. Gantt S2L'!N158)</f>
        <v/>
      </c>
      <c r="L354" s="169" t="str">
        <f aca="false">IF('10. Gantt S2L'!B158="","",'10. Gantt S2L'!O158)</f>
        <v/>
      </c>
      <c r="M354" s="169" t="str">
        <f aca="false">IF('10. Gantt S2L'!B158="","",'10. Gantt S2L'!P158)</f>
        <v/>
      </c>
      <c r="N354" s="1" t="str">
        <f aca="false">IF('10. Gantt S2L'!B158="","",'10. Gantt S2L'!Q158)</f>
        <v/>
      </c>
      <c r="O354" s="1" t="str">
        <f aca="false">IF('10. Gantt S2L'!B158="","",'10. Gantt S2L'!R158)</f>
        <v/>
      </c>
      <c r="P354" s="1" t="str">
        <f aca="false">IF('10. Gantt S2L'!B158="","",'10. Gantt S2L'!S158)</f>
        <v/>
      </c>
      <c r="Q354" s="1" t="str">
        <f aca="false">IF('10. Gantt S2L'!B158="","",'10. Gantt S2L'!T158)</f>
        <v/>
      </c>
      <c r="R354" s="1" t="str">
        <f aca="false">IF('10. Gantt S2L'!B158="","",'10. Gantt S2L'!U158)</f>
        <v/>
      </c>
    </row>
    <row r="355" customFormat="false" ht="15" hidden="false" customHeight="true" outlineLevel="0" collapsed="false">
      <c r="A355" s="1" t="str">
        <f aca="false">IF('10. Gantt S2L'!B159="","","SPACE TO LEAD")</f>
        <v/>
      </c>
      <c r="B355" s="1" t="str">
        <f aca="false">IF('10. Gantt S2L'!B159="","",'10. Gantt S2L'!B159)</f>
        <v/>
      </c>
      <c r="C355" s="1" t="str">
        <f aca="false">IF('10. Gantt S2L'!B159="","",'10. Gantt S2L'!C159)</f>
        <v/>
      </c>
      <c r="D355" s="1" t="str">
        <f aca="false">IF('10. Gantt S2L'!B159="","",'10. Gantt S2L'!D159)</f>
        <v/>
      </c>
      <c r="E355" s="1" t="str">
        <f aca="false">IF('10. Gantt S2L'!B159="","",'10. Gantt S2L'!E159)</f>
        <v/>
      </c>
      <c r="F355" s="1" t="str">
        <f aca="false">IF('10. Gantt S2L'!B159="","",'10. Gantt S2L'!G159)</f>
        <v/>
      </c>
      <c r="G355" s="167" t="str">
        <f aca="false">IF('10. Gantt S2L'!B159="","",'10. Gantt S2L'!H159)</f>
        <v/>
      </c>
      <c r="H355" s="167" t="str">
        <f aca="false">IF('10. Gantt S2L'!B159="","",'10. Gantt S2L'!I159)</f>
        <v/>
      </c>
      <c r="I355" s="167" t="str">
        <f aca="false">IF('10. Gantt S2L'!B159="","",'10. Gantt S2L'!K159)</f>
        <v/>
      </c>
      <c r="J355" s="168" t="str">
        <f aca="false">IF('10. Gantt S2L'!B159="","",'10. Gantt S2L'!M159)</f>
        <v/>
      </c>
      <c r="K355" s="168" t="str">
        <f aca="false">IF('10. Gantt S2L'!B159="","",'10. Gantt S2L'!N159)</f>
        <v/>
      </c>
      <c r="L355" s="169" t="str">
        <f aca="false">IF('10. Gantt S2L'!B159="","",'10. Gantt S2L'!O159)</f>
        <v/>
      </c>
      <c r="M355" s="169" t="str">
        <f aca="false">IF('10. Gantt S2L'!B159="","",'10. Gantt S2L'!P159)</f>
        <v/>
      </c>
      <c r="N355" s="1" t="str">
        <f aca="false">IF('10. Gantt S2L'!B159="","",'10. Gantt S2L'!Q159)</f>
        <v/>
      </c>
      <c r="O355" s="1" t="str">
        <f aca="false">IF('10. Gantt S2L'!B159="","",'10. Gantt S2L'!R159)</f>
        <v/>
      </c>
      <c r="P355" s="1" t="str">
        <f aca="false">IF('10. Gantt S2L'!B159="","",'10. Gantt S2L'!S159)</f>
        <v/>
      </c>
      <c r="Q355" s="1" t="str">
        <f aca="false">IF('10. Gantt S2L'!B159="","",'10. Gantt S2L'!T159)</f>
        <v/>
      </c>
      <c r="R355" s="1" t="str">
        <f aca="false">IF('10. Gantt S2L'!B159="","",'10. Gantt S2L'!U159)</f>
        <v/>
      </c>
    </row>
    <row r="356" customFormat="false" ht="15" hidden="false" customHeight="true" outlineLevel="0" collapsed="false">
      <c r="A356" s="1" t="str">
        <f aca="false">IF('10. Gantt S2L'!B160="","","SPACE TO LEAD")</f>
        <v/>
      </c>
      <c r="B356" s="1" t="str">
        <f aca="false">IF('10. Gantt S2L'!B160="","",'10. Gantt S2L'!B160)</f>
        <v/>
      </c>
      <c r="C356" s="1" t="str">
        <f aca="false">IF('10. Gantt S2L'!B160="","",'10. Gantt S2L'!C160)</f>
        <v/>
      </c>
      <c r="D356" s="1" t="str">
        <f aca="false">IF('10. Gantt S2L'!B160="","",'10. Gantt S2L'!D160)</f>
        <v/>
      </c>
      <c r="E356" s="1" t="str">
        <f aca="false">IF('10. Gantt S2L'!B160="","",'10. Gantt S2L'!E160)</f>
        <v/>
      </c>
      <c r="F356" s="1" t="str">
        <f aca="false">IF('10. Gantt S2L'!B160="","",'10. Gantt S2L'!G160)</f>
        <v/>
      </c>
      <c r="G356" s="167" t="str">
        <f aca="false">IF('10. Gantt S2L'!B160="","",'10. Gantt S2L'!H160)</f>
        <v/>
      </c>
      <c r="H356" s="167" t="str">
        <f aca="false">IF('10. Gantt S2L'!B160="","",'10. Gantt S2L'!I160)</f>
        <v/>
      </c>
      <c r="I356" s="167" t="str">
        <f aca="false">IF('10. Gantt S2L'!B160="","",'10. Gantt S2L'!K160)</f>
        <v/>
      </c>
      <c r="J356" s="168" t="str">
        <f aca="false">IF('10. Gantt S2L'!B160="","",'10. Gantt S2L'!M160)</f>
        <v/>
      </c>
      <c r="K356" s="168" t="str">
        <f aca="false">IF('10. Gantt S2L'!B160="","",'10. Gantt S2L'!N160)</f>
        <v/>
      </c>
      <c r="L356" s="169" t="str">
        <f aca="false">IF('10. Gantt S2L'!B160="","",'10. Gantt S2L'!O160)</f>
        <v/>
      </c>
      <c r="M356" s="169" t="str">
        <f aca="false">IF('10. Gantt S2L'!B160="","",'10. Gantt S2L'!P160)</f>
        <v/>
      </c>
      <c r="N356" s="1" t="str">
        <f aca="false">IF('10. Gantt S2L'!B160="","",'10. Gantt S2L'!Q160)</f>
        <v/>
      </c>
      <c r="O356" s="1" t="str">
        <f aca="false">IF('10. Gantt S2L'!B160="","",'10. Gantt S2L'!R160)</f>
        <v/>
      </c>
      <c r="P356" s="1" t="str">
        <f aca="false">IF('10. Gantt S2L'!B160="","",'10. Gantt S2L'!S160)</f>
        <v/>
      </c>
      <c r="Q356" s="1" t="str">
        <f aca="false">IF('10. Gantt S2L'!B160="","",'10. Gantt S2L'!T160)</f>
        <v/>
      </c>
      <c r="R356" s="1" t="str">
        <f aca="false">IF('10. Gantt S2L'!B160="","",'10. Gantt S2L'!U160)</f>
        <v/>
      </c>
    </row>
    <row r="357" customFormat="false" ht="15" hidden="false" customHeight="true" outlineLevel="0" collapsed="false">
      <c r="A357" s="1" t="str">
        <f aca="false">IF('10. Gantt S2L'!B161="","","SPACE TO LEAD")</f>
        <v/>
      </c>
      <c r="B357" s="1" t="str">
        <f aca="false">IF('10. Gantt S2L'!B161="","",'10. Gantt S2L'!B161)</f>
        <v/>
      </c>
      <c r="C357" s="1" t="str">
        <f aca="false">IF('10. Gantt S2L'!B161="","",'10. Gantt S2L'!C161)</f>
        <v/>
      </c>
      <c r="D357" s="1" t="str">
        <f aca="false">IF('10. Gantt S2L'!B161="","",'10. Gantt S2L'!D161)</f>
        <v/>
      </c>
      <c r="E357" s="1" t="str">
        <f aca="false">IF('10. Gantt S2L'!B161="","",'10. Gantt S2L'!E161)</f>
        <v/>
      </c>
      <c r="F357" s="1" t="str">
        <f aca="false">IF('10. Gantt S2L'!B161="","",'10. Gantt S2L'!G161)</f>
        <v/>
      </c>
      <c r="G357" s="167" t="str">
        <f aca="false">IF('10. Gantt S2L'!B161="","",'10. Gantt S2L'!H161)</f>
        <v/>
      </c>
      <c r="H357" s="167" t="str">
        <f aca="false">IF('10. Gantt S2L'!B161="","",'10. Gantt S2L'!I161)</f>
        <v/>
      </c>
      <c r="I357" s="167" t="str">
        <f aca="false">IF('10. Gantt S2L'!B161="","",'10. Gantt S2L'!K161)</f>
        <v/>
      </c>
      <c r="J357" s="168" t="str">
        <f aca="false">IF('10. Gantt S2L'!B161="","",'10. Gantt S2L'!M161)</f>
        <v/>
      </c>
      <c r="K357" s="168" t="str">
        <f aca="false">IF('10. Gantt S2L'!B161="","",'10. Gantt S2L'!N161)</f>
        <v/>
      </c>
      <c r="L357" s="169" t="str">
        <f aca="false">IF('10. Gantt S2L'!B161="","",'10. Gantt S2L'!O161)</f>
        <v/>
      </c>
      <c r="M357" s="169" t="str">
        <f aca="false">IF('10. Gantt S2L'!B161="","",'10. Gantt S2L'!P161)</f>
        <v/>
      </c>
      <c r="N357" s="1" t="str">
        <f aca="false">IF('10. Gantt S2L'!B161="","",'10. Gantt S2L'!Q161)</f>
        <v/>
      </c>
      <c r="O357" s="1" t="str">
        <f aca="false">IF('10. Gantt S2L'!B161="","",'10. Gantt S2L'!R161)</f>
        <v/>
      </c>
      <c r="P357" s="1" t="str">
        <f aca="false">IF('10. Gantt S2L'!B161="","",'10. Gantt S2L'!S161)</f>
        <v/>
      </c>
      <c r="Q357" s="1" t="str">
        <f aca="false">IF('10. Gantt S2L'!B161="","",'10. Gantt S2L'!T161)</f>
        <v/>
      </c>
      <c r="R357" s="1" t="str">
        <f aca="false">IF('10. Gantt S2L'!B161="","",'10. Gantt S2L'!U161)</f>
        <v/>
      </c>
    </row>
    <row r="358" customFormat="false" ht="15" hidden="false" customHeight="true" outlineLevel="0" collapsed="false">
      <c r="A358" s="1" t="str">
        <f aca="false">IF('10. Gantt S2L'!B162="","","SPACE TO LEAD")</f>
        <v/>
      </c>
      <c r="B358" s="1" t="str">
        <f aca="false">IF('10. Gantt S2L'!B162="","",'10. Gantt S2L'!B162)</f>
        <v/>
      </c>
      <c r="C358" s="1" t="str">
        <f aca="false">IF('10. Gantt S2L'!B162="","",'10. Gantt S2L'!C162)</f>
        <v/>
      </c>
      <c r="D358" s="1" t="str">
        <f aca="false">IF('10. Gantt S2L'!B162="","",'10. Gantt S2L'!D162)</f>
        <v/>
      </c>
      <c r="E358" s="1" t="str">
        <f aca="false">IF('10. Gantt S2L'!B162="","",'10. Gantt S2L'!E162)</f>
        <v/>
      </c>
      <c r="F358" s="1" t="str">
        <f aca="false">IF('10. Gantt S2L'!B162="","",'10. Gantt S2L'!G162)</f>
        <v/>
      </c>
      <c r="G358" s="167" t="str">
        <f aca="false">IF('10. Gantt S2L'!B162="","",'10. Gantt S2L'!H162)</f>
        <v/>
      </c>
      <c r="H358" s="167" t="str">
        <f aca="false">IF('10. Gantt S2L'!B162="","",'10. Gantt S2L'!I162)</f>
        <v/>
      </c>
      <c r="I358" s="167" t="str">
        <f aca="false">IF('10. Gantt S2L'!B162="","",'10. Gantt S2L'!K162)</f>
        <v/>
      </c>
      <c r="J358" s="168" t="str">
        <f aca="false">IF('10. Gantt S2L'!B162="","",'10. Gantt S2L'!M162)</f>
        <v/>
      </c>
      <c r="K358" s="168" t="str">
        <f aca="false">IF('10. Gantt S2L'!B162="","",'10. Gantt S2L'!N162)</f>
        <v/>
      </c>
      <c r="L358" s="169" t="str">
        <f aca="false">IF('10. Gantt S2L'!B162="","",'10. Gantt S2L'!O162)</f>
        <v/>
      </c>
      <c r="M358" s="169" t="str">
        <f aca="false">IF('10. Gantt S2L'!B162="","",'10. Gantt S2L'!P162)</f>
        <v/>
      </c>
      <c r="N358" s="1" t="str">
        <f aca="false">IF('10. Gantt S2L'!B162="","",'10. Gantt S2L'!Q162)</f>
        <v/>
      </c>
      <c r="O358" s="1" t="str">
        <f aca="false">IF('10. Gantt S2L'!B162="","",'10. Gantt S2L'!R162)</f>
        <v/>
      </c>
      <c r="P358" s="1" t="str">
        <f aca="false">IF('10. Gantt S2L'!B162="","",'10. Gantt S2L'!S162)</f>
        <v/>
      </c>
      <c r="Q358" s="1" t="str">
        <f aca="false">IF('10. Gantt S2L'!B162="","",'10. Gantt S2L'!T162)</f>
        <v/>
      </c>
      <c r="R358" s="1" t="str">
        <f aca="false">IF('10. Gantt S2L'!B162="","",'10. Gantt S2L'!U162)</f>
        <v/>
      </c>
    </row>
    <row r="359" customFormat="false" ht="15" hidden="false" customHeight="true" outlineLevel="0" collapsed="false">
      <c r="A359" s="1" t="str">
        <f aca="false">IF('10. Gantt S2L'!B163="","","SPACE TO LEAD")</f>
        <v/>
      </c>
      <c r="B359" s="1" t="str">
        <f aca="false">IF('10. Gantt S2L'!B163="","",'10. Gantt S2L'!B163)</f>
        <v/>
      </c>
      <c r="C359" s="1" t="str">
        <f aca="false">IF('10. Gantt S2L'!B163="","",'10. Gantt S2L'!C163)</f>
        <v/>
      </c>
      <c r="D359" s="1" t="str">
        <f aca="false">IF('10. Gantt S2L'!B163="","",'10. Gantt S2L'!D163)</f>
        <v/>
      </c>
      <c r="E359" s="1" t="str">
        <f aca="false">IF('10. Gantt S2L'!B163="","",'10. Gantt S2L'!E163)</f>
        <v/>
      </c>
      <c r="F359" s="1" t="str">
        <f aca="false">IF('10. Gantt S2L'!B163="","",'10. Gantt S2L'!G163)</f>
        <v/>
      </c>
      <c r="G359" s="167" t="str">
        <f aca="false">IF('10. Gantt S2L'!B163="","",'10. Gantt S2L'!H163)</f>
        <v/>
      </c>
      <c r="H359" s="167" t="str">
        <f aca="false">IF('10. Gantt S2L'!B163="","",'10. Gantt S2L'!I163)</f>
        <v/>
      </c>
      <c r="I359" s="167" t="str">
        <f aca="false">IF('10. Gantt S2L'!B163="","",'10. Gantt S2L'!K163)</f>
        <v/>
      </c>
      <c r="J359" s="168" t="str">
        <f aca="false">IF('10. Gantt S2L'!B163="","",'10. Gantt S2L'!M163)</f>
        <v/>
      </c>
      <c r="K359" s="168" t="str">
        <f aca="false">IF('10. Gantt S2L'!B163="","",'10. Gantt S2L'!N163)</f>
        <v/>
      </c>
      <c r="L359" s="169" t="str">
        <f aca="false">IF('10. Gantt S2L'!B163="","",'10. Gantt S2L'!O163)</f>
        <v/>
      </c>
      <c r="M359" s="169" t="str">
        <f aca="false">IF('10. Gantt S2L'!B163="","",'10. Gantt S2L'!P163)</f>
        <v/>
      </c>
      <c r="N359" s="1" t="str">
        <f aca="false">IF('10. Gantt S2L'!B163="","",'10. Gantt S2L'!Q163)</f>
        <v/>
      </c>
      <c r="O359" s="1" t="str">
        <f aca="false">IF('10. Gantt S2L'!B163="","",'10. Gantt S2L'!R163)</f>
        <v/>
      </c>
      <c r="P359" s="1" t="str">
        <f aca="false">IF('10. Gantt S2L'!B163="","",'10. Gantt S2L'!S163)</f>
        <v/>
      </c>
      <c r="Q359" s="1" t="str">
        <f aca="false">IF('10. Gantt S2L'!B163="","",'10. Gantt S2L'!T163)</f>
        <v/>
      </c>
      <c r="R359" s="1" t="str">
        <f aca="false">IF('10. Gantt S2L'!B163="","",'10. Gantt S2L'!U163)</f>
        <v/>
      </c>
    </row>
    <row r="360" customFormat="false" ht="15" hidden="false" customHeight="true" outlineLevel="0" collapsed="false">
      <c r="A360" s="1" t="str">
        <f aca="false">IF('10. Gantt S2L'!B164="","","SPACE TO LEAD")</f>
        <v/>
      </c>
      <c r="B360" s="1" t="str">
        <f aca="false">IF('10. Gantt S2L'!B164="","",'10. Gantt S2L'!B164)</f>
        <v/>
      </c>
      <c r="C360" s="1" t="str">
        <f aca="false">IF('10. Gantt S2L'!B164="","",'10. Gantt S2L'!C164)</f>
        <v/>
      </c>
      <c r="D360" s="1" t="str">
        <f aca="false">IF('10. Gantt S2L'!B164="","",'10. Gantt S2L'!D164)</f>
        <v/>
      </c>
      <c r="E360" s="1" t="str">
        <f aca="false">IF('10. Gantt S2L'!B164="","",'10. Gantt S2L'!E164)</f>
        <v/>
      </c>
      <c r="F360" s="1" t="str">
        <f aca="false">IF('10. Gantt S2L'!B164="","",'10. Gantt S2L'!G164)</f>
        <v/>
      </c>
      <c r="G360" s="167" t="str">
        <f aca="false">IF('10. Gantt S2L'!B164="","",'10. Gantt S2L'!H164)</f>
        <v/>
      </c>
      <c r="H360" s="167" t="str">
        <f aca="false">IF('10. Gantt S2L'!B164="","",'10. Gantt S2L'!I164)</f>
        <v/>
      </c>
      <c r="I360" s="167" t="str">
        <f aca="false">IF('10. Gantt S2L'!B164="","",'10. Gantt S2L'!K164)</f>
        <v/>
      </c>
      <c r="J360" s="168" t="str">
        <f aca="false">IF('10. Gantt S2L'!B164="","",'10. Gantt S2L'!M164)</f>
        <v/>
      </c>
      <c r="K360" s="168" t="str">
        <f aca="false">IF('10. Gantt S2L'!B164="","",'10. Gantt S2L'!N164)</f>
        <v/>
      </c>
      <c r="L360" s="169" t="str">
        <f aca="false">IF('10. Gantt S2L'!B164="","",'10. Gantt S2L'!O164)</f>
        <v/>
      </c>
      <c r="M360" s="169" t="str">
        <f aca="false">IF('10. Gantt S2L'!B164="","",'10. Gantt S2L'!P164)</f>
        <v/>
      </c>
      <c r="N360" s="1" t="str">
        <f aca="false">IF('10. Gantt S2L'!B164="","",'10. Gantt S2L'!Q164)</f>
        <v/>
      </c>
      <c r="O360" s="1" t="str">
        <f aca="false">IF('10. Gantt S2L'!B164="","",'10. Gantt S2L'!R164)</f>
        <v/>
      </c>
      <c r="P360" s="1" t="str">
        <f aca="false">IF('10. Gantt S2L'!B164="","",'10. Gantt S2L'!S164)</f>
        <v/>
      </c>
      <c r="Q360" s="1" t="str">
        <f aca="false">IF('10. Gantt S2L'!B164="","",'10. Gantt S2L'!T164)</f>
        <v/>
      </c>
      <c r="R360" s="1" t="str">
        <f aca="false">IF('10. Gantt S2L'!B164="","",'10. Gantt S2L'!U164)</f>
        <v/>
      </c>
    </row>
    <row r="361" customFormat="false" ht="15" hidden="false" customHeight="true" outlineLevel="0" collapsed="false">
      <c r="A361" s="1" t="str">
        <f aca="false">IF('10. Gantt S2L'!B165="","","SPACE TO LEAD")</f>
        <v/>
      </c>
      <c r="B361" s="1" t="str">
        <f aca="false">IF('10. Gantt S2L'!B165="","",'10. Gantt S2L'!B165)</f>
        <v/>
      </c>
      <c r="C361" s="1" t="str">
        <f aca="false">IF('10. Gantt S2L'!B165="","",'10. Gantt S2L'!C165)</f>
        <v/>
      </c>
      <c r="D361" s="1" t="str">
        <f aca="false">IF('10. Gantt S2L'!B165="","",'10. Gantt S2L'!D165)</f>
        <v/>
      </c>
      <c r="E361" s="1" t="str">
        <f aca="false">IF('10. Gantt S2L'!B165="","",'10. Gantt S2L'!E165)</f>
        <v/>
      </c>
      <c r="F361" s="1" t="str">
        <f aca="false">IF('10. Gantt S2L'!B165="","",'10. Gantt S2L'!G165)</f>
        <v/>
      </c>
      <c r="G361" s="167" t="str">
        <f aca="false">IF('10. Gantt S2L'!B165="","",'10. Gantt S2L'!H165)</f>
        <v/>
      </c>
      <c r="H361" s="167" t="str">
        <f aca="false">IF('10. Gantt S2L'!B165="","",'10. Gantt S2L'!I165)</f>
        <v/>
      </c>
      <c r="I361" s="167" t="str">
        <f aca="false">IF('10. Gantt S2L'!B165="","",'10. Gantt S2L'!K165)</f>
        <v/>
      </c>
      <c r="J361" s="168" t="str">
        <f aca="false">IF('10. Gantt S2L'!B165="","",'10. Gantt S2L'!M165)</f>
        <v/>
      </c>
      <c r="K361" s="168" t="str">
        <f aca="false">IF('10. Gantt S2L'!B165="","",'10. Gantt S2L'!N165)</f>
        <v/>
      </c>
      <c r="L361" s="169" t="str">
        <f aca="false">IF('10. Gantt S2L'!B165="","",'10. Gantt S2L'!O165)</f>
        <v/>
      </c>
      <c r="M361" s="169" t="str">
        <f aca="false">IF('10. Gantt S2L'!B165="","",'10. Gantt S2L'!P165)</f>
        <v/>
      </c>
      <c r="N361" s="1" t="str">
        <f aca="false">IF('10. Gantt S2L'!B165="","",'10. Gantt S2L'!Q165)</f>
        <v/>
      </c>
      <c r="O361" s="1" t="str">
        <f aca="false">IF('10. Gantt S2L'!B165="","",'10. Gantt S2L'!R165)</f>
        <v/>
      </c>
      <c r="P361" s="1" t="str">
        <f aca="false">IF('10. Gantt S2L'!B165="","",'10. Gantt S2L'!S165)</f>
        <v/>
      </c>
      <c r="Q361" s="1" t="str">
        <f aca="false">IF('10. Gantt S2L'!B165="","",'10. Gantt S2L'!T165)</f>
        <v/>
      </c>
      <c r="R361" s="1" t="str">
        <f aca="false">IF('10. Gantt S2L'!B165="","",'10. Gantt S2L'!U165)</f>
        <v/>
      </c>
    </row>
    <row r="362" customFormat="false" ht="15" hidden="false" customHeight="true" outlineLevel="0" collapsed="false">
      <c r="A362" s="1" t="str">
        <f aca="false">IF('10. Gantt S2L'!B166="","","SPACE TO LEAD")</f>
        <v/>
      </c>
      <c r="B362" s="1" t="str">
        <f aca="false">IF('10. Gantt S2L'!B166="","",'10. Gantt S2L'!B166)</f>
        <v/>
      </c>
      <c r="C362" s="1" t="str">
        <f aca="false">IF('10. Gantt S2L'!B166="","",'10. Gantt S2L'!C166)</f>
        <v/>
      </c>
      <c r="D362" s="1" t="str">
        <f aca="false">IF('10. Gantt S2L'!B166="","",'10. Gantt S2L'!D166)</f>
        <v/>
      </c>
      <c r="E362" s="1" t="str">
        <f aca="false">IF('10. Gantt S2L'!B166="","",'10. Gantt S2L'!E166)</f>
        <v/>
      </c>
      <c r="F362" s="1" t="str">
        <f aca="false">IF('10. Gantt S2L'!B166="","",'10. Gantt S2L'!G166)</f>
        <v/>
      </c>
      <c r="G362" s="167" t="str">
        <f aca="false">IF('10. Gantt S2L'!B166="","",'10. Gantt S2L'!H166)</f>
        <v/>
      </c>
      <c r="H362" s="167" t="str">
        <f aca="false">IF('10. Gantt S2L'!B166="","",'10. Gantt S2L'!I166)</f>
        <v/>
      </c>
      <c r="I362" s="167" t="str">
        <f aca="false">IF('10. Gantt S2L'!B166="","",'10. Gantt S2L'!K166)</f>
        <v/>
      </c>
      <c r="J362" s="168" t="str">
        <f aca="false">IF('10. Gantt S2L'!B166="","",'10. Gantt S2L'!M166)</f>
        <v/>
      </c>
      <c r="K362" s="168" t="str">
        <f aca="false">IF('10. Gantt S2L'!B166="","",'10. Gantt S2L'!N166)</f>
        <v/>
      </c>
      <c r="L362" s="169" t="str">
        <f aca="false">IF('10. Gantt S2L'!B166="","",'10. Gantt S2L'!O166)</f>
        <v/>
      </c>
      <c r="M362" s="169" t="str">
        <f aca="false">IF('10. Gantt S2L'!B166="","",'10. Gantt S2L'!P166)</f>
        <v/>
      </c>
      <c r="N362" s="1" t="str">
        <f aca="false">IF('10. Gantt S2L'!B166="","",'10. Gantt S2L'!Q166)</f>
        <v/>
      </c>
      <c r="O362" s="1" t="str">
        <f aca="false">IF('10. Gantt S2L'!B166="","",'10. Gantt S2L'!R166)</f>
        <v/>
      </c>
      <c r="P362" s="1" t="str">
        <f aca="false">IF('10. Gantt S2L'!B166="","",'10. Gantt S2L'!S166)</f>
        <v/>
      </c>
      <c r="Q362" s="1" t="str">
        <f aca="false">IF('10. Gantt S2L'!B166="","",'10. Gantt S2L'!T166)</f>
        <v/>
      </c>
      <c r="R362" s="1" t="str">
        <f aca="false">IF('10. Gantt S2L'!B166="","",'10. Gantt S2L'!U166)</f>
        <v/>
      </c>
    </row>
    <row r="363" customFormat="false" ht="15" hidden="false" customHeight="true" outlineLevel="0" collapsed="false">
      <c r="A363" s="1" t="str">
        <f aca="false">IF('10. Gantt S2L'!B167="","","SPACE TO LEAD")</f>
        <v/>
      </c>
      <c r="B363" s="1" t="str">
        <f aca="false">IF('10. Gantt S2L'!B167="","",'10. Gantt S2L'!B167)</f>
        <v/>
      </c>
      <c r="C363" s="1" t="str">
        <f aca="false">IF('10. Gantt S2L'!B167="","",'10. Gantt S2L'!C167)</f>
        <v/>
      </c>
      <c r="D363" s="1" t="str">
        <f aca="false">IF('10. Gantt S2L'!B167="","",'10. Gantt S2L'!D167)</f>
        <v/>
      </c>
      <c r="E363" s="1" t="str">
        <f aca="false">IF('10. Gantt S2L'!B167="","",'10. Gantt S2L'!E167)</f>
        <v/>
      </c>
      <c r="F363" s="1" t="str">
        <f aca="false">IF('10. Gantt S2L'!B167="","",'10. Gantt S2L'!G167)</f>
        <v/>
      </c>
      <c r="G363" s="167" t="str">
        <f aca="false">IF('10. Gantt S2L'!B167="","",'10. Gantt S2L'!H167)</f>
        <v/>
      </c>
      <c r="H363" s="167" t="str">
        <f aca="false">IF('10. Gantt S2L'!B167="","",'10. Gantt S2L'!I167)</f>
        <v/>
      </c>
      <c r="I363" s="167" t="str">
        <f aca="false">IF('10. Gantt S2L'!B167="","",'10. Gantt S2L'!K167)</f>
        <v/>
      </c>
      <c r="J363" s="168" t="str">
        <f aca="false">IF('10. Gantt S2L'!B167="","",'10. Gantt S2L'!M167)</f>
        <v/>
      </c>
      <c r="K363" s="168" t="str">
        <f aca="false">IF('10. Gantt S2L'!B167="","",'10. Gantt S2L'!N167)</f>
        <v/>
      </c>
      <c r="L363" s="169" t="str">
        <f aca="false">IF('10. Gantt S2L'!B167="","",'10. Gantt S2L'!O167)</f>
        <v/>
      </c>
      <c r="M363" s="169" t="str">
        <f aca="false">IF('10. Gantt S2L'!B167="","",'10. Gantt S2L'!P167)</f>
        <v/>
      </c>
      <c r="N363" s="1" t="str">
        <f aca="false">IF('10. Gantt S2L'!B167="","",'10. Gantt S2L'!Q167)</f>
        <v/>
      </c>
      <c r="O363" s="1" t="str">
        <f aca="false">IF('10. Gantt S2L'!B167="","",'10. Gantt S2L'!R167)</f>
        <v/>
      </c>
      <c r="P363" s="1" t="str">
        <f aca="false">IF('10. Gantt S2L'!B167="","",'10. Gantt S2L'!S167)</f>
        <v/>
      </c>
      <c r="Q363" s="1" t="str">
        <f aca="false">IF('10. Gantt S2L'!B167="","",'10. Gantt S2L'!T167)</f>
        <v/>
      </c>
      <c r="R363" s="1" t="str">
        <f aca="false">IF('10. Gantt S2L'!B167="","",'10. Gantt S2L'!U167)</f>
        <v/>
      </c>
    </row>
    <row r="364" customFormat="false" ht="15" hidden="false" customHeight="true" outlineLevel="0" collapsed="false">
      <c r="A364" s="1" t="str">
        <f aca="false">IF('10. Gantt S2L'!B168="","","SPACE TO LEAD")</f>
        <v/>
      </c>
      <c r="B364" s="1" t="str">
        <f aca="false">IF('10. Gantt S2L'!B168="","",'10. Gantt S2L'!B168)</f>
        <v/>
      </c>
      <c r="C364" s="1" t="str">
        <f aca="false">IF('10. Gantt S2L'!B168="","",'10. Gantt S2L'!C168)</f>
        <v/>
      </c>
      <c r="D364" s="1" t="str">
        <f aca="false">IF('10. Gantt S2L'!B168="","",'10. Gantt S2L'!D168)</f>
        <v/>
      </c>
      <c r="E364" s="1" t="str">
        <f aca="false">IF('10. Gantt S2L'!B168="","",'10. Gantt S2L'!E168)</f>
        <v/>
      </c>
      <c r="F364" s="1" t="str">
        <f aca="false">IF('10. Gantt S2L'!B168="","",'10. Gantt S2L'!G168)</f>
        <v/>
      </c>
      <c r="G364" s="167" t="str">
        <f aca="false">IF('10. Gantt S2L'!B168="","",'10. Gantt S2L'!H168)</f>
        <v/>
      </c>
      <c r="H364" s="167" t="str">
        <f aca="false">IF('10. Gantt S2L'!B168="","",'10. Gantt S2L'!I168)</f>
        <v/>
      </c>
      <c r="I364" s="167" t="str">
        <f aca="false">IF('10. Gantt S2L'!B168="","",'10. Gantt S2L'!K168)</f>
        <v/>
      </c>
      <c r="J364" s="168" t="str">
        <f aca="false">IF('10. Gantt S2L'!B168="","",'10. Gantt S2L'!M168)</f>
        <v/>
      </c>
      <c r="K364" s="168" t="str">
        <f aca="false">IF('10. Gantt S2L'!B168="","",'10. Gantt S2L'!N168)</f>
        <v/>
      </c>
      <c r="L364" s="169" t="str">
        <f aca="false">IF('10. Gantt S2L'!B168="","",'10. Gantt S2L'!O168)</f>
        <v/>
      </c>
      <c r="M364" s="169" t="str">
        <f aca="false">IF('10. Gantt S2L'!B168="","",'10. Gantt S2L'!P168)</f>
        <v/>
      </c>
      <c r="N364" s="1" t="str">
        <f aca="false">IF('10. Gantt S2L'!B168="","",'10. Gantt S2L'!Q168)</f>
        <v/>
      </c>
      <c r="O364" s="1" t="str">
        <f aca="false">IF('10. Gantt S2L'!B168="","",'10. Gantt S2L'!R168)</f>
        <v/>
      </c>
      <c r="P364" s="1" t="str">
        <f aca="false">IF('10. Gantt S2L'!B168="","",'10. Gantt S2L'!S168)</f>
        <v/>
      </c>
      <c r="Q364" s="1" t="str">
        <f aca="false">IF('10. Gantt S2L'!B168="","",'10. Gantt S2L'!T168)</f>
        <v/>
      </c>
      <c r="R364" s="1" t="str">
        <f aca="false">IF('10. Gantt S2L'!B168="","",'10. Gantt S2L'!U168)</f>
        <v/>
      </c>
    </row>
    <row r="365" customFormat="false" ht="15" hidden="false" customHeight="true" outlineLevel="0" collapsed="false">
      <c r="A365" s="1" t="str">
        <f aca="false">IF('10. Gantt S2L'!B169="","","SPACE TO LEAD")</f>
        <v/>
      </c>
      <c r="B365" s="1" t="str">
        <f aca="false">IF('10. Gantt S2L'!B169="","",'10. Gantt S2L'!B169)</f>
        <v/>
      </c>
      <c r="C365" s="1" t="str">
        <f aca="false">IF('10. Gantt S2L'!B169="","",'10. Gantt S2L'!C169)</f>
        <v/>
      </c>
      <c r="D365" s="1" t="str">
        <f aca="false">IF('10. Gantt S2L'!B169="","",'10. Gantt S2L'!D169)</f>
        <v/>
      </c>
      <c r="E365" s="1" t="str">
        <f aca="false">IF('10. Gantt S2L'!B169="","",'10. Gantt S2L'!E169)</f>
        <v/>
      </c>
      <c r="F365" s="1" t="str">
        <f aca="false">IF('10. Gantt S2L'!B169="","",'10. Gantt S2L'!G169)</f>
        <v/>
      </c>
      <c r="G365" s="167" t="str">
        <f aca="false">IF('10. Gantt S2L'!B169="","",'10. Gantt S2L'!H169)</f>
        <v/>
      </c>
      <c r="H365" s="167" t="str">
        <f aca="false">IF('10. Gantt S2L'!B169="","",'10. Gantt S2L'!I169)</f>
        <v/>
      </c>
      <c r="I365" s="167" t="str">
        <f aca="false">IF('10. Gantt S2L'!B169="","",'10. Gantt S2L'!K169)</f>
        <v/>
      </c>
      <c r="J365" s="168" t="str">
        <f aca="false">IF('10. Gantt S2L'!B169="","",'10. Gantt S2L'!M169)</f>
        <v/>
      </c>
      <c r="K365" s="168" t="str">
        <f aca="false">IF('10. Gantt S2L'!B169="","",'10. Gantt S2L'!N169)</f>
        <v/>
      </c>
      <c r="L365" s="169" t="str">
        <f aca="false">IF('10. Gantt S2L'!B169="","",'10. Gantt S2L'!O169)</f>
        <v/>
      </c>
      <c r="M365" s="169" t="str">
        <f aca="false">IF('10. Gantt S2L'!B169="","",'10. Gantt S2L'!P169)</f>
        <v/>
      </c>
      <c r="N365" s="1" t="str">
        <f aca="false">IF('10. Gantt S2L'!B169="","",'10. Gantt S2L'!Q169)</f>
        <v/>
      </c>
      <c r="O365" s="1" t="str">
        <f aca="false">IF('10. Gantt S2L'!B169="","",'10. Gantt S2L'!R169)</f>
        <v/>
      </c>
      <c r="P365" s="1" t="str">
        <f aca="false">IF('10. Gantt S2L'!B169="","",'10. Gantt S2L'!S169)</f>
        <v/>
      </c>
      <c r="Q365" s="1" t="str">
        <f aca="false">IF('10. Gantt S2L'!B169="","",'10. Gantt S2L'!T169)</f>
        <v/>
      </c>
      <c r="R365" s="1" t="str">
        <f aca="false">IF('10. Gantt S2L'!B169="","",'10. Gantt S2L'!U169)</f>
        <v/>
      </c>
    </row>
    <row r="366" customFormat="false" ht="15" hidden="false" customHeight="true" outlineLevel="0" collapsed="false">
      <c r="A366" s="1" t="str">
        <f aca="false">IF('10. Gantt S2L'!B170="","","SPACE TO LEAD")</f>
        <v/>
      </c>
      <c r="B366" s="1" t="str">
        <f aca="false">IF('10. Gantt S2L'!B170="","",'10. Gantt S2L'!B170)</f>
        <v/>
      </c>
      <c r="C366" s="1" t="str">
        <f aca="false">IF('10. Gantt S2L'!B170="","",'10. Gantt S2L'!C170)</f>
        <v/>
      </c>
      <c r="D366" s="1" t="str">
        <f aca="false">IF('10. Gantt S2L'!B170="","",'10. Gantt S2L'!D170)</f>
        <v/>
      </c>
      <c r="E366" s="1" t="str">
        <f aca="false">IF('10. Gantt S2L'!B170="","",'10. Gantt S2L'!E170)</f>
        <v/>
      </c>
      <c r="F366" s="1" t="str">
        <f aca="false">IF('10. Gantt S2L'!B170="","",'10. Gantt S2L'!G170)</f>
        <v/>
      </c>
      <c r="G366" s="167" t="str">
        <f aca="false">IF('10. Gantt S2L'!B170="","",'10. Gantt S2L'!H170)</f>
        <v/>
      </c>
      <c r="H366" s="167" t="str">
        <f aca="false">IF('10. Gantt S2L'!B170="","",'10. Gantt S2L'!I170)</f>
        <v/>
      </c>
      <c r="I366" s="167" t="str">
        <f aca="false">IF('10. Gantt S2L'!B170="","",'10. Gantt S2L'!K170)</f>
        <v/>
      </c>
      <c r="J366" s="168" t="str">
        <f aca="false">IF('10. Gantt S2L'!B170="","",'10. Gantt S2L'!M170)</f>
        <v/>
      </c>
      <c r="K366" s="168" t="str">
        <f aca="false">IF('10. Gantt S2L'!B170="","",'10. Gantt S2L'!N170)</f>
        <v/>
      </c>
      <c r="L366" s="169" t="str">
        <f aca="false">IF('10. Gantt S2L'!B170="","",'10. Gantt S2L'!O170)</f>
        <v/>
      </c>
      <c r="M366" s="169" t="str">
        <f aca="false">IF('10. Gantt S2L'!B170="","",'10. Gantt S2L'!P170)</f>
        <v/>
      </c>
      <c r="N366" s="1" t="str">
        <f aca="false">IF('10. Gantt S2L'!B170="","",'10. Gantt S2L'!Q170)</f>
        <v/>
      </c>
      <c r="O366" s="1" t="str">
        <f aca="false">IF('10. Gantt S2L'!B170="","",'10. Gantt S2L'!R170)</f>
        <v/>
      </c>
      <c r="P366" s="1" t="str">
        <f aca="false">IF('10. Gantt S2L'!B170="","",'10. Gantt S2L'!S170)</f>
        <v/>
      </c>
      <c r="Q366" s="1" t="str">
        <f aca="false">IF('10. Gantt S2L'!B170="","",'10. Gantt S2L'!T170)</f>
        <v/>
      </c>
      <c r="R366" s="1" t="str">
        <f aca="false">IF('10. Gantt S2L'!B170="","",'10. Gantt S2L'!U170)</f>
        <v/>
      </c>
    </row>
    <row r="367" customFormat="false" ht="15" hidden="false" customHeight="true" outlineLevel="0" collapsed="false">
      <c r="A367" s="1" t="str">
        <f aca="false">IF('10. Gantt S2L'!B171="","","SPACE TO LEAD")</f>
        <v/>
      </c>
      <c r="B367" s="1" t="str">
        <f aca="false">IF('10. Gantt S2L'!B171="","",'10. Gantt S2L'!B171)</f>
        <v/>
      </c>
      <c r="C367" s="1" t="str">
        <f aca="false">IF('10. Gantt S2L'!B171="","",'10. Gantt S2L'!C171)</f>
        <v/>
      </c>
      <c r="D367" s="1" t="str">
        <f aca="false">IF('10. Gantt S2L'!B171="","",'10. Gantt S2L'!D171)</f>
        <v/>
      </c>
      <c r="E367" s="1" t="str">
        <f aca="false">IF('10. Gantt S2L'!B171="","",'10. Gantt S2L'!E171)</f>
        <v/>
      </c>
      <c r="F367" s="1" t="str">
        <f aca="false">IF('10. Gantt S2L'!B171="","",'10. Gantt S2L'!G171)</f>
        <v/>
      </c>
      <c r="G367" s="167" t="str">
        <f aca="false">IF('10. Gantt S2L'!B171="","",'10. Gantt S2L'!H171)</f>
        <v/>
      </c>
      <c r="H367" s="167" t="str">
        <f aca="false">IF('10. Gantt S2L'!B171="","",'10. Gantt S2L'!I171)</f>
        <v/>
      </c>
      <c r="I367" s="167" t="str">
        <f aca="false">IF('10. Gantt S2L'!B171="","",'10. Gantt S2L'!K171)</f>
        <v/>
      </c>
      <c r="J367" s="168" t="str">
        <f aca="false">IF('10. Gantt S2L'!B171="","",'10. Gantt S2L'!M171)</f>
        <v/>
      </c>
      <c r="K367" s="168" t="str">
        <f aca="false">IF('10. Gantt S2L'!B171="","",'10. Gantt S2L'!N171)</f>
        <v/>
      </c>
      <c r="L367" s="169" t="str">
        <f aca="false">IF('10. Gantt S2L'!B171="","",'10. Gantt S2L'!O171)</f>
        <v/>
      </c>
      <c r="M367" s="169" t="str">
        <f aca="false">IF('10. Gantt S2L'!B171="","",'10. Gantt S2L'!P171)</f>
        <v/>
      </c>
      <c r="N367" s="1" t="str">
        <f aca="false">IF('10. Gantt S2L'!B171="","",'10. Gantt S2L'!Q171)</f>
        <v/>
      </c>
      <c r="O367" s="1" t="str">
        <f aca="false">IF('10. Gantt S2L'!B171="","",'10. Gantt S2L'!R171)</f>
        <v/>
      </c>
      <c r="P367" s="1" t="str">
        <f aca="false">IF('10. Gantt S2L'!B171="","",'10. Gantt S2L'!S171)</f>
        <v/>
      </c>
      <c r="Q367" s="1" t="str">
        <f aca="false">IF('10. Gantt S2L'!B171="","",'10. Gantt S2L'!T171)</f>
        <v/>
      </c>
      <c r="R367" s="1" t="str">
        <f aca="false">IF('10. Gantt S2L'!B171="","",'10. Gantt S2L'!U171)</f>
        <v/>
      </c>
    </row>
    <row r="368" customFormat="false" ht="15" hidden="false" customHeight="true" outlineLevel="0" collapsed="false">
      <c r="A368" s="1" t="str">
        <f aca="false">IF('10. Gantt S2L'!B172="","","SPACE TO LEAD")</f>
        <v/>
      </c>
      <c r="B368" s="1" t="str">
        <f aca="false">IF('10. Gantt S2L'!B172="","",'10. Gantt S2L'!B172)</f>
        <v/>
      </c>
      <c r="C368" s="1" t="str">
        <f aca="false">IF('10. Gantt S2L'!B172="","",'10. Gantt S2L'!C172)</f>
        <v/>
      </c>
      <c r="D368" s="1" t="str">
        <f aca="false">IF('10. Gantt S2L'!B172="","",'10. Gantt S2L'!D172)</f>
        <v/>
      </c>
      <c r="E368" s="1" t="str">
        <f aca="false">IF('10. Gantt S2L'!B172="","",'10. Gantt S2L'!E172)</f>
        <v/>
      </c>
      <c r="F368" s="1" t="str">
        <f aca="false">IF('10. Gantt S2L'!B172="","",'10. Gantt S2L'!G172)</f>
        <v/>
      </c>
      <c r="G368" s="167" t="str">
        <f aca="false">IF('10. Gantt S2L'!B172="","",'10. Gantt S2L'!H172)</f>
        <v/>
      </c>
      <c r="H368" s="167" t="str">
        <f aca="false">IF('10. Gantt S2L'!B172="","",'10. Gantt S2L'!I172)</f>
        <v/>
      </c>
      <c r="I368" s="167" t="str">
        <f aca="false">IF('10. Gantt S2L'!B172="","",'10. Gantt S2L'!K172)</f>
        <v/>
      </c>
      <c r="J368" s="168" t="str">
        <f aca="false">IF('10. Gantt S2L'!B172="","",'10. Gantt S2L'!M172)</f>
        <v/>
      </c>
      <c r="K368" s="168" t="str">
        <f aca="false">IF('10. Gantt S2L'!B172="","",'10. Gantt S2L'!N172)</f>
        <v/>
      </c>
      <c r="L368" s="169" t="str">
        <f aca="false">IF('10. Gantt S2L'!B172="","",'10. Gantt S2L'!O172)</f>
        <v/>
      </c>
      <c r="M368" s="169" t="str">
        <f aca="false">IF('10. Gantt S2L'!B172="","",'10. Gantt S2L'!P172)</f>
        <v/>
      </c>
      <c r="N368" s="1" t="str">
        <f aca="false">IF('10. Gantt S2L'!B172="","",'10. Gantt S2L'!Q172)</f>
        <v/>
      </c>
      <c r="O368" s="1" t="str">
        <f aca="false">IF('10. Gantt S2L'!B172="","",'10. Gantt S2L'!R172)</f>
        <v/>
      </c>
      <c r="P368" s="1" t="str">
        <f aca="false">IF('10. Gantt S2L'!B172="","",'10. Gantt S2L'!S172)</f>
        <v/>
      </c>
      <c r="Q368" s="1" t="str">
        <f aca="false">IF('10. Gantt S2L'!B172="","",'10. Gantt S2L'!T172)</f>
        <v/>
      </c>
      <c r="R368" s="1" t="str">
        <f aca="false">IF('10. Gantt S2L'!B172="","",'10. Gantt S2L'!U172)</f>
        <v/>
      </c>
    </row>
    <row r="369" customFormat="false" ht="15" hidden="false" customHeight="true" outlineLevel="0" collapsed="false">
      <c r="A369" s="1" t="str">
        <f aca="false">IF('10. Gantt S2L'!B173="","","SPACE TO LEAD")</f>
        <v/>
      </c>
      <c r="B369" s="1" t="str">
        <f aca="false">IF('10. Gantt S2L'!B173="","",'10. Gantt S2L'!B173)</f>
        <v/>
      </c>
      <c r="C369" s="1" t="str">
        <f aca="false">IF('10. Gantt S2L'!B173="","",'10. Gantt S2L'!C173)</f>
        <v/>
      </c>
      <c r="D369" s="1" t="str">
        <f aca="false">IF('10. Gantt S2L'!B173="","",'10. Gantt S2L'!D173)</f>
        <v/>
      </c>
      <c r="E369" s="1" t="str">
        <f aca="false">IF('10. Gantt S2L'!B173="","",'10. Gantt S2L'!E173)</f>
        <v/>
      </c>
      <c r="F369" s="1" t="str">
        <f aca="false">IF('10. Gantt S2L'!B173="","",'10. Gantt S2L'!G173)</f>
        <v/>
      </c>
      <c r="G369" s="167" t="str">
        <f aca="false">IF('10. Gantt S2L'!B173="","",'10. Gantt S2L'!H173)</f>
        <v/>
      </c>
      <c r="H369" s="167" t="str">
        <f aca="false">IF('10. Gantt S2L'!B173="","",'10. Gantt S2L'!I173)</f>
        <v/>
      </c>
      <c r="I369" s="167" t="str">
        <f aca="false">IF('10. Gantt S2L'!B173="","",'10. Gantt S2L'!K173)</f>
        <v/>
      </c>
      <c r="J369" s="168" t="str">
        <f aca="false">IF('10. Gantt S2L'!B173="","",'10. Gantt S2L'!M173)</f>
        <v/>
      </c>
      <c r="K369" s="168" t="str">
        <f aca="false">IF('10. Gantt S2L'!B173="","",'10. Gantt S2L'!N173)</f>
        <v/>
      </c>
      <c r="L369" s="169" t="str">
        <f aca="false">IF('10. Gantt S2L'!B173="","",'10. Gantt S2L'!O173)</f>
        <v/>
      </c>
      <c r="M369" s="169" t="str">
        <f aca="false">IF('10. Gantt S2L'!B173="","",'10. Gantt S2L'!P173)</f>
        <v/>
      </c>
      <c r="N369" s="1" t="str">
        <f aca="false">IF('10. Gantt S2L'!B173="","",'10. Gantt S2L'!Q173)</f>
        <v/>
      </c>
      <c r="O369" s="1" t="str">
        <f aca="false">IF('10. Gantt S2L'!B173="","",'10. Gantt S2L'!R173)</f>
        <v/>
      </c>
      <c r="P369" s="1" t="str">
        <f aca="false">IF('10. Gantt S2L'!B173="","",'10. Gantt S2L'!S173)</f>
        <v/>
      </c>
      <c r="Q369" s="1" t="str">
        <f aca="false">IF('10. Gantt S2L'!B173="","",'10. Gantt S2L'!T173)</f>
        <v/>
      </c>
      <c r="R369" s="1" t="str">
        <f aca="false">IF('10. Gantt S2L'!B173="","",'10. Gantt S2L'!U173)</f>
        <v/>
      </c>
    </row>
    <row r="370" customFormat="false" ht="15" hidden="false" customHeight="true" outlineLevel="0" collapsed="false">
      <c r="A370" s="1" t="str">
        <f aca="false">IF('10. Gantt S2L'!B174="","","SPACE TO LEAD")</f>
        <v/>
      </c>
      <c r="B370" s="1" t="str">
        <f aca="false">IF('10. Gantt S2L'!B174="","",'10. Gantt S2L'!B174)</f>
        <v/>
      </c>
      <c r="C370" s="1" t="str">
        <f aca="false">IF('10. Gantt S2L'!B174="","",'10. Gantt S2L'!C174)</f>
        <v/>
      </c>
      <c r="D370" s="1" t="str">
        <f aca="false">IF('10. Gantt S2L'!B174="","",'10. Gantt S2L'!D174)</f>
        <v/>
      </c>
      <c r="E370" s="1" t="str">
        <f aca="false">IF('10. Gantt S2L'!B174="","",'10. Gantt S2L'!E174)</f>
        <v/>
      </c>
      <c r="F370" s="1" t="str">
        <f aca="false">IF('10. Gantt S2L'!B174="","",'10. Gantt S2L'!G174)</f>
        <v/>
      </c>
      <c r="G370" s="167" t="str">
        <f aca="false">IF('10. Gantt S2L'!B174="","",'10. Gantt S2L'!H174)</f>
        <v/>
      </c>
      <c r="H370" s="167" t="str">
        <f aca="false">IF('10. Gantt S2L'!B174="","",'10. Gantt S2L'!I174)</f>
        <v/>
      </c>
      <c r="I370" s="167" t="str">
        <f aca="false">IF('10. Gantt S2L'!B174="","",'10. Gantt S2L'!K174)</f>
        <v/>
      </c>
      <c r="J370" s="168" t="str">
        <f aca="false">IF('10. Gantt S2L'!B174="","",'10. Gantt S2L'!M174)</f>
        <v/>
      </c>
      <c r="K370" s="168" t="str">
        <f aca="false">IF('10. Gantt S2L'!B174="","",'10. Gantt S2L'!N174)</f>
        <v/>
      </c>
      <c r="L370" s="169" t="str">
        <f aca="false">IF('10. Gantt S2L'!B174="","",'10. Gantt S2L'!O174)</f>
        <v/>
      </c>
      <c r="M370" s="169" t="str">
        <f aca="false">IF('10. Gantt S2L'!B174="","",'10. Gantt S2L'!P174)</f>
        <v/>
      </c>
      <c r="N370" s="1" t="str">
        <f aca="false">IF('10. Gantt S2L'!B174="","",'10. Gantt S2L'!Q174)</f>
        <v/>
      </c>
      <c r="O370" s="1" t="str">
        <f aca="false">IF('10. Gantt S2L'!B174="","",'10. Gantt S2L'!R174)</f>
        <v/>
      </c>
      <c r="P370" s="1" t="str">
        <f aca="false">IF('10. Gantt S2L'!B174="","",'10. Gantt S2L'!S174)</f>
        <v/>
      </c>
      <c r="Q370" s="1" t="str">
        <f aca="false">IF('10. Gantt S2L'!B174="","",'10. Gantt S2L'!T174)</f>
        <v/>
      </c>
      <c r="R370" s="1" t="str">
        <f aca="false">IF('10. Gantt S2L'!B174="","",'10. Gantt S2L'!U174)</f>
        <v/>
      </c>
    </row>
    <row r="371" customFormat="false" ht="15" hidden="false" customHeight="true" outlineLevel="0" collapsed="false">
      <c r="A371" s="1" t="str">
        <f aca="false">IF('10. Gantt S2L'!B175="","","SPACE TO LEAD")</f>
        <v/>
      </c>
      <c r="B371" s="1" t="str">
        <f aca="false">IF('10. Gantt S2L'!B175="","",'10. Gantt S2L'!B175)</f>
        <v/>
      </c>
      <c r="C371" s="1" t="str">
        <f aca="false">IF('10. Gantt S2L'!B175="","",'10. Gantt S2L'!C175)</f>
        <v/>
      </c>
      <c r="D371" s="1" t="str">
        <f aca="false">IF('10. Gantt S2L'!B175="","",'10. Gantt S2L'!D175)</f>
        <v/>
      </c>
      <c r="E371" s="1" t="str">
        <f aca="false">IF('10. Gantt S2L'!B175="","",'10. Gantt S2L'!E175)</f>
        <v/>
      </c>
      <c r="F371" s="1" t="str">
        <f aca="false">IF('10. Gantt S2L'!B175="","",'10. Gantt S2L'!G175)</f>
        <v/>
      </c>
      <c r="G371" s="167" t="str">
        <f aca="false">IF('10. Gantt S2L'!B175="","",'10. Gantt S2L'!H175)</f>
        <v/>
      </c>
      <c r="H371" s="167" t="str">
        <f aca="false">IF('10. Gantt S2L'!B175="","",'10. Gantt S2L'!I175)</f>
        <v/>
      </c>
      <c r="I371" s="167" t="str">
        <f aca="false">IF('10. Gantt S2L'!B175="","",'10. Gantt S2L'!K175)</f>
        <v/>
      </c>
      <c r="J371" s="168" t="str">
        <f aca="false">IF('10. Gantt S2L'!B175="","",'10. Gantt S2L'!M175)</f>
        <v/>
      </c>
      <c r="K371" s="168" t="str">
        <f aca="false">IF('10. Gantt S2L'!B175="","",'10. Gantt S2L'!N175)</f>
        <v/>
      </c>
      <c r="L371" s="169" t="str">
        <f aca="false">IF('10. Gantt S2L'!B175="","",'10. Gantt S2L'!O175)</f>
        <v/>
      </c>
      <c r="M371" s="169" t="str">
        <f aca="false">IF('10. Gantt S2L'!B175="","",'10. Gantt S2L'!P175)</f>
        <v/>
      </c>
      <c r="N371" s="1" t="str">
        <f aca="false">IF('10. Gantt S2L'!B175="","",'10. Gantt S2L'!Q175)</f>
        <v/>
      </c>
      <c r="O371" s="1" t="str">
        <f aca="false">IF('10. Gantt S2L'!B175="","",'10. Gantt S2L'!R175)</f>
        <v/>
      </c>
      <c r="P371" s="1" t="str">
        <f aca="false">IF('10. Gantt S2L'!B175="","",'10. Gantt S2L'!S175)</f>
        <v/>
      </c>
      <c r="Q371" s="1" t="str">
        <f aca="false">IF('10. Gantt S2L'!B175="","",'10. Gantt S2L'!T175)</f>
        <v/>
      </c>
      <c r="R371" s="1" t="str">
        <f aca="false">IF('10. Gantt S2L'!B175="","",'10. Gantt S2L'!U175)</f>
        <v/>
      </c>
    </row>
    <row r="372" customFormat="false" ht="15" hidden="false" customHeight="true" outlineLevel="0" collapsed="false">
      <c r="A372" s="1" t="str">
        <f aca="false">IF('10. Gantt S2L'!B176="","","SPACE TO LEAD")</f>
        <v/>
      </c>
      <c r="B372" s="1" t="str">
        <f aca="false">IF('10. Gantt S2L'!B176="","",'10. Gantt S2L'!B176)</f>
        <v/>
      </c>
      <c r="C372" s="1" t="str">
        <f aca="false">IF('10. Gantt S2L'!B176="","",'10. Gantt S2L'!C176)</f>
        <v/>
      </c>
      <c r="D372" s="1" t="str">
        <f aca="false">IF('10. Gantt S2L'!B176="","",'10. Gantt S2L'!D176)</f>
        <v/>
      </c>
      <c r="E372" s="1" t="str">
        <f aca="false">IF('10. Gantt S2L'!B176="","",'10. Gantt S2L'!E176)</f>
        <v/>
      </c>
      <c r="F372" s="1" t="str">
        <f aca="false">IF('10. Gantt S2L'!B176="","",'10. Gantt S2L'!G176)</f>
        <v/>
      </c>
      <c r="G372" s="167" t="str">
        <f aca="false">IF('10. Gantt S2L'!B176="","",'10. Gantt S2L'!H176)</f>
        <v/>
      </c>
      <c r="H372" s="167" t="str">
        <f aca="false">IF('10. Gantt S2L'!B176="","",'10. Gantt S2L'!I176)</f>
        <v/>
      </c>
      <c r="I372" s="167" t="str">
        <f aca="false">IF('10. Gantt S2L'!B176="","",'10. Gantt S2L'!K176)</f>
        <v/>
      </c>
      <c r="J372" s="168" t="str">
        <f aca="false">IF('10. Gantt S2L'!B176="","",'10. Gantt S2L'!M176)</f>
        <v/>
      </c>
      <c r="K372" s="168" t="str">
        <f aca="false">IF('10. Gantt S2L'!B176="","",'10. Gantt S2L'!N176)</f>
        <v/>
      </c>
      <c r="L372" s="169" t="str">
        <f aca="false">IF('10. Gantt S2L'!B176="","",'10. Gantt S2L'!O176)</f>
        <v/>
      </c>
      <c r="M372" s="169" t="str">
        <f aca="false">IF('10. Gantt S2L'!B176="","",'10. Gantt S2L'!P176)</f>
        <v/>
      </c>
      <c r="N372" s="1" t="str">
        <f aca="false">IF('10. Gantt S2L'!B176="","",'10. Gantt S2L'!Q176)</f>
        <v/>
      </c>
      <c r="O372" s="1" t="str">
        <f aca="false">IF('10. Gantt S2L'!B176="","",'10. Gantt S2L'!R176)</f>
        <v/>
      </c>
      <c r="P372" s="1" t="str">
        <f aca="false">IF('10. Gantt S2L'!B176="","",'10. Gantt S2L'!S176)</f>
        <v/>
      </c>
      <c r="Q372" s="1" t="str">
        <f aca="false">IF('10. Gantt S2L'!B176="","",'10. Gantt S2L'!T176)</f>
        <v/>
      </c>
      <c r="R372" s="1" t="str">
        <f aca="false">IF('10. Gantt S2L'!B176="","",'10. Gantt S2L'!U176)</f>
        <v/>
      </c>
    </row>
    <row r="373" customFormat="false" ht="15" hidden="false" customHeight="true" outlineLevel="0" collapsed="false">
      <c r="A373" s="1" t="str">
        <f aca="false">IF('10. Gantt S2L'!B177="","","SPACE TO LEAD")</f>
        <v/>
      </c>
      <c r="B373" s="1" t="str">
        <f aca="false">IF('10. Gantt S2L'!B177="","",'10. Gantt S2L'!B177)</f>
        <v/>
      </c>
      <c r="C373" s="1" t="str">
        <f aca="false">IF('10. Gantt S2L'!B177="","",'10. Gantt S2L'!C177)</f>
        <v/>
      </c>
      <c r="D373" s="1" t="str">
        <f aca="false">IF('10. Gantt S2L'!B177="","",'10. Gantt S2L'!D177)</f>
        <v/>
      </c>
      <c r="E373" s="1" t="str">
        <f aca="false">IF('10. Gantt S2L'!B177="","",'10. Gantt S2L'!E177)</f>
        <v/>
      </c>
      <c r="F373" s="1" t="str">
        <f aca="false">IF('10. Gantt S2L'!B177="","",'10. Gantt S2L'!G177)</f>
        <v/>
      </c>
      <c r="G373" s="167" t="str">
        <f aca="false">IF('10. Gantt S2L'!B177="","",'10. Gantt S2L'!H177)</f>
        <v/>
      </c>
      <c r="H373" s="167" t="str">
        <f aca="false">IF('10. Gantt S2L'!B177="","",'10. Gantt S2L'!I177)</f>
        <v/>
      </c>
      <c r="I373" s="167" t="str">
        <f aca="false">IF('10. Gantt S2L'!B177="","",'10. Gantt S2L'!K177)</f>
        <v/>
      </c>
      <c r="J373" s="168" t="str">
        <f aca="false">IF('10. Gantt S2L'!B177="","",'10. Gantt S2L'!M177)</f>
        <v/>
      </c>
      <c r="K373" s="168" t="str">
        <f aca="false">IF('10. Gantt S2L'!B177="","",'10. Gantt S2L'!N177)</f>
        <v/>
      </c>
      <c r="L373" s="169" t="str">
        <f aca="false">IF('10. Gantt S2L'!B177="","",'10. Gantt S2L'!O177)</f>
        <v/>
      </c>
      <c r="M373" s="169" t="str">
        <f aca="false">IF('10. Gantt S2L'!B177="","",'10. Gantt S2L'!P177)</f>
        <v/>
      </c>
      <c r="N373" s="1" t="str">
        <f aca="false">IF('10. Gantt S2L'!B177="","",'10. Gantt S2L'!Q177)</f>
        <v/>
      </c>
      <c r="O373" s="1" t="str">
        <f aca="false">IF('10. Gantt S2L'!B177="","",'10. Gantt S2L'!R177)</f>
        <v/>
      </c>
      <c r="P373" s="1" t="str">
        <f aca="false">IF('10. Gantt S2L'!B177="","",'10. Gantt S2L'!S177)</f>
        <v/>
      </c>
      <c r="Q373" s="1" t="str">
        <f aca="false">IF('10. Gantt S2L'!B177="","",'10. Gantt S2L'!T177)</f>
        <v/>
      </c>
      <c r="R373" s="1" t="str">
        <f aca="false">IF('10. Gantt S2L'!B177="","",'10. Gantt S2L'!U177)</f>
        <v/>
      </c>
    </row>
    <row r="374" customFormat="false" ht="15" hidden="false" customHeight="true" outlineLevel="0" collapsed="false">
      <c r="A374" s="1" t="str">
        <f aca="false">IF('10. Gantt S2L'!B178="","","SPACE TO LEAD")</f>
        <v/>
      </c>
      <c r="B374" s="1" t="str">
        <f aca="false">IF('10. Gantt S2L'!B178="","",'10. Gantt S2L'!B178)</f>
        <v/>
      </c>
      <c r="C374" s="1" t="str">
        <f aca="false">IF('10. Gantt S2L'!B178="","",'10. Gantt S2L'!C178)</f>
        <v/>
      </c>
      <c r="D374" s="1" t="str">
        <f aca="false">IF('10. Gantt S2L'!B178="","",'10. Gantt S2L'!D178)</f>
        <v/>
      </c>
      <c r="E374" s="1" t="str">
        <f aca="false">IF('10. Gantt S2L'!B178="","",'10. Gantt S2L'!E178)</f>
        <v/>
      </c>
      <c r="F374" s="1" t="str">
        <f aca="false">IF('10. Gantt S2L'!B178="","",'10. Gantt S2L'!G178)</f>
        <v/>
      </c>
      <c r="G374" s="167" t="str">
        <f aca="false">IF('10. Gantt S2L'!B178="","",'10. Gantt S2L'!H178)</f>
        <v/>
      </c>
      <c r="H374" s="167" t="str">
        <f aca="false">IF('10. Gantt S2L'!B178="","",'10. Gantt S2L'!I178)</f>
        <v/>
      </c>
      <c r="I374" s="167" t="str">
        <f aca="false">IF('10. Gantt S2L'!B178="","",'10. Gantt S2L'!K178)</f>
        <v/>
      </c>
      <c r="J374" s="168" t="str">
        <f aca="false">IF('10. Gantt S2L'!B178="","",'10. Gantt S2L'!M178)</f>
        <v/>
      </c>
      <c r="K374" s="168" t="str">
        <f aca="false">IF('10. Gantt S2L'!B178="","",'10. Gantt S2L'!N178)</f>
        <v/>
      </c>
      <c r="L374" s="169" t="str">
        <f aca="false">IF('10. Gantt S2L'!B178="","",'10. Gantt S2L'!O178)</f>
        <v/>
      </c>
      <c r="M374" s="169" t="str">
        <f aca="false">IF('10. Gantt S2L'!B178="","",'10. Gantt S2L'!P178)</f>
        <v/>
      </c>
      <c r="N374" s="1" t="str">
        <f aca="false">IF('10. Gantt S2L'!B178="","",'10. Gantt S2L'!Q178)</f>
        <v/>
      </c>
      <c r="O374" s="1" t="str">
        <f aca="false">IF('10. Gantt S2L'!B178="","",'10. Gantt S2L'!R178)</f>
        <v/>
      </c>
      <c r="P374" s="1" t="str">
        <f aca="false">IF('10. Gantt S2L'!B178="","",'10. Gantt S2L'!S178)</f>
        <v/>
      </c>
      <c r="Q374" s="1" t="str">
        <f aca="false">IF('10. Gantt S2L'!B178="","",'10. Gantt S2L'!T178)</f>
        <v/>
      </c>
      <c r="R374" s="1" t="str">
        <f aca="false">IF('10. Gantt S2L'!B178="","",'10. Gantt S2L'!U178)</f>
        <v/>
      </c>
    </row>
    <row r="375" customFormat="false" ht="15" hidden="false" customHeight="true" outlineLevel="0" collapsed="false">
      <c r="A375" s="1" t="str">
        <f aca="false">IF('10. Gantt S2L'!B179="","","SPACE TO LEAD")</f>
        <v/>
      </c>
      <c r="B375" s="1" t="str">
        <f aca="false">IF('10. Gantt S2L'!B179="","",'10. Gantt S2L'!B179)</f>
        <v/>
      </c>
      <c r="C375" s="1" t="str">
        <f aca="false">IF('10. Gantt S2L'!B179="","",'10. Gantt S2L'!C179)</f>
        <v/>
      </c>
      <c r="D375" s="1" t="str">
        <f aca="false">IF('10. Gantt S2L'!B179="","",'10. Gantt S2L'!D179)</f>
        <v/>
      </c>
      <c r="E375" s="1" t="str">
        <f aca="false">IF('10. Gantt S2L'!B179="","",'10. Gantt S2L'!E179)</f>
        <v/>
      </c>
      <c r="F375" s="1" t="str">
        <f aca="false">IF('10. Gantt S2L'!B179="","",'10. Gantt S2L'!G179)</f>
        <v/>
      </c>
      <c r="G375" s="167" t="str">
        <f aca="false">IF('10. Gantt S2L'!B179="","",'10. Gantt S2L'!H179)</f>
        <v/>
      </c>
      <c r="H375" s="167" t="str">
        <f aca="false">IF('10. Gantt S2L'!B179="","",'10. Gantt S2L'!I179)</f>
        <v/>
      </c>
      <c r="I375" s="167" t="str">
        <f aca="false">IF('10. Gantt S2L'!B179="","",'10. Gantt S2L'!K179)</f>
        <v/>
      </c>
      <c r="J375" s="168" t="str">
        <f aca="false">IF('10. Gantt S2L'!B179="","",'10. Gantt S2L'!M179)</f>
        <v/>
      </c>
      <c r="K375" s="168" t="str">
        <f aca="false">IF('10. Gantt S2L'!B179="","",'10. Gantt S2L'!N179)</f>
        <v/>
      </c>
      <c r="L375" s="169" t="str">
        <f aca="false">IF('10. Gantt S2L'!B179="","",'10. Gantt S2L'!O179)</f>
        <v/>
      </c>
      <c r="M375" s="169" t="str">
        <f aca="false">IF('10. Gantt S2L'!B179="","",'10. Gantt S2L'!P179)</f>
        <v/>
      </c>
      <c r="N375" s="1" t="str">
        <f aca="false">IF('10. Gantt S2L'!B179="","",'10. Gantt S2L'!Q179)</f>
        <v/>
      </c>
      <c r="O375" s="1" t="str">
        <f aca="false">IF('10. Gantt S2L'!B179="","",'10. Gantt S2L'!R179)</f>
        <v/>
      </c>
      <c r="P375" s="1" t="str">
        <f aca="false">IF('10. Gantt S2L'!B179="","",'10. Gantt S2L'!S179)</f>
        <v/>
      </c>
      <c r="Q375" s="1" t="str">
        <f aca="false">IF('10. Gantt S2L'!B179="","",'10. Gantt S2L'!T179)</f>
        <v/>
      </c>
      <c r="R375" s="1" t="str">
        <f aca="false">IF('10. Gantt S2L'!B179="","",'10. Gantt S2L'!U179)</f>
        <v/>
      </c>
    </row>
    <row r="376" customFormat="false" ht="15" hidden="false" customHeight="true" outlineLevel="0" collapsed="false">
      <c r="A376" s="1" t="str">
        <f aca="false">IF('10. Gantt S2L'!B180="","","SPACE TO LEAD")</f>
        <v/>
      </c>
      <c r="B376" s="1" t="str">
        <f aca="false">IF('10. Gantt S2L'!B180="","",'10. Gantt S2L'!B180)</f>
        <v/>
      </c>
      <c r="C376" s="1" t="str">
        <f aca="false">IF('10. Gantt S2L'!B180="","",'10. Gantt S2L'!C180)</f>
        <v/>
      </c>
      <c r="D376" s="1" t="str">
        <f aca="false">IF('10. Gantt S2L'!B180="","",'10. Gantt S2L'!D180)</f>
        <v/>
      </c>
      <c r="E376" s="1" t="str">
        <f aca="false">IF('10. Gantt S2L'!B180="","",'10. Gantt S2L'!E180)</f>
        <v/>
      </c>
      <c r="F376" s="1" t="str">
        <f aca="false">IF('10. Gantt S2L'!B180="","",'10. Gantt S2L'!G180)</f>
        <v/>
      </c>
      <c r="G376" s="167" t="str">
        <f aca="false">IF('10. Gantt S2L'!B180="","",'10. Gantt S2L'!H180)</f>
        <v/>
      </c>
      <c r="H376" s="167" t="str">
        <f aca="false">IF('10. Gantt S2L'!B180="","",'10. Gantt S2L'!I180)</f>
        <v/>
      </c>
      <c r="I376" s="167" t="str">
        <f aca="false">IF('10. Gantt S2L'!B180="","",'10. Gantt S2L'!K180)</f>
        <v/>
      </c>
      <c r="J376" s="168" t="str">
        <f aca="false">IF('10. Gantt S2L'!B180="","",'10. Gantt S2L'!M180)</f>
        <v/>
      </c>
      <c r="K376" s="168" t="str">
        <f aca="false">IF('10. Gantt S2L'!B180="","",'10. Gantt S2L'!N180)</f>
        <v/>
      </c>
      <c r="L376" s="169" t="str">
        <f aca="false">IF('10. Gantt S2L'!B180="","",'10. Gantt S2L'!O180)</f>
        <v/>
      </c>
      <c r="M376" s="169" t="str">
        <f aca="false">IF('10. Gantt S2L'!B180="","",'10. Gantt S2L'!P180)</f>
        <v/>
      </c>
      <c r="N376" s="1" t="str">
        <f aca="false">IF('10. Gantt S2L'!B180="","",'10. Gantt S2L'!Q180)</f>
        <v/>
      </c>
      <c r="O376" s="1" t="str">
        <f aca="false">IF('10. Gantt S2L'!B180="","",'10. Gantt S2L'!R180)</f>
        <v/>
      </c>
      <c r="P376" s="1" t="str">
        <f aca="false">IF('10. Gantt S2L'!B180="","",'10. Gantt S2L'!S180)</f>
        <v/>
      </c>
      <c r="Q376" s="1" t="str">
        <f aca="false">IF('10. Gantt S2L'!B180="","",'10. Gantt S2L'!T180)</f>
        <v/>
      </c>
      <c r="R376" s="1" t="str">
        <f aca="false">IF('10. Gantt S2L'!B180="","",'10. Gantt S2L'!U180)</f>
        <v/>
      </c>
    </row>
    <row r="377" customFormat="false" ht="15" hidden="false" customHeight="true" outlineLevel="0" collapsed="false">
      <c r="A377" s="1" t="str">
        <f aca="false">IF('10. Gantt S2L'!B181="","","SPACE TO LEAD")</f>
        <v/>
      </c>
      <c r="B377" s="1" t="str">
        <f aca="false">IF('10. Gantt S2L'!B181="","",'10. Gantt S2L'!B181)</f>
        <v/>
      </c>
      <c r="C377" s="1" t="str">
        <f aca="false">IF('10. Gantt S2L'!B181="","",'10. Gantt S2L'!C181)</f>
        <v/>
      </c>
      <c r="D377" s="1" t="str">
        <f aca="false">IF('10. Gantt S2L'!B181="","",'10. Gantt S2L'!D181)</f>
        <v/>
      </c>
      <c r="E377" s="1" t="str">
        <f aca="false">IF('10. Gantt S2L'!B181="","",'10. Gantt S2L'!E181)</f>
        <v/>
      </c>
      <c r="F377" s="1" t="str">
        <f aca="false">IF('10. Gantt S2L'!B181="","",'10. Gantt S2L'!G181)</f>
        <v/>
      </c>
      <c r="G377" s="167" t="str">
        <f aca="false">IF('10. Gantt S2L'!B181="","",'10. Gantt S2L'!H181)</f>
        <v/>
      </c>
      <c r="H377" s="167" t="str">
        <f aca="false">IF('10. Gantt S2L'!B181="","",'10. Gantt S2L'!I181)</f>
        <v/>
      </c>
      <c r="I377" s="167" t="str">
        <f aca="false">IF('10. Gantt S2L'!B181="","",'10. Gantt S2L'!K181)</f>
        <v/>
      </c>
      <c r="J377" s="168" t="str">
        <f aca="false">IF('10. Gantt S2L'!B181="","",'10. Gantt S2L'!M181)</f>
        <v/>
      </c>
      <c r="K377" s="168" t="str">
        <f aca="false">IF('10. Gantt S2L'!B181="","",'10. Gantt S2L'!N181)</f>
        <v/>
      </c>
      <c r="L377" s="169" t="str">
        <f aca="false">IF('10. Gantt S2L'!B181="","",'10. Gantt S2L'!O181)</f>
        <v/>
      </c>
      <c r="M377" s="169" t="str">
        <f aca="false">IF('10. Gantt S2L'!B181="","",'10. Gantt S2L'!P181)</f>
        <v/>
      </c>
      <c r="N377" s="1" t="str">
        <f aca="false">IF('10. Gantt S2L'!B181="","",'10. Gantt S2L'!Q181)</f>
        <v/>
      </c>
      <c r="O377" s="1" t="str">
        <f aca="false">IF('10. Gantt S2L'!B181="","",'10. Gantt S2L'!R181)</f>
        <v/>
      </c>
      <c r="P377" s="1" t="str">
        <f aca="false">IF('10. Gantt S2L'!B181="","",'10. Gantt S2L'!S181)</f>
        <v/>
      </c>
      <c r="Q377" s="1" t="str">
        <f aca="false">IF('10. Gantt S2L'!B181="","",'10. Gantt S2L'!T181)</f>
        <v/>
      </c>
      <c r="R377" s="1" t="str">
        <f aca="false">IF('10. Gantt S2L'!B181="","",'10. Gantt S2L'!U181)</f>
        <v/>
      </c>
    </row>
    <row r="378" customFormat="false" ht="15" hidden="false" customHeight="true" outlineLevel="0" collapsed="false">
      <c r="A378" s="1" t="str">
        <f aca="false">IF('10. Gantt S2L'!B182="","","SPACE TO LEAD")</f>
        <v/>
      </c>
      <c r="B378" s="1" t="str">
        <f aca="false">IF('10. Gantt S2L'!B182="","",'10. Gantt S2L'!B182)</f>
        <v/>
      </c>
      <c r="C378" s="1" t="str">
        <f aca="false">IF('10. Gantt S2L'!B182="","",'10. Gantt S2L'!C182)</f>
        <v/>
      </c>
      <c r="D378" s="1" t="str">
        <f aca="false">IF('10. Gantt S2L'!B182="","",'10. Gantt S2L'!D182)</f>
        <v/>
      </c>
      <c r="E378" s="1" t="str">
        <f aca="false">IF('10. Gantt S2L'!B182="","",'10. Gantt S2L'!E182)</f>
        <v/>
      </c>
      <c r="F378" s="1" t="str">
        <f aca="false">IF('10. Gantt S2L'!B182="","",'10. Gantt S2L'!G182)</f>
        <v/>
      </c>
      <c r="G378" s="167" t="str">
        <f aca="false">IF('10. Gantt S2L'!B182="","",'10. Gantt S2L'!H182)</f>
        <v/>
      </c>
      <c r="H378" s="167" t="str">
        <f aca="false">IF('10. Gantt S2L'!B182="","",'10. Gantt S2L'!I182)</f>
        <v/>
      </c>
      <c r="I378" s="167" t="str">
        <f aca="false">IF('10. Gantt S2L'!B182="","",'10. Gantt S2L'!K182)</f>
        <v/>
      </c>
      <c r="J378" s="168" t="str">
        <f aca="false">IF('10. Gantt S2L'!B182="","",'10. Gantt S2L'!M182)</f>
        <v/>
      </c>
      <c r="K378" s="168" t="str">
        <f aca="false">IF('10. Gantt S2L'!B182="","",'10. Gantt S2L'!N182)</f>
        <v/>
      </c>
      <c r="L378" s="169" t="str">
        <f aca="false">IF('10. Gantt S2L'!B182="","",'10. Gantt S2L'!O182)</f>
        <v/>
      </c>
      <c r="M378" s="169" t="str">
        <f aca="false">IF('10. Gantt S2L'!B182="","",'10. Gantt S2L'!P182)</f>
        <v/>
      </c>
      <c r="N378" s="1" t="str">
        <f aca="false">IF('10. Gantt S2L'!B182="","",'10. Gantt S2L'!Q182)</f>
        <v/>
      </c>
      <c r="O378" s="1" t="str">
        <f aca="false">IF('10. Gantt S2L'!B182="","",'10. Gantt S2L'!R182)</f>
        <v/>
      </c>
      <c r="P378" s="1" t="str">
        <f aca="false">IF('10. Gantt S2L'!B182="","",'10. Gantt S2L'!S182)</f>
        <v/>
      </c>
      <c r="Q378" s="1" t="str">
        <f aca="false">IF('10. Gantt S2L'!B182="","",'10. Gantt S2L'!T182)</f>
        <v/>
      </c>
      <c r="R378" s="1" t="str">
        <f aca="false">IF('10. Gantt S2L'!B182="","",'10. Gantt S2L'!U182)</f>
        <v/>
      </c>
    </row>
    <row r="379" customFormat="false" ht="15" hidden="false" customHeight="true" outlineLevel="0" collapsed="false">
      <c r="A379" s="1" t="str">
        <f aca="false">IF('10. Gantt S2L'!B183="","","SPACE TO LEAD")</f>
        <v/>
      </c>
      <c r="B379" s="1" t="str">
        <f aca="false">IF('10. Gantt S2L'!B183="","",'10. Gantt S2L'!B183)</f>
        <v/>
      </c>
      <c r="C379" s="1" t="str">
        <f aca="false">IF('10. Gantt S2L'!B183="","",'10. Gantt S2L'!C183)</f>
        <v/>
      </c>
      <c r="D379" s="1" t="str">
        <f aca="false">IF('10. Gantt S2L'!B183="","",'10. Gantt S2L'!D183)</f>
        <v/>
      </c>
      <c r="E379" s="1" t="str">
        <f aca="false">IF('10. Gantt S2L'!B183="","",'10. Gantt S2L'!E183)</f>
        <v/>
      </c>
      <c r="F379" s="1" t="str">
        <f aca="false">IF('10. Gantt S2L'!B183="","",'10. Gantt S2L'!G183)</f>
        <v/>
      </c>
      <c r="G379" s="167" t="str">
        <f aca="false">IF('10. Gantt S2L'!B183="","",'10. Gantt S2L'!H183)</f>
        <v/>
      </c>
      <c r="H379" s="167" t="str">
        <f aca="false">IF('10. Gantt S2L'!B183="","",'10. Gantt S2L'!I183)</f>
        <v/>
      </c>
      <c r="I379" s="167" t="str">
        <f aca="false">IF('10. Gantt S2L'!B183="","",'10. Gantt S2L'!K183)</f>
        <v/>
      </c>
      <c r="J379" s="168" t="str">
        <f aca="false">IF('10. Gantt S2L'!B183="","",'10. Gantt S2L'!M183)</f>
        <v/>
      </c>
      <c r="K379" s="168" t="str">
        <f aca="false">IF('10. Gantt S2L'!B183="","",'10. Gantt S2L'!N183)</f>
        <v/>
      </c>
      <c r="L379" s="169" t="str">
        <f aca="false">IF('10. Gantt S2L'!B183="","",'10. Gantt S2L'!O183)</f>
        <v/>
      </c>
      <c r="M379" s="169" t="str">
        <f aca="false">IF('10. Gantt S2L'!B183="","",'10. Gantt S2L'!P183)</f>
        <v/>
      </c>
      <c r="N379" s="1" t="str">
        <f aca="false">IF('10. Gantt S2L'!B183="","",'10. Gantt S2L'!Q183)</f>
        <v/>
      </c>
      <c r="O379" s="1" t="str">
        <f aca="false">IF('10. Gantt S2L'!B183="","",'10. Gantt S2L'!R183)</f>
        <v/>
      </c>
      <c r="P379" s="1" t="str">
        <f aca="false">IF('10. Gantt S2L'!B183="","",'10. Gantt S2L'!S183)</f>
        <v/>
      </c>
      <c r="Q379" s="1" t="str">
        <f aca="false">IF('10. Gantt S2L'!B183="","",'10. Gantt S2L'!T183)</f>
        <v/>
      </c>
      <c r="R379" s="1" t="str">
        <f aca="false">IF('10. Gantt S2L'!B183="","",'10. Gantt S2L'!U183)</f>
        <v/>
      </c>
    </row>
    <row r="380" customFormat="false" ht="15" hidden="false" customHeight="true" outlineLevel="0" collapsed="false">
      <c r="A380" s="1" t="str">
        <f aca="false">IF('10. Gantt S2L'!B184="","","SPACE TO LEAD")</f>
        <v/>
      </c>
      <c r="B380" s="1" t="str">
        <f aca="false">IF('10. Gantt S2L'!B184="","",'10. Gantt S2L'!B184)</f>
        <v/>
      </c>
      <c r="C380" s="1" t="str">
        <f aca="false">IF('10. Gantt S2L'!B184="","",'10. Gantt S2L'!C184)</f>
        <v/>
      </c>
      <c r="D380" s="1" t="str">
        <f aca="false">IF('10. Gantt S2L'!B184="","",'10. Gantt S2L'!D184)</f>
        <v/>
      </c>
      <c r="E380" s="1" t="str">
        <f aca="false">IF('10. Gantt S2L'!B184="","",'10. Gantt S2L'!E184)</f>
        <v/>
      </c>
      <c r="F380" s="1" t="str">
        <f aca="false">IF('10. Gantt S2L'!B184="","",'10. Gantt S2L'!G184)</f>
        <v/>
      </c>
      <c r="G380" s="167" t="str">
        <f aca="false">IF('10. Gantt S2L'!B184="","",'10. Gantt S2L'!H184)</f>
        <v/>
      </c>
      <c r="H380" s="167" t="str">
        <f aca="false">IF('10. Gantt S2L'!B184="","",'10. Gantt S2L'!I184)</f>
        <v/>
      </c>
      <c r="I380" s="167" t="str">
        <f aca="false">IF('10. Gantt S2L'!B184="","",'10. Gantt S2L'!K184)</f>
        <v/>
      </c>
      <c r="J380" s="168" t="str">
        <f aca="false">IF('10. Gantt S2L'!B184="","",'10. Gantt S2L'!M184)</f>
        <v/>
      </c>
      <c r="K380" s="168" t="str">
        <f aca="false">IF('10. Gantt S2L'!B184="","",'10. Gantt S2L'!N184)</f>
        <v/>
      </c>
      <c r="L380" s="169" t="str">
        <f aca="false">IF('10. Gantt S2L'!B184="","",'10. Gantt S2L'!O184)</f>
        <v/>
      </c>
      <c r="M380" s="169" t="str">
        <f aca="false">IF('10. Gantt S2L'!B184="","",'10. Gantt S2L'!P184)</f>
        <v/>
      </c>
      <c r="N380" s="1" t="str">
        <f aca="false">IF('10. Gantt S2L'!B184="","",'10. Gantt S2L'!Q184)</f>
        <v/>
      </c>
      <c r="O380" s="1" t="str">
        <f aca="false">IF('10. Gantt S2L'!B184="","",'10. Gantt S2L'!R184)</f>
        <v/>
      </c>
      <c r="P380" s="1" t="str">
        <f aca="false">IF('10. Gantt S2L'!B184="","",'10. Gantt S2L'!S184)</f>
        <v/>
      </c>
      <c r="Q380" s="1" t="str">
        <f aca="false">IF('10. Gantt S2L'!B184="","",'10. Gantt S2L'!T184)</f>
        <v/>
      </c>
      <c r="R380" s="1" t="str">
        <f aca="false">IF('10. Gantt S2L'!B184="","",'10. Gantt S2L'!U184)</f>
        <v/>
      </c>
    </row>
    <row r="381" customFormat="false" ht="15" hidden="false" customHeight="true" outlineLevel="0" collapsed="false">
      <c r="A381" s="1" t="str">
        <f aca="false">IF('10. Gantt S2L'!B185="","","SPACE TO LEAD")</f>
        <v/>
      </c>
      <c r="B381" s="1" t="str">
        <f aca="false">IF('10. Gantt S2L'!B185="","",'10. Gantt S2L'!B185)</f>
        <v/>
      </c>
      <c r="C381" s="1" t="str">
        <f aca="false">IF('10. Gantt S2L'!B185="","",'10. Gantt S2L'!C185)</f>
        <v/>
      </c>
      <c r="D381" s="1" t="str">
        <f aca="false">IF('10. Gantt S2L'!B185="","",'10. Gantt S2L'!D185)</f>
        <v/>
      </c>
      <c r="E381" s="1" t="str">
        <f aca="false">IF('10. Gantt S2L'!B185="","",'10. Gantt S2L'!E185)</f>
        <v/>
      </c>
      <c r="F381" s="1" t="str">
        <f aca="false">IF('10. Gantt S2L'!B185="","",'10. Gantt S2L'!G185)</f>
        <v/>
      </c>
      <c r="G381" s="167" t="str">
        <f aca="false">IF('10. Gantt S2L'!B185="","",'10. Gantt S2L'!H185)</f>
        <v/>
      </c>
      <c r="H381" s="167" t="str">
        <f aca="false">IF('10. Gantt S2L'!B185="","",'10. Gantt S2L'!I185)</f>
        <v/>
      </c>
      <c r="I381" s="167" t="str">
        <f aca="false">IF('10. Gantt S2L'!B185="","",'10. Gantt S2L'!K185)</f>
        <v/>
      </c>
      <c r="J381" s="168" t="str">
        <f aca="false">IF('10. Gantt S2L'!B185="","",'10. Gantt S2L'!M185)</f>
        <v/>
      </c>
      <c r="K381" s="168" t="str">
        <f aca="false">IF('10. Gantt S2L'!B185="","",'10. Gantt S2L'!N185)</f>
        <v/>
      </c>
      <c r="L381" s="169" t="str">
        <f aca="false">IF('10. Gantt S2L'!B185="","",'10. Gantt S2L'!O185)</f>
        <v/>
      </c>
      <c r="M381" s="169" t="str">
        <f aca="false">IF('10. Gantt S2L'!B185="","",'10. Gantt S2L'!P185)</f>
        <v/>
      </c>
      <c r="N381" s="1" t="str">
        <f aca="false">IF('10. Gantt S2L'!B185="","",'10. Gantt S2L'!Q185)</f>
        <v/>
      </c>
      <c r="O381" s="1" t="str">
        <f aca="false">IF('10. Gantt S2L'!B185="","",'10. Gantt S2L'!R185)</f>
        <v/>
      </c>
      <c r="P381" s="1" t="str">
        <f aca="false">IF('10. Gantt S2L'!B185="","",'10. Gantt S2L'!S185)</f>
        <v/>
      </c>
      <c r="Q381" s="1" t="str">
        <f aca="false">IF('10. Gantt S2L'!B185="","",'10. Gantt S2L'!T185)</f>
        <v/>
      </c>
      <c r="R381" s="1" t="str">
        <f aca="false">IF('10. Gantt S2L'!B185="","",'10. Gantt S2L'!U185)</f>
        <v/>
      </c>
    </row>
    <row r="382" customFormat="false" ht="15" hidden="false" customHeight="true" outlineLevel="0" collapsed="false">
      <c r="A382" s="1" t="str">
        <f aca="false">IF('10. Gantt S2L'!B186="","","SPACE TO LEAD")</f>
        <v/>
      </c>
      <c r="B382" s="1" t="str">
        <f aca="false">IF('10. Gantt S2L'!B186="","",'10. Gantt S2L'!B186)</f>
        <v/>
      </c>
      <c r="C382" s="1" t="str">
        <f aca="false">IF('10. Gantt S2L'!B186="","",'10. Gantt S2L'!C186)</f>
        <v/>
      </c>
      <c r="D382" s="1" t="str">
        <f aca="false">IF('10. Gantt S2L'!B186="","",'10. Gantt S2L'!D186)</f>
        <v/>
      </c>
      <c r="E382" s="1" t="str">
        <f aca="false">IF('10. Gantt S2L'!B186="","",'10. Gantt S2L'!E186)</f>
        <v/>
      </c>
      <c r="F382" s="1" t="str">
        <f aca="false">IF('10. Gantt S2L'!B186="","",'10. Gantt S2L'!G186)</f>
        <v/>
      </c>
      <c r="G382" s="167" t="str">
        <f aca="false">IF('10. Gantt S2L'!B186="","",'10. Gantt S2L'!H186)</f>
        <v/>
      </c>
      <c r="H382" s="167" t="str">
        <f aca="false">IF('10. Gantt S2L'!B186="","",'10. Gantt S2L'!I186)</f>
        <v/>
      </c>
      <c r="I382" s="167" t="str">
        <f aca="false">IF('10. Gantt S2L'!B186="","",'10. Gantt S2L'!K186)</f>
        <v/>
      </c>
      <c r="J382" s="168" t="str">
        <f aca="false">IF('10. Gantt S2L'!B186="","",'10. Gantt S2L'!M186)</f>
        <v/>
      </c>
      <c r="K382" s="168" t="str">
        <f aca="false">IF('10. Gantt S2L'!B186="","",'10. Gantt S2L'!N186)</f>
        <v/>
      </c>
      <c r="L382" s="169" t="str">
        <f aca="false">IF('10. Gantt S2L'!B186="","",'10. Gantt S2L'!O186)</f>
        <v/>
      </c>
      <c r="M382" s="169" t="str">
        <f aca="false">IF('10. Gantt S2L'!B186="","",'10. Gantt S2L'!P186)</f>
        <v/>
      </c>
      <c r="N382" s="1" t="str">
        <f aca="false">IF('10. Gantt S2L'!B186="","",'10. Gantt S2L'!Q186)</f>
        <v/>
      </c>
      <c r="O382" s="1" t="str">
        <f aca="false">IF('10. Gantt S2L'!B186="","",'10. Gantt S2L'!R186)</f>
        <v/>
      </c>
      <c r="P382" s="1" t="str">
        <f aca="false">IF('10. Gantt S2L'!B186="","",'10. Gantt S2L'!S186)</f>
        <v/>
      </c>
      <c r="Q382" s="1" t="str">
        <f aca="false">IF('10. Gantt S2L'!B186="","",'10. Gantt S2L'!T186)</f>
        <v/>
      </c>
      <c r="R382" s="1" t="str">
        <f aca="false">IF('10. Gantt S2L'!B186="","",'10. Gantt S2L'!U186)</f>
        <v/>
      </c>
    </row>
    <row r="383" customFormat="false" ht="15" hidden="false" customHeight="true" outlineLevel="0" collapsed="false">
      <c r="A383" s="1" t="str">
        <f aca="false">IF('10. Gantt S2L'!B187="","","SPACE TO LEAD")</f>
        <v/>
      </c>
      <c r="B383" s="1" t="str">
        <f aca="false">IF('10. Gantt S2L'!B187="","",'10. Gantt S2L'!B187)</f>
        <v/>
      </c>
      <c r="C383" s="1" t="str">
        <f aca="false">IF('10. Gantt S2L'!B187="","",'10. Gantt S2L'!C187)</f>
        <v/>
      </c>
      <c r="D383" s="1" t="str">
        <f aca="false">IF('10. Gantt S2L'!B187="","",'10. Gantt S2L'!D187)</f>
        <v/>
      </c>
      <c r="E383" s="1" t="str">
        <f aca="false">IF('10. Gantt S2L'!B187="","",'10. Gantt S2L'!E187)</f>
        <v/>
      </c>
      <c r="F383" s="1" t="str">
        <f aca="false">IF('10. Gantt S2L'!B187="","",'10. Gantt S2L'!G187)</f>
        <v/>
      </c>
      <c r="G383" s="167" t="str">
        <f aca="false">IF('10. Gantt S2L'!B187="","",'10. Gantt S2L'!H187)</f>
        <v/>
      </c>
      <c r="H383" s="167" t="str">
        <f aca="false">IF('10. Gantt S2L'!B187="","",'10. Gantt S2L'!I187)</f>
        <v/>
      </c>
      <c r="I383" s="167" t="str">
        <f aca="false">IF('10. Gantt S2L'!B187="","",'10. Gantt S2L'!K187)</f>
        <v/>
      </c>
      <c r="J383" s="168" t="str">
        <f aca="false">IF('10. Gantt S2L'!B187="","",'10. Gantt S2L'!M187)</f>
        <v/>
      </c>
      <c r="K383" s="168" t="str">
        <f aca="false">IF('10. Gantt S2L'!B187="","",'10. Gantt S2L'!N187)</f>
        <v/>
      </c>
      <c r="L383" s="169" t="str">
        <f aca="false">IF('10. Gantt S2L'!B187="","",'10. Gantt S2L'!O187)</f>
        <v/>
      </c>
      <c r="M383" s="169" t="str">
        <f aca="false">IF('10. Gantt S2L'!B187="","",'10. Gantt S2L'!P187)</f>
        <v/>
      </c>
      <c r="N383" s="1" t="str">
        <f aca="false">IF('10. Gantt S2L'!B187="","",'10. Gantt S2L'!Q187)</f>
        <v/>
      </c>
      <c r="O383" s="1" t="str">
        <f aca="false">IF('10. Gantt S2L'!B187="","",'10. Gantt S2L'!R187)</f>
        <v/>
      </c>
      <c r="P383" s="1" t="str">
        <f aca="false">IF('10. Gantt S2L'!B187="","",'10. Gantt S2L'!S187)</f>
        <v/>
      </c>
      <c r="Q383" s="1" t="str">
        <f aca="false">IF('10. Gantt S2L'!B187="","",'10. Gantt S2L'!T187)</f>
        <v/>
      </c>
      <c r="R383" s="1" t="str">
        <f aca="false">IF('10. Gantt S2L'!B187="","",'10. Gantt S2L'!U187)</f>
        <v/>
      </c>
    </row>
    <row r="384" customFormat="false" ht="15" hidden="false" customHeight="true" outlineLevel="0" collapsed="false">
      <c r="A384" s="1" t="str">
        <f aca="false">IF('10. Gantt S2L'!B188="","","SPACE TO LEAD")</f>
        <v/>
      </c>
      <c r="B384" s="1" t="str">
        <f aca="false">IF('10. Gantt S2L'!B188="","",'10. Gantt S2L'!B188)</f>
        <v/>
      </c>
      <c r="C384" s="1" t="str">
        <f aca="false">IF('10. Gantt S2L'!B188="","",'10. Gantt S2L'!C188)</f>
        <v/>
      </c>
      <c r="D384" s="1" t="str">
        <f aca="false">IF('10. Gantt S2L'!B188="","",'10. Gantt S2L'!D188)</f>
        <v/>
      </c>
      <c r="E384" s="1" t="str">
        <f aca="false">IF('10. Gantt S2L'!B188="","",'10. Gantt S2L'!E188)</f>
        <v/>
      </c>
      <c r="F384" s="1" t="str">
        <f aca="false">IF('10. Gantt S2L'!B188="","",'10. Gantt S2L'!G188)</f>
        <v/>
      </c>
      <c r="G384" s="167" t="str">
        <f aca="false">IF('10. Gantt S2L'!B188="","",'10. Gantt S2L'!H188)</f>
        <v/>
      </c>
      <c r="H384" s="167" t="str">
        <f aca="false">IF('10. Gantt S2L'!B188="","",'10. Gantt S2L'!I188)</f>
        <v/>
      </c>
      <c r="I384" s="167" t="str">
        <f aca="false">IF('10. Gantt S2L'!B188="","",'10. Gantt S2L'!K188)</f>
        <v/>
      </c>
      <c r="J384" s="168" t="str">
        <f aca="false">IF('10. Gantt S2L'!B188="","",'10. Gantt S2L'!M188)</f>
        <v/>
      </c>
      <c r="K384" s="168" t="str">
        <f aca="false">IF('10. Gantt S2L'!B188="","",'10. Gantt S2L'!N188)</f>
        <v/>
      </c>
      <c r="L384" s="169" t="str">
        <f aca="false">IF('10. Gantt S2L'!B188="","",'10. Gantt S2L'!O188)</f>
        <v/>
      </c>
      <c r="M384" s="169" t="str">
        <f aca="false">IF('10. Gantt S2L'!B188="","",'10. Gantt S2L'!P188)</f>
        <v/>
      </c>
      <c r="N384" s="1" t="str">
        <f aca="false">IF('10. Gantt S2L'!B188="","",'10. Gantt S2L'!Q188)</f>
        <v/>
      </c>
      <c r="O384" s="1" t="str">
        <f aca="false">IF('10. Gantt S2L'!B188="","",'10. Gantt S2L'!R188)</f>
        <v/>
      </c>
      <c r="P384" s="1" t="str">
        <f aca="false">IF('10. Gantt S2L'!B188="","",'10. Gantt S2L'!S188)</f>
        <v/>
      </c>
      <c r="Q384" s="1" t="str">
        <f aca="false">IF('10. Gantt S2L'!B188="","",'10. Gantt S2L'!T188)</f>
        <v/>
      </c>
      <c r="R384" s="1" t="str">
        <f aca="false">IF('10. Gantt S2L'!B188="","",'10. Gantt S2L'!U188)</f>
        <v/>
      </c>
    </row>
    <row r="385" customFormat="false" ht="15" hidden="false" customHeight="true" outlineLevel="0" collapsed="false">
      <c r="A385" s="1" t="str">
        <f aca="false">IF('10. Gantt S2L'!B189="","","SPACE TO LEAD")</f>
        <v/>
      </c>
      <c r="B385" s="1" t="str">
        <f aca="false">IF('10. Gantt S2L'!B189="","",'10. Gantt S2L'!B189)</f>
        <v/>
      </c>
      <c r="C385" s="1" t="str">
        <f aca="false">IF('10. Gantt S2L'!B189="","",'10. Gantt S2L'!C189)</f>
        <v/>
      </c>
      <c r="D385" s="1" t="str">
        <f aca="false">IF('10. Gantt S2L'!B189="","",'10. Gantt S2L'!D189)</f>
        <v/>
      </c>
      <c r="E385" s="1" t="str">
        <f aca="false">IF('10. Gantt S2L'!B189="","",'10. Gantt S2L'!E189)</f>
        <v/>
      </c>
      <c r="F385" s="1" t="str">
        <f aca="false">IF('10. Gantt S2L'!B189="","",'10. Gantt S2L'!G189)</f>
        <v/>
      </c>
      <c r="G385" s="167" t="str">
        <f aca="false">IF('10. Gantt S2L'!B189="","",'10. Gantt S2L'!H189)</f>
        <v/>
      </c>
      <c r="H385" s="167" t="str">
        <f aca="false">IF('10. Gantt S2L'!B189="","",'10. Gantt S2L'!I189)</f>
        <v/>
      </c>
      <c r="I385" s="167" t="str">
        <f aca="false">IF('10. Gantt S2L'!B189="","",'10. Gantt S2L'!K189)</f>
        <v/>
      </c>
      <c r="J385" s="168" t="str">
        <f aca="false">IF('10. Gantt S2L'!B189="","",'10. Gantt S2L'!M189)</f>
        <v/>
      </c>
      <c r="K385" s="168" t="str">
        <f aca="false">IF('10. Gantt S2L'!B189="","",'10. Gantt S2L'!N189)</f>
        <v/>
      </c>
      <c r="L385" s="169" t="str">
        <f aca="false">IF('10. Gantt S2L'!B189="","",'10. Gantt S2L'!O189)</f>
        <v/>
      </c>
      <c r="M385" s="169" t="str">
        <f aca="false">IF('10. Gantt S2L'!B189="","",'10. Gantt S2L'!P189)</f>
        <v/>
      </c>
      <c r="N385" s="1" t="str">
        <f aca="false">IF('10. Gantt S2L'!B189="","",'10. Gantt S2L'!Q189)</f>
        <v/>
      </c>
      <c r="O385" s="1" t="str">
        <f aca="false">IF('10. Gantt S2L'!B189="","",'10. Gantt S2L'!R189)</f>
        <v/>
      </c>
      <c r="P385" s="1" t="str">
        <f aca="false">IF('10. Gantt S2L'!B189="","",'10. Gantt S2L'!S189)</f>
        <v/>
      </c>
      <c r="Q385" s="1" t="str">
        <f aca="false">IF('10. Gantt S2L'!B189="","",'10. Gantt S2L'!T189)</f>
        <v/>
      </c>
      <c r="R385" s="1" t="str">
        <f aca="false">IF('10. Gantt S2L'!B189="","",'10. Gantt S2L'!U189)</f>
        <v/>
      </c>
    </row>
    <row r="386" customFormat="false" ht="15" hidden="false" customHeight="true" outlineLevel="0" collapsed="false">
      <c r="A386" s="1" t="str">
        <f aca="false">IF('10. Gantt S2L'!B190="","","SPACE TO LEAD")</f>
        <v/>
      </c>
      <c r="B386" s="1" t="str">
        <f aca="false">IF('10. Gantt S2L'!B190="","",'10. Gantt S2L'!B190)</f>
        <v/>
      </c>
      <c r="C386" s="1" t="str">
        <f aca="false">IF('10. Gantt S2L'!B190="","",'10. Gantt S2L'!C190)</f>
        <v/>
      </c>
      <c r="D386" s="1" t="str">
        <f aca="false">IF('10. Gantt S2L'!B190="","",'10. Gantt S2L'!D190)</f>
        <v/>
      </c>
      <c r="E386" s="1" t="str">
        <f aca="false">IF('10. Gantt S2L'!B190="","",'10. Gantt S2L'!E190)</f>
        <v/>
      </c>
      <c r="F386" s="1" t="str">
        <f aca="false">IF('10. Gantt S2L'!B190="","",'10. Gantt S2L'!G190)</f>
        <v/>
      </c>
      <c r="G386" s="167" t="str">
        <f aca="false">IF('10. Gantt S2L'!B190="","",'10. Gantt S2L'!H190)</f>
        <v/>
      </c>
      <c r="H386" s="167" t="str">
        <f aca="false">IF('10. Gantt S2L'!B190="","",'10. Gantt S2L'!I190)</f>
        <v/>
      </c>
      <c r="I386" s="167" t="str">
        <f aca="false">IF('10. Gantt S2L'!B190="","",'10. Gantt S2L'!K190)</f>
        <v/>
      </c>
      <c r="J386" s="168" t="str">
        <f aca="false">IF('10. Gantt S2L'!B190="","",'10. Gantt S2L'!M190)</f>
        <v/>
      </c>
      <c r="K386" s="168" t="str">
        <f aca="false">IF('10. Gantt S2L'!B190="","",'10. Gantt S2L'!N190)</f>
        <v/>
      </c>
      <c r="L386" s="169" t="str">
        <f aca="false">IF('10. Gantt S2L'!B190="","",'10. Gantt S2L'!O190)</f>
        <v/>
      </c>
      <c r="M386" s="169" t="str">
        <f aca="false">IF('10. Gantt S2L'!B190="","",'10. Gantt S2L'!P190)</f>
        <v/>
      </c>
      <c r="N386" s="1" t="str">
        <f aca="false">IF('10. Gantt S2L'!B190="","",'10. Gantt S2L'!Q190)</f>
        <v/>
      </c>
      <c r="O386" s="1" t="str">
        <f aca="false">IF('10. Gantt S2L'!B190="","",'10. Gantt S2L'!R190)</f>
        <v/>
      </c>
      <c r="P386" s="1" t="str">
        <f aca="false">IF('10. Gantt S2L'!B190="","",'10. Gantt S2L'!S190)</f>
        <v/>
      </c>
      <c r="Q386" s="1" t="str">
        <f aca="false">IF('10. Gantt S2L'!B190="","",'10. Gantt S2L'!T190)</f>
        <v/>
      </c>
      <c r="R386" s="1" t="str">
        <f aca="false">IF('10. Gantt S2L'!B190="","",'10. Gantt S2L'!U190)</f>
        <v/>
      </c>
    </row>
    <row r="387" customFormat="false" ht="15" hidden="false" customHeight="true" outlineLevel="0" collapsed="false">
      <c r="A387" s="1" t="str">
        <f aca="false">IF('10. Gantt S2L'!B191="","","SPACE TO LEAD")</f>
        <v/>
      </c>
      <c r="B387" s="1" t="str">
        <f aca="false">IF('10. Gantt S2L'!B191="","",'10. Gantt S2L'!B191)</f>
        <v/>
      </c>
      <c r="C387" s="1" t="str">
        <f aca="false">IF('10. Gantt S2L'!B191="","",'10. Gantt S2L'!C191)</f>
        <v/>
      </c>
      <c r="D387" s="1" t="str">
        <f aca="false">IF('10. Gantt S2L'!B191="","",'10. Gantt S2L'!D191)</f>
        <v/>
      </c>
      <c r="E387" s="1" t="str">
        <f aca="false">IF('10. Gantt S2L'!B191="","",'10. Gantt S2L'!E191)</f>
        <v/>
      </c>
      <c r="F387" s="1" t="str">
        <f aca="false">IF('10. Gantt S2L'!B191="","",'10. Gantt S2L'!G191)</f>
        <v/>
      </c>
      <c r="G387" s="167" t="str">
        <f aca="false">IF('10. Gantt S2L'!B191="","",'10. Gantt S2L'!H191)</f>
        <v/>
      </c>
      <c r="H387" s="167" t="str">
        <f aca="false">IF('10. Gantt S2L'!B191="","",'10. Gantt S2L'!I191)</f>
        <v/>
      </c>
      <c r="I387" s="167" t="str">
        <f aca="false">IF('10. Gantt S2L'!B191="","",'10. Gantt S2L'!K191)</f>
        <v/>
      </c>
      <c r="J387" s="168" t="str">
        <f aca="false">IF('10. Gantt S2L'!B191="","",'10. Gantt S2L'!M191)</f>
        <v/>
      </c>
      <c r="K387" s="168" t="str">
        <f aca="false">IF('10. Gantt S2L'!B191="","",'10. Gantt S2L'!N191)</f>
        <v/>
      </c>
      <c r="L387" s="169" t="str">
        <f aca="false">IF('10. Gantt S2L'!B191="","",'10. Gantt S2L'!O191)</f>
        <v/>
      </c>
      <c r="M387" s="169" t="str">
        <f aca="false">IF('10. Gantt S2L'!B191="","",'10. Gantt S2L'!P191)</f>
        <v/>
      </c>
      <c r="N387" s="1" t="str">
        <f aca="false">IF('10. Gantt S2L'!B191="","",'10. Gantt S2L'!Q191)</f>
        <v/>
      </c>
      <c r="O387" s="1" t="str">
        <f aca="false">IF('10. Gantt S2L'!B191="","",'10. Gantt S2L'!R191)</f>
        <v/>
      </c>
      <c r="P387" s="1" t="str">
        <f aca="false">IF('10. Gantt S2L'!B191="","",'10. Gantt S2L'!S191)</f>
        <v/>
      </c>
      <c r="Q387" s="1" t="str">
        <f aca="false">IF('10. Gantt S2L'!B191="","",'10. Gantt S2L'!T191)</f>
        <v/>
      </c>
      <c r="R387" s="1" t="str">
        <f aca="false">IF('10. Gantt S2L'!B191="","",'10. Gantt S2L'!U191)</f>
        <v/>
      </c>
    </row>
    <row r="388" customFormat="false" ht="15" hidden="false" customHeight="true" outlineLevel="0" collapsed="false">
      <c r="A388" s="1" t="str">
        <f aca="false">IF('10. Gantt S2L'!B192="","","SPACE TO LEAD")</f>
        <v/>
      </c>
      <c r="B388" s="1" t="str">
        <f aca="false">IF('10. Gantt S2L'!B192="","",'10. Gantt S2L'!B192)</f>
        <v/>
      </c>
      <c r="C388" s="1" t="str">
        <f aca="false">IF('10. Gantt S2L'!B192="","",'10. Gantt S2L'!C192)</f>
        <v/>
      </c>
      <c r="D388" s="1" t="str">
        <f aca="false">IF('10. Gantt S2L'!B192="","",'10. Gantt S2L'!D192)</f>
        <v/>
      </c>
      <c r="E388" s="1" t="str">
        <f aca="false">IF('10. Gantt S2L'!B192="","",'10. Gantt S2L'!E192)</f>
        <v/>
      </c>
      <c r="F388" s="1" t="str">
        <f aca="false">IF('10. Gantt S2L'!B192="","",'10. Gantt S2L'!G192)</f>
        <v/>
      </c>
      <c r="G388" s="167" t="str">
        <f aca="false">IF('10. Gantt S2L'!B192="","",'10. Gantt S2L'!H192)</f>
        <v/>
      </c>
      <c r="H388" s="167" t="str">
        <f aca="false">IF('10. Gantt S2L'!B192="","",'10. Gantt S2L'!I192)</f>
        <v/>
      </c>
      <c r="I388" s="167" t="str">
        <f aca="false">IF('10. Gantt S2L'!B192="","",'10. Gantt S2L'!K192)</f>
        <v/>
      </c>
      <c r="J388" s="168" t="str">
        <f aca="false">IF('10. Gantt S2L'!B192="","",'10. Gantt S2L'!M192)</f>
        <v/>
      </c>
      <c r="K388" s="168" t="str">
        <f aca="false">IF('10. Gantt S2L'!B192="","",'10. Gantt S2L'!N192)</f>
        <v/>
      </c>
      <c r="L388" s="169" t="str">
        <f aca="false">IF('10. Gantt S2L'!B192="","",'10. Gantt S2L'!O192)</f>
        <v/>
      </c>
      <c r="M388" s="169" t="str">
        <f aca="false">IF('10. Gantt S2L'!B192="","",'10. Gantt S2L'!P192)</f>
        <v/>
      </c>
      <c r="N388" s="1" t="str">
        <f aca="false">IF('10. Gantt S2L'!B192="","",'10. Gantt S2L'!Q192)</f>
        <v/>
      </c>
      <c r="O388" s="1" t="str">
        <f aca="false">IF('10. Gantt S2L'!B192="","",'10. Gantt S2L'!R192)</f>
        <v/>
      </c>
      <c r="P388" s="1" t="str">
        <f aca="false">IF('10. Gantt S2L'!B192="","",'10. Gantt S2L'!S192)</f>
        <v/>
      </c>
      <c r="Q388" s="1" t="str">
        <f aca="false">IF('10. Gantt S2L'!B192="","",'10. Gantt S2L'!T192)</f>
        <v/>
      </c>
      <c r="R388" s="1" t="str">
        <f aca="false">IF('10. Gantt S2L'!B192="","",'10. Gantt S2L'!U192)</f>
        <v/>
      </c>
    </row>
    <row r="389" customFormat="false" ht="15" hidden="false" customHeight="true" outlineLevel="0" collapsed="false">
      <c r="A389" s="1" t="str">
        <f aca="false">IF('10. Gantt S2L'!B193="","","SPACE TO LEAD")</f>
        <v/>
      </c>
      <c r="B389" s="1" t="str">
        <f aca="false">IF('10. Gantt S2L'!B193="","",'10. Gantt S2L'!B193)</f>
        <v/>
      </c>
      <c r="C389" s="1" t="str">
        <f aca="false">IF('10. Gantt S2L'!B193="","",'10. Gantt S2L'!C193)</f>
        <v/>
      </c>
      <c r="D389" s="1" t="str">
        <f aca="false">IF('10. Gantt S2L'!B193="","",'10. Gantt S2L'!D193)</f>
        <v/>
      </c>
      <c r="E389" s="1" t="str">
        <f aca="false">IF('10. Gantt S2L'!B193="","",'10. Gantt S2L'!E193)</f>
        <v/>
      </c>
      <c r="F389" s="1" t="str">
        <f aca="false">IF('10. Gantt S2L'!B193="","",'10. Gantt S2L'!G193)</f>
        <v/>
      </c>
      <c r="G389" s="167" t="str">
        <f aca="false">IF('10. Gantt S2L'!B193="","",'10. Gantt S2L'!H193)</f>
        <v/>
      </c>
      <c r="H389" s="167" t="str">
        <f aca="false">IF('10. Gantt S2L'!B193="","",'10. Gantt S2L'!I193)</f>
        <v/>
      </c>
      <c r="I389" s="167" t="str">
        <f aca="false">IF('10. Gantt S2L'!B193="","",'10. Gantt S2L'!K193)</f>
        <v/>
      </c>
      <c r="J389" s="168" t="str">
        <f aca="false">IF('10. Gantt S2L'!B193="","",'10. Gantt S2L'!M193)</f>
        <v/>
      </c>
      <c r="K389" s="168" t="str">
        <f aca="false">IF('10. Gantt S2L'!B193="","",'10. Gantt S2L'!N193)</f>
        <v/>
      </c>
      <c r="L389" s="169" t="str">
        <f aca="false">IF('10. Gantt S2L'!B193="","",'10. Gantt S2L'!O193)</f>
        <v/>
      </c>
      <c r="M389" s="169" t="str">
        <f aca="false">IF('10. Gantt S2L'!B193="","",'10. Gantt S2L'!P193)</f>
        <v/>
      </c>
      <c r="N389" s="1" t="str">
        <f aca="false">IF('10. Gantt S2L'!B193="","",'10. Gantt S2L'!Q193)</f>
        <v/>
      </c>
      <c r="O389" s="1" t="str">
        <f aca="false">IF('10. Gantt S2L'!B193="","",'10. Gantt S2L'!R193)</f>
        <v/>
      </c>
      <c r="P389" s="1" t="str">
        <f aca="false">IF('10. Gantt S2L'!B193="","",'10. Gantt S2L'!S193)</f>
        <v/>
      </c>
      <c r="Q389" s="1" t="str">
        <f aca="false">IF('10. Gantt S2L'!B193="","",'10. Gantt S2L'!T193)</f>
        <v/>
      </c>
      <c r="R389" s="1" t="str">
        <f aca="false">IF('10. Gantt S2L'!B193="","",'10. Gantt S2L'!U193)</f>
        <v/>
      </c>
    </row>
    <row r="390" customFormat="false" ht="15" hidden="false" customHeight="true" outlineLevel="0" collapsed="false">
      <c r="A390" s="1" t="str">
        <f aca="false">IF('10. Gantt S2L'!B194="","","SPACE TO LEAD")</f>
        <v/>
      </c>
      <c r="B390" s="1" t="str">
        <f aca="false">IF('10. Gantt S2L'!B194="","",'10. Gantt S2L'!B194)</f>
        <v/>
      </c>
      <c r="C390" s="1" t="str">
        <f aca="false">IF('10. Gantt S2L'!B194="","",'10. Gantt S2L'!C194)</f>
        <v/>
      </c>
      <c r="D390" s="1" t="str">
        <f aca="false">IF('10. Gantt S2L'!B194="","",'10. Gantt S2L'!D194)</f>
        <v/>
      </c>
      <c r="E390" s="1" t="str">
        <f aca="false">IF('10. Gantt S2L'!B194="","",'10. Gantt S2L'!E194)</f>
        <v/>
      </c>
      <c r="F390" s="1" t="str">
        <f aca="false">IF('10. Gantt S2L'!B194="","",'10. Gantt S2L'!G194)</f>
        <v/>
      </c>
      <c r="G390" s="167" t="str">
        <f aca="false">IF('10. Gantt S2L'!B194="","",'10. Gantt S2L'!H194)</f>
        <v/>
      </c>
      <c r="H390" s="167" t="str">
        <f aca="false">IF('10. Gantt S2L'!B194="","",'10. Gantt S2L'!I194)</f>
        <v/>
      </c>
      <c r="I390" s="167" t="str">
        <f aca="false">IF('10. Gantt S2L'!B194="","",'10. Gantt S2L'!K194)</f>
        <v/>
      </c>
      <c r="J390" s="168" t="str">
        <f aca="false">IF('10. Gantt S2L'!B194="","",'10. Gantt S2L'!M194)</f>
        <v/>
      </c>
      <c r="K390" s="168" t="str">
        <f aca="false">IF('10. Gantt S2L'!B194="","",'10. Gantt S2L'!N194)</f>
        <v/>
      </c>
      <c r="L390" s="169" t="str">
        <f aca="false">IF('10. Gantt S2L'!B194="","",'10. Gantt S2L'!O194)</f>
        <v/>
      </c>
      <c r="M390" s="169" t="str">
        <f aca="false">IF('10. Gantt S2L'!B194="","",'10. Gantt S2L'!P194)</f>
        <v/>
      </c>
      <c r="N390" s="1" t="str">
        <f aca="false">IF('10. Gantt S2L'!B194="","",'10. Gantt S2L'!Q194)</f>
        <v/>
      </c>
      <c r="O390" s="1" t="str">
        <f aca="false">IF('10. Gantt S2L'!B194="","",'10. Gantt S2L'!R194)</f>
        <v/>
      </c>
      <c r="P390" s="1" t="str">
        <f aca="false">IF('10. Gantt S2L'!B194="","",'10. Gantt S2L'!S194)</f>
        <v/>
      </c>
      <c r="Q390" s="1" t="str">
        <f aca="false">IF('10. Gantt S2L'!B194="","",'10. Gantt S2L'!T194)</f>
        <v/>
      </c>
      <c r="R390" s="1" t="str">
        <f aca="false">IF('10. Gantt S2L'!B194="","",'10. Gantt S2L'!U194)</f>
        <v/>
      </c>
    </row>
    <row r="391" customFormat="false" ht="15" hidden="false" customHeight="true" outlineLevel="0" collapsed="false">
      <c r="A391" s="1" t="str">
        <f aca="false">IF('10. Gantt S2L'!B195="","","SPACE TO LEAD")</f>
        <v/>
      </c>
      <c r="B391" s="1" t="str">
        <f aca="false">IF('10. Gantt S2L'!B195="","",'10. Gantt S2L'!B195)</f>
        <v/>
      </c>
      <c r="C391" s="1" t="str">
        <f aca="false">IF('10. Gantt S2L'!B195="","",'10. Gantt S2L'!C195)</f>
        <v/>
      </c>
      <c r="D391" s="1" t="str">
        <f aca="false">IF('10. Gantt S2L'!B195="","",'10. Gantt S2L'!D195)</f>
        <v/>
      </c>
      <c r="E391" s="1" t="str">
        <f aca="false">IF('10. Gantt S2L'!B195="","",'10. Gantt S2L'!E195)</f>
        <v/>
      </c>
      <c r="F391" s="1" t="str">
        <f aca="false">IF('10. Gantt S2L'!B195="","",'10. Gantt S2L'!G195)</f>
        <v/>
      </c>
      <c r="G391" s="167" t="str">
        <f aca="false">IF('10. Gantt S2L'!B195="","",'10. Gantt S2L'!H195)</f>
        <v/>
      </c>
      <c r="H391" s="167" t="str">
        <f aca="false">IF('10. Gantt S2L'!B195="","",'10. Gantt S2L'!I195)</f>
        <v/>
      </c>
      <c r="I391" s="167" t="str">
        <f aca="false">IF('10. Gantt S2L'!B195="","",'10. Gantt S2L'!K195)</f>
        <v/>
      </c>
      <c r="J391" s="168" t="str">
        <f aca="false">IF('10. Gantt S2L'!B195="","",'10. Gantt S2L'!M195)</f>
        <v/>
      </c>
      <c r="K391" s="168" t="str">
        <f aca="false">IF('10. Gantt S2L'!B195="","",'10. Gantt S2L'!N195)</f>
        <v/>
      </c>
      <c r="L391" s="169" t="str">
        <f aca="false">IF('10. Gantt S2L'!B195="","",'10. Gantt S2L'!O195)</f>
        <v/>
      </c>
      <c r="M391" s="169" t="str">
        <f aca="false">IF('10. Gantt S2L'!B195="","",'10. Gantt S2L'!P195)</f>
        <v/>
      </c>
      <c r="N391" s="1" t="str">
        <f aca="false">IF('10. Gantt S2L'!B195="","",'10. Gantt S2L'!Q195)</f>
        <v/>
      </c>
      <c r="O391" s="1" t="str">
        <f aca="false">IF('10. Gantt S2L'!B195="","",'10. Gantt S2L'!R195)</f>
        <v/>
      </c>
      <c r="P391" s="1" t="str">
        <f aca="false">IF('10. Gantt S2L'!B195="","",'10. Gantt S2L'!S195)</f>
        <v/>
      </c>
      <c r="Q391" s="1" t="str">
        <f aca="false">IF('10. Gantt S2L'!B195="","",'10. Gantt S2L'!T195)</f>
        <v/>
      </c>
      <c r="R391" s="1" t="str">
        <f aca="false">IF('10. Gantt S2L'!B195="","",'10. Gantt S2L'!U195)</f>
        <v/>
      </c>
    </row>
    <row r="392" customFormat="false" ht="15" hidden="false" customHeight="true" outlineLevel="0" collapsed="false">
      <c r="A392" s="1" t="str">
        <f aca="false">IF('10. Gantt S2L'!B196="","","SPACE TO LEAD")</f>
        <v/>
      </c>
      <c r="B392" s="1" t="str">
        <f aca="false">IF('10. Gantt S2L'!B196="","",'10. Gantt S2L'!B196)</f>
        <v/>
      </c>
      <c r="C392" s="1" t="str">
        <f aca="false">IF('10. Gantt S2L'!B196="","",'10. Gantt S2L'!C196)</f>
        <v/>
      </c>
      <c r="D392" s="1" t="str">
        <f aca="false">IF('10. Gantt S2L'!B196="","",'10. Gantt S2L'!D196)</f>
        <v/>
      </c>
      <c r="E392" s="1" t="str">
        <f aca="false">IF('10. Gantt S2L'!B196="","",'10. Gantt S2L'!E196)</f>
        <v/>
      </c>
      <c r="F392" s="1" t="str">
        <f aca="false">IF('10. Gantt S2L'!B196="","",'10. Gantt S2L'!G196)</f>
        <v/>
      </c>
      <c r="G392" s="167" t="str">
        <f aca="false">IF('10. Gantt S2L'!B196="","",'10. Gantt S2L'!H196)</f>
        <v/>
      </c>
      <c r="H392" s="167" t="str">
        <f aca="false">IF('10. Gantt S2L'!B196="","",'10. Gantt S2L'!I196)</f>
        <v/>
      </c>
      <c r="I392" s="167" t="str">
        <f aca="false">IF('10. Gantt S2L'!B196="","",'10. Gantt S2L'!K196)</f>
        <v/>
      </c>
      <c r="J392" s="168" t="str">
        <f aca="false">IF('10. Gantt S2L'!B196="","",'10. Gantt S2L'!M196)</f>
        <v/>
      </c>
      <c r="K392" s="168" t="str">
        <f aca="false">IF('10. Gantt S2L'!B196="","",'10. Gantt S2L'!N196)</f>
        <v/>
      </c>
      <c r="L392" s="169" t="str">
        <f aca="false">IF('10. Gantt S2L'!B196="","",'10. Gantt S2L'!O196)</f>
        <v/>
      </c>
      <c r="M392" s="169" t="str">
        <f aca="false">IF('10. Gantt S2L'!B196="","",'10. Gantt S2L'!P196)</f>
        <v/>
      </c>
      <c r="N392" s="1" t="str">
        <f aca="false">IF('10. Gantt S2L'!B196="","",'10. Gantt S2L'!Q196)</f>
        <v/>
      </c>
      <c r="O392" s="1" t="str">
        <f aca="false">IF('10. Gantt S2L'!B196="","",'10. Gantt S2L'!R196)</f>
        <v/>
      </c>
      <c r="P392" s="1" t="str">
        <f aca="false">IF('10. Gantt S2L'!B196="","",'10. Gantt S2L'!S196)</f>
        <v/>
      </c>
      <c r="Q392" s="1" t="str">
        <f aca="false">IF('10. Gantt S2L'!B196="","",'10. Gantt S2L'!T196)</f>
        <v/>
      </c>
      <c r="R392" s="1" t="str">
        <f aca="false">IF('10. Gantt S2L'!B196="","",'10. Gantt S2L'!U196)</f>
        <v/>
      </c>
    </row>
    <row r="393" customFormat="false" ht="15" hidden="false" customHeight="true" outlineLevel="0" collapsed="false">
      <c r="A393" s="1" t="str">
        <f aca="false">IF('10. Gantt S2L'!B197="","","SPACE TO LEAD")</f>
        <v/>
      </c>
      <c r="B393" s="1" t="str">
        <f aca="false">IF('10. Gantt S2L'!B197="","",'10. Gantt S2L'!B197)</f>
        <v/>
      </c>
      <c r="C393" s="1" t="str">
        <f aca="false">IF('10. Gantt S2L'!B197="","",'10. Gantt S2L'!C197)</f>
        <v/>
      </c>
      <c r="D393" s="1" t="str">
        <f aca="false">IF('10. Gantt S2L'!B197="","",'10. Gantt S2L'!D197)</f>
        <v/>
      </c>
      <c r="E393" s="1" t="str">
        <f aca="false">IF('10. Gantt S2L'!B197="","",'10. Gantt S2L'!E197)</f>
        <v/>
      </c>
      <c r="F393" s="1" t="str">
        <f aca="false">IF('10. Gantt S2L'!B197="","",'10. Gantt S2L'!G197)</f>
        <v/>
      </c>
      <c r="G393" s="167" t="str">
        <f aca="false">IF('10. Gantt S2L'!B197="","",'10. Gantt S2L'!H197)</f>
        <v/>
      </c>
      <c r="H393" s="167" t="str">
        <f aca="false">IF('10. Gantt S2L'!B197="","",'10. Gantt S2L'!I197)</f>
        <v/>
      </c>
      <c r="I393" s="167" t="str">
        <f aca="false">IF('10. Gantt S2L'!B197="","",'10. Gantt S2L'!K197)</f>
        <v/>
      </c>
      <c r="J393" s="168" t="str">
        <f aca="false">IF('10. Gantt S2L'!B197="","",'10. Gantt S2L'!M197)</f>
        <v/>
      </c>
      <c r="K393" s="168" t="str">
        <f aca="false">IF('10. Gantt S2L'!B197="","",'10. Gantt S2L'!N197)</f>
        <v/>
      </c>
      <c r="L393" s="169" t="str">
        <f aca="false">IF('10. Gantt S2L'!B197="","",'10. Gantt S2L'!O197)</f>
        <v/>
      </c>
      <c r="M393" s="169" t="str">
        <f aca="false">IF('10. Gantt S2L'!B197="","",'10. Gantt S2L'!P197)</f>
        <v/>
      </c>
      <c r="N393" s="1" t="str">
        <f aca="false">IF('10. Gantt S2L'!B197="","",'10. Gantt S2L'!Q197)</f>
        <v/>
      </c>
      <c r="O393" s="1" t="str">
        <f aca="false">IF('10. Gantt S2L'!B197="","",'10. Gantt S2L'!R197)</f>
        <v/>
      </c>
      <c r="P393" s="1" t="str">
        <f aca="false">IF('10. Gantt S2L'!B197="","",'10. Gantt S2L'!S197)</f>
        <v/>
      </c>
      <c r="Q393" s="1" t="str">
        <f aca="false">IF('10. Gantt S2L'!B197="","",'10. Gantt S2L'!T197)</f>
        <v/>
      </c>
      <c r="R393" s="1" t="str">
        <f aca="false">IF('10. Gantt S2L'!B197="","",'10. Gantt S2L'!U197)</f>
        <v/>
      </c>
    </row>
    <row r="394" customFormat="false" ht="15" hidden="false" customHeight="true" outlineLevel="0" collapsed="false">
      <c r="A394" s="1" t="str">
        <f aca="false">IF('10. Gantt S2L'!B198="","","SPACE TO LEAD")</f>
        <v/>
      </c>
      <c r="B394" s="1" t="str">
        <f aca="false">IF('10. Gantt S2L'!B198="","",'10. Gantt S2L'!B198)</f>
        <v/>
      </c>
      <c r="C394" s="1" t="str">
        <f aca="false">IF('10. Gantt S2L'!B198="","",'10. Gantt S2L'!C198)</f>
        <v/>
      </c>
      <c r="D394" s="1" t="str">
        <f aca="false">IF('10. Gantt S2L'!B198="","",'10. Gantt S2L'!D198)</f>
        <v/>
      </c>
      <c r="E394" s="1" t="str">
        <f aca="false">IF('10. Gantt S2L'!B198="","",'10. Gantt S2L'!E198)</f>
        <v/>
      </c>
      <c r="F394" s="1" t="str">
        <f aca="false">IF('10. Gantt S2L'!B198="","",'10. Gantt S2L'!G198)</f>
        <v/>
      </c>
      <c r="G394" s="167" t="str">
        <f aca="false">IF('10. Gantt S2L'!B198="","",'10. Gantt S2L'!H198)</f>
        <v/>
      </c>
      <c r="H394" s="167" t="str">
        <f aca="false">IF('10. Gantt S2L'!B198="","",'10. Gantt S2L'!I198)</f>
        <v/>
      </c>
      <c r="I394" s="167" t="str">
        <f aca="false">IF('10. Gantt S2L'!B198="","",'10. Gantt S2L'!K198)</f>
        <v/>
      </c>
      <c r="J394" s="168" t="str">
        <f aca="false">IF('10. Gantt S2L'!B198="","",'10. Gantt S2L'!M198)</f>
        <v/>
      </c>
      <c r="K394" s="168" t="str">
        <f aca="false">IF('10. Gantt S2L'!B198="","",'10. Gantt S2L'!N198)</f>
        <v/>
      </c>
      <c r="L394" s="169" t="str">
        <f aca="false">IF('10. Gantt S2L'!B198="","",'10. Gantt S2L'!O198)</f>
        <v/>
      </c>
      <c r="M394" s="169" t="str">
        <f aca="false">IF('10. Gantt S2L'!B198="","",'10. Gantt S2L'!P198)</f>
        <v/>
      </c>
      <c r="N394" s="1" t="str">
        <f aca="false">IF('10. Gantt S2L'!B198="","",'10. Gantt S2L'!Q198)</f>
        <v/>
      </c>
      <c r="O394" s="1" t="str">
        <f aca="false">IF('10. Gantt S2L'!B198="","",'10. Gantt S2L'!R198)</f>
        <v/>
      </c>
      <c r="P394" s="1" t="str">
        <f aca="false">IF('10. Gantt S2L'!B198="","",'10. Gantt S2L'!S198)</f>
        <v/>
      </c>
      <c r="Q394" s="1" t="str">
        <f aca="false">IF('10. Gantt S2L'!B198="","",'10. Gantt S2L'!T198)</f>
        <v/>
      </c>
      <c r="R394" s="1" t="str">
        <f aca="false">IF('10. Gantt S2L'!B198="","",'10. Gantt S2L'!U198)</f>
        <v/>
      </c>
    </row>
    <row r="395" customFormat="false" ht="15" hidden="false" customHeight="true" outlineLevel="0" collapsed="false">
      <c r="A395" s="1" t="str">
        <f aca="false">IF('10. Gantt S2L'!B199="","","SPACE TO LEAD")</f>
        <v/>
      </c>
      <c r="B395" s="1" t="str">
        <f aca="false">IF('10. Gantt S2L'!B199="","",'10. Gantt S2L'!B199)</f>
        <v/>
      </c>
      <c r="C395" s="1" t="str">
        <f aca="false">IF('10. Gantt S2L'!B199="","",'10. Gantt S2L'!C199)</f>
        <v/>
      </c>
      <c r="D395" s="1" t="str">
        <f aca="false">IF('10. Gantt S2L'!B199="","",'10. Gantt S2L'!D199)</f>
        <v/>
      </c>
      <c r="E395" s="1" t="str">
        <f aca="false">IF('10. Gantt S2L'!B199="","",'10. Gantt S2L'!E199)</f>
        <v/>
      </c>
      <c r="F395" s="1" t="str">
        <f aca="false">IF('10. Gantt S2L'!B199="","",'10. Gantt S2L'!G199)</f>
        <v/>
      </c>
      <c r="G395" s="167" t="str">
        <f aca="false">IF('10. Gantt S2L'!B199="","",'10. Gantt S2L'!H199)</f>
        <v/>
      </c>
      <c r="H395" s="167" t="str">
        <f aca="false">IF('10. Gantt S2L'!B199="","",'10. Gantt S2L'!I199)</f>
        <v/>
      </c>
      <c r="I395" s="167" t="str">
        <f aca="false">IF('10. Gantt S2L'!B199="","",'10. Gantt S2L'!K199)</f>
        <v/>
      </c>
      <c r="J395" s="168" t="str">
        <f aca="false">IF('10. Gantt S2L'!B199="","",'10. Gantt S2L'!M199)</f>
        <v/>
      </c>
      <c r="K395" s="168" t="str">
        <f aca="false">IF('10. Gantt S2L'!B199="","",'10. Gantt S2L'!N199)</f>
        <v/>
      </c>
      <c r="L395" s="169" t="str">
        <f aca="false">IF('10. Gantt S2L'!B199="","",'10. Gantt S2L'!O199)</f>
        <v/>
      </c>
      <c r="M395" s="169" t="str">
        <f aca="false">IF('10. Gantt S2L'!B199="","",'10. Gantt S2L'!P199)</f>
        <v/>
      </c>
      <c r="N395" s="1" t="str">
        <f aca="false">IF('10. Gantt S2L'!B199="","",'10. Gantt S2L'!Q199)</f>
        <v/>
      </c>
      <c r="O395" s="1" t="str">
        <f aca="false">IF('10. Gantt S2L'!B199="","",'10. Gantt S2L'!R199)</f>
        <v/>
      </c>
      <c r="P395" s="1" t="str">
        <f aca="false">IF('10. Gantt S2L'!B199="","",'10. Gantt S2L'!S199)</f>
        <v/>
      </c>
      <c r="Q395" s="1" t="str">
        <f aca="false">IF('10. Gantt S2L'!B199="","",'10. Gantt S2L'!T199)</f>
        <v/>
      </c>
      <c r="R395" s="1" t="str">
        <f aca="false">IF('10. Gantt S2L'!B199="","",'10. Gantt S2L'!U199)</f>
        <v/>
      </c>
    </row>
    <row r="396" customFormat="false" ht="15" hidden="false" customHeight="true" outlineLevel="0" collapsed="false">
      <c r="A396" s="1" t="str">
        <f aca="false">IF('10. Gantt S2L'!B200="","","SPACE TO LEAD")</f>
        <v/>
      </c>
      <c r="B396" s="1" t="str">
        <f aca="false">IF('10. Gantt S2L'!B200="","",'10. Gantt S2L'!B200)</f>
        <v/>
      </c>
      <c r="C396" s="1" t="str">
        <f aca="false">IF('10. Gantt S2L'!B200="","",'10. Gantt S2L'!C200)</f>
        <v/>
      </c>
      <c r="D396" s="1" t="str">
        <f aca="false">IF('10. Gantt S2L'!B200="","",'10. Gantt S2L'!D200)</f>
        <v/>
      </c>
      <c r="E396" s="1" t="str">
        <f aca="false">IF('10. Gantt S2L'!B200="","",'10. Gantt S2L'!E200)</f>
        <v/>
      </c>
      <c r="F396" s="1" t="str">
        <f aca="false">IF('10. Gantt S2L'!B200="","",'10. Gantt S2L'!G200)</f>
        <v/>
      </c>
      <c r="G396" s="167" t="str">
        <f aca="false">IF('10. Gantt S2L'!B200="","",'10. Gantt S2L'!H200)</f>
        <v/>
      </c>
      <c r="H396" s="167" t="str">
        <f aca="false">IF('10. Gantt S2L'!B200="","",'10. Gantt S2L'!I200)</f>
        <v/>
      </c>
      <c r="I396" s="167" t="str">
        <f aca="false">IF('10. Gantt S2L'!B200="","",'10. Gantt S2L'!K200)</f>
        <v/>
      </c>
      <c r="J396" s="168" t="str">
        <f aca="false">IF('10. Gantt S2L'!B200="","",'10. Gantt S2L'!M200)</f>
        <v/>
      </c>
      <c r="K396" s="168" t="str">
        <f aca="false">IF('10. Gantt S2L'!B200="","",'10. Gantt S2L'!N200)</f>
        <v/>
      </c>
      <c r="L396" s="169" t="str">
        <f aca="false">IF('10. Gantt S2L'!B200="","",'10. Gantt S2L'!O200)</f>
        <v/>
      </c>
      <c r="M396" s="169" t="str">
        <f aca="false">IF('10. Gantt S2L'!B200="","",'10. Gantt S2L'!P200)</f>
        <v/>
      </c>
      <c r="N396" s="1" t="str">
        <f aca="false">IF('10. Gantt S2L'!B200="","",'10. Gantt S2L'!Q200)</f>
        <v/>
      </c>
      <c r="O396" s="1" t="str">
        <f aca="false">IF('10. Gantt S2L'!B200="","",'10. Gantt S2L'!R200)</f>
        <v/>
      </c>
      <c r="P396" s="1" t="str">
        <f aca="false">IF('10. Gantt S2L'!B200="","",'10. Gantt S2L'!S200)</f>
        <v/>
      </c>
      <c r="Q396" s="1" t="str">
        <f aca="false">IF('10. Gantt S2L'!B200="","",'10. Gantt S2L'!T200)</f>
        <v/>
      </c>
      <c r="R396" s="1" t="str">
        <f aca="false">IF('10. Gantt S2L'!B200="","",'10. Gantt S2L'!U200)</f>
        <v/>
      </c>
    </row>
    <row r="397" customFormat="false" ht="15" hidden="false" customHeight="true" outlineLevel="0" collapsed="false">
      <c r="A397" s="1" t="str">
        <f aca="false">IF('10. Gantt S2L'!B201="","","SPACE TO LEAD")</f>
        <v/>
      </c>
      <c r="B397" s="1" t="str">
        <f aca="false">IF('10. Gantt S2L'!B201="","",'10. Gantt S2L'!B201)</f>
        <v/>
      </c>
      <c r="C397" s="1" t="str">
        <f aca="false">IF('10. Gantt S2L'!B201="","",'10. Gantt S2L'!C201)</f>
        <v/>
      </c>
      <c r="D397" s="1" t="str">
        <f aca="false">IF('10. Gantt S2L'!B201="","",'10. Gantt S2L'!D201)</f>
        <v/>
      </c>
      <c r="E397" s="1" t="str">
        <f aca="false">IF('10. Gantt S2L'!B201="","",'10. Gantt S2L'!E201)</f>
        <v/>
      </c>
      <c r="F397" s="1" t="str">
        <f aca="false">IF('10. Gantt S2L'!B201="","",'10. Gantt S2L'!G201)</f>
        <v/>
      </c>
      <c r="G397" s="167" t="str">
        <f aca="false">IF('10. Gantt S2L'!B201="","",'10. Gantt S2L'!H201)</f>
        <v/>
      </c>
      <c r="H397" s="167" t="str">
        <f aca="false">IF('10. Gantt S2L'!B201="","",'10. Gantt S2L'!I201)</f>
        <v/>
      </c>
      <c r="I397" s="167" t="str">
        <f aca="false">IF('10. Gantt S2L'!B201="","",'10. Gantt S2L'!K201)</f>
        <v/>
      </c>
      <c r="J397" s="168" t="str">
        <f aca="false">IF('10. Gantt S2L'!B201="","",'10. Gantt S2L'!M201)</f>
        <v/>
      </c>
      <c r="K397" s="168" t="str">
        <f aca="false">IF('10. Gantt S2L'!B201="","",'10. Gantt S2L'!N201)</f>
        <v/>
      </c>
      <c r="L397" s="169" t="str">
        <f aca="false">IF('10. Gantt S2L'!B201="","",'10. Gantt S2L'!O201)</f>
        <v/>
      </c>
      <c r="M397" s="169" t="str">
        <f aca="false">IF('10. Gantt S2L'!B201="","",'10. Gantt S2L'!P201)</f>
        <v/>
      </c>
      <c r="N397" s="1" t="str">
        <f aca="false">IF('10. Gantt S2L'!B201="","",'10. Gantt S2L'!Q201)</f>
        <v/>
      </c>
      <c r="O397" s="1" t="str">
        <f aca="false">IF('10. Gantt S2L'!B201="","",'10. Gantt S2L'!R201)</f>
        <v/>
      </c>
      <c r="P397" s="1" t="str">
        <f aca="false">IF('10. Gantt S2L'!B201="","",'10. Gantt S2L'!S201)</f>
        <v/>
      </c>
      <c r="Q397" s="1" t="str">
        <f aca="false">IF('10. Gantt S2L'!B201="","",'10. Gantt S2L'!T201)</f>
        <v/>
      </c>
      <c r="R397" s="1" t="str">
        <f aca="false">IF('10. Gantt S2L'!B201="","",'10. Gantt S2L'!U201)</f>
        <v/>
      </c>
    </row>
    <row r="398" customFormat="false" ht="15" hidden="false" customHeight="true" outlineLevel="0" collapsed="false">
      <c r="A398" s="1" t="str">
        <f aca="false">IF('10. Gantt S2L'!B202="","","SPACE TO LEAD")</f>
        <v/>
      </c>
      <c r="B398" s="1" t="str">
        <f aca="false">IF('10. Gantt S2L'!B202="","",'10. Gantt S2L'!B202)</f>
        <v/>
      </c>
      <c r="C398" s="1" t="str">
        <f aca="false">IF('10. Gantt S2L'!B202="","",'10. Gantt S2L'!C202)</f>
        <v/>
      </c>
      <c r="D398" s="1" t="str">
        <f aca="false">IF('10. Gantt S2L'!B202="","",'10. Gantt S2L'!D202)</f>
        <v/>
      </c>
      <c r="E398" s="1" t="str">
        <f aca="false">IF('10. Gantt S2L'!B202="","",'10. Gantt S2L'!E202)</f>
        <v/>
      </c>
      <c r="F398" s="1" t="str">
        <f aca="false">IF('10. Gantt S2L'!B202="","",'10. Gantt S2L'!G202)</f>
        <v/>
      </c>
      <c r="G398" s="167" t="str">
        <f aca="false">IF('10. Gantt S2L'!B202="","",'10. Gantt S2L'!H202)</f>
        <v/>
      </c>
      <c r="H398" s="167" t="str">
        <f aca="false">IF('10. Gantt S2L'!B202="","",'10. Gantt S2L'!I202)</f>
        <v/>
      </c>
      <c r="I398" s="167" t="str">
        <f aca="false">IF('10. Gantt S2L'!B202="","",'10. Gantt S2L'!K202)</f>
        <v/>
      </c>
      <c r="J398" s="168" t="str">
        <f aca="false">IF('10. Gantt S2L'!B202="","",'10. Gantt S2L'!M202)</f>
        <v/>
      </c>
      <c r="K398" s="168" t="str">
        <f aca="false">IF('10. Gantt S2L'!B202="","",'10. Gantt S2L'!N202)</f>
        <v/>
      </c>
      <c r="L398" s="169" t="str">
        <f aca="false">IF('10. Gantt S2L'!B202="","",'10. Gantt S2L'!O202)</f>
        <v/>
      </c>
      <c r="M398" s="169" t="str">
        <f aca="false">IF('10. Gantt S2L'!B202="","",'10. Gantt S2L'!P202)</f>
        <v/>
      </c>
      <c r="N398" s="1" t="str">
        <f aca="false">IF('10. Gantt S2L'!B202="","",'10. Gantt S2L'!Q202)</f>
        <v/>
      </c>
      <c r="O398" s="1" t="str">
        <f aca="false">IF('10. Gantt S2L'!B202="","",'10. Gantt S2L'!R202)</f>
        <v/>
      </c>
      <c r="P398" s="1" t="str">
        <f aca="false">IF('10. Gantt S2L'!B202="","",'10. Gantt S2L'!S202)</f>
        <v/>
      </c>
      <c r="Q398" s="1" t="str">
        <f aca="false">IF('10. Gantt S2L'!B202="","",'10. Gantt S2L'!T202)</f>
        <v/>
      </c>
      <c r="R398" s="1" t="str">
        <f aca="false">IF('10. Gantt S2L'!B202="","",'10. Gantt S2L'!U202)</f>
        <v/>
      </c>
    </row>
    <row r="399" customFormat="false" ht="15" hidden="false" customHeight="true" outlineLevel="0" collapsed="false">
      <c r="A399" s="1" t="str">
        <f aca="false">IF('10. Gantt S2L'!B203="","","SPACE TO LEAD")</f>
        <v/>
      </c>
      <c r="B399" s="1" t="str">
        <f aca="false">IF('10. Gantt S2L'!B203="","",'10. Gantt S2L'!B203)</f>
        <v/>
      </c>
      <c r="C399" s="1" t="str">
        <f aca="false">IF('10. Gantt S2L'!B203="","",'10. Gantt S2L'!C203)</f>
        <v/>
      </c>
      <c r="D399" s="1" t="str">
        <f aca="false">IF('10. Gantt S2L'!B203="","",'10. Gantt S2L'!D203)</f>
        <v/>
      </c>
      <c r="E399" s="1" t="str">
        <f aca="false">IF('10. Gantt S2L'!B203="","",'10. Gantt S2L'!E203)</f>
        <v/>
      </c>
      <c r="F399" s="1" t="str">
        <f aca="false">IF('10. Gantt S2L'!B203="","",'10. Gantt S2L'!G203)</f>
        <v/>
      </c>
      <c r="G399" s="167" t="str">
        <f aca="false">IF('10. Gantt S2L'!B203="","",'10. Gantt S2L'!H203)</f>
        <v/>
      </c>
      <c r="H399" s="167" t="str">
        <f aca="false">IF('10. Gantt S2L'!B203="","",'10. Gantt S2L'!I203)</f>
        <v/>
      </c>
      <c r="I399" s="167" t="str">
        <f aca="false">IF('10. Gantt S2L'!B203="","",'10. Gantt S2L'!K203)</f>
        <v/>
      </c>
      <c r="J399" s="168" t="str">
        <f aca="false">IF('10. Gantt S2L'!B203="","",'10. Gantt S2L'!M203)</f>
        <v/>
      </c>
      <c r="K399" s="168" t="str">
        <f aca="false">IF('10. Gantt S2L'!B203="","",'10. Gantt S2L'!N203)</f>
        <v/>
      </c>
      <c r="L399" s="169" t="str">
        <f aca="false">IF('10. Gantt S2L'!B203="","",'10. Gantt S2L'!O203)</f>
        <v/>
      </c>
      <c r="M399" s="169" t="str">
        <f aca="false">IF('10. Gantt S2L'!B203="","",'10. Gantt S2L'!P203)</f>
        <v/>
      </c>
      <c r="N399" s="1" t="str">
        <f aca="false">IF('10. Gantt S2L'!B203="","",'10. Gantt S2L'!Q203)</f>
        <v/>
      </c>
      <c r="O399" s="1" t="str">
        <f aca="false">IF('10. Gantt S2L'!B203="","",'10. Gantt S2L'!R203)</f>
        <v/>
      </c>
      <c r="P399" s="1" t="str">
        <f aca="false">IF('10. Gantt S2L'!B203="","",'10. Gantt S2L'!S203)</f>
        <v/>
      </c>
      <c r="Q399" s="1" t="str">
        <f aca="false">IF('10. Gantt S2L'!B203="","",'10. Gantt S2L'!T203)</f>
        <v/>
      </c>
      <c r="R399" s="1" t="str">
        <f aca="false">IF('10. Gantt S2L'!B203="","",'10. Gantt S2L'!U203)</f>
        <v/>
      </c>
    </row>
    <row r="400" customFormat="false" ht="15" hidden="false" customHeight="true" outlineLevel="0" collapsed="false">
      <c r="A400" s="1" t="str">
        <f aca="false">IF('10. Gantt S2L'!B204="","","SPACE TO LEAD")</f>
        <v/>
      </c>
      <c r="B400" s="1" t="str">
        <f aca="false">IF('10. Gantt S2L'!B204="","",'10. Gantt S2L'!B204)</f>
        <v/>
      </c>
      <c r="C400" s="1" t="str">
        <f aca="false">IF('10. Gantt S2L'!B204="","",'10. Gantt S2L'!C204)</f>
        <v/>
      </c>
      <c r="D400" s="1" t="str">
        <f aca="false">IF('10. Gantt S2L'!B204="","",'10. Gantt S2L'!D204)</f>
        <v/>
      </c>
      <c r="E400" s="1" t="str">
        <f aca="false">IF('10. Gantt S2L'!B204="","",'10. Gantt S2L'!E204)</f>
        <v/>
      </c>
      <c r="F400" s="1" t="str">
        <f aca="false">IF('10. Gantt S2L'!B204="","",'10. Gantt S2L'!G204)</f>
        <v/>
      </c>
      <c r="G400" s="167" t="str">
        <f aca="false">IF('10. Gantt S2L'!B204="","",'10. Gantt S2L'!H204)</f>
        <v/>
      </c>
      <c r="H400" s="167" t="str">
        <f aca="false">IF('10. Gantt S2L'!B204="","",'10. Gantt S2L'!I204)</f>
        <v/>
      </c>
      <c r="I400" s="167" t="str">
        <f aca="false">IF('10. Gantt S2L'!B204="","",'10. Gantt S2L'!K204)</f>
        <v/>
      </c>
      <c r="J400" s="168" t="str">
        <f aca="false">IF('10. Gantt S2L'!B204="","",'10. Gantt S2L'!M204)</f>
        <v/>
      </c>
      <c r="K400" s="168" t="str">
        <f aca="false">IF('10. Gantt S2L'!B204="","",'10. Gantt S2L'!N204)</f>
        <v/>
      </c>
      <c r="L400" s="169" t="str">
        <f aca="false">IF('10. Gantt S2L'!B204="","",'10. Gantt S2L'!O204)</f>
        <v/>
      </c>
      <c r="M400" s="169" t="str">
        <f aca="false">IF('10. Gantt S2L'!B204="","",'10. Gantt S2L'!P204)</f>
        <v/>
      </c>
      <c r="N400" s="1" t="str">
        <f aca="false">IF('10. Gantt S2L'!B204="","",'10. Gantt S2L'!Q204)</f>
        <v/>
      </c>
      <c r="O400" s="1" t="str">
        <f aca="false">IF('10. Gantt S2L'!B204="","",'10. Gantt S2L'!R204)</f>
        <v/>
      </c>
      <c r="P400" s="1" t="str">
        <f aca="false">IF('10. Gantt S2L'!B204="","",'10. Gantt S2L'!S204)</f>
        <v/>
      </c>
      <c r="Q400" s="1" t="str">
        <f aca="false">IF('10. Gantt S2L'!B204="","",'10. Gantt S2L'!T204)</f>
        <v/>
      </c>
      <c r="R400" s="1" t="str">
        <f aca="false">IF('10. Gantt S2L'!B204="","",'10. Gantt S2L'!U204)</f>
        <v/>
      </c>
    </row>
    <row r="401" customFormat="false" ht="15" hidden="false" customHeight="true" outlineLevel="0" collapsed="false">
      <c r="A401" s="1" t="str">
        <f aca="false">IF('10. Gantt S2L'!B205="","","SPACE TO LEAD")</f>
        <v/>
      </c>
      <c r="B401" s="1" t="str">
        <f aca="false">IF('10. Gantt S2L'!B205="","",'10. Gantt S2L'!B205)</f>
        <v/>
      </c>
      <c r="C401" s="1" t="str">
        <f aca="false">IF('10. Gantt S2L'!B205="","",'10. Gantt S2L'!C205)</f>
        <v/>
      </c>
      <c r="D401" s="1" t="str">
        <f aca="false">IF('10. Gantt S2L'!B205="","",'10. Gantt S2L'!D205)</f>
        <v/>
      </c>
      <c r="E401" s="1" t="str">
        <f aca="false">IF('10. Gantt S2L'!B205="","",'10. Gantt S2L'!E205)</f>
        <v/>
      </c>
      <c r="F401" s="1" t="str">
        <f aca="false">IF('10. Gantt S2L'!B205="","",'10. Gantt S2L'!G205)</f>
        <v/>
      </c>
      <c r="G401" s="167" t="str">
        <f aca="false">IF('10. Gantt S2L'!B205="","",'10. Gantt S2L'!H205)</f>
        <v/>
      </c>
      <c r="H401" s="167" t="str">
        <f aca="false">IF('10. Gantt S2L'!B205="","",'10. Gantt S2L'!I205)</f>
        <v/>
      </c>
      <c r="I401" s="167" t="str">
        <f aca="false">IF('10. Gantt S2L'!B205="","",'10. Gantt S2L'!K205)</f>
        <v/>
      </c>
      <c r="J401" s="168" t="str">
        <f aca="false">IF('10. Gantt S2L'!B205="","",'10. Gantt S2L'!M205)</f>
        <v/>
      </c>
      <c r="K401" s="168" t="str">
        <f aca="false">IF('10. Gantt S2L'!B205="","",'10. Gantt S2L'!N205)</f>
        <v/>
      </c>
      <c r="L401" s="169" t="str">
        <f aca="false">IF('10. Gantt S2L'!B205="","",'10. Gantt S2L'!O205)</f>
        <v/>
      </c>
      <c r="M401" s="169" t="str">
        <f aca="false">IF('10. Gantt S2L'!B205="","",'10. Gantt S2L'!P205)</f>
        <v/>
      </c>
      <c r="N401" s="1" t="str">
        <f aca="false">IF('10. Gantt S2L'!B205="","",'10. Gantt S2L'!Q205)</f>
        <v/>
      </c>
      <c r="O401" s="1" t="str">
        <f aca="false">IF('10. Gantt S2L'!B205="","",'10. Gantt S2L'!R205)</f>
        <v/>
      </c>
      <c r="P401" s="1" t="str">
        <f aca="false">IF('10. Gantt S2L'!B205="","",'10. Gantt S2L'!S205)</f>
        <v/>
      </c>
      <c r="Q401" s="1" t="str">
        <f aca="false">IF('10. Gantt S2L'!B205="","",'10. Gantt S2L'!T205)</f>
        <v/>
      </c>
      <c r="R401" s="1" t="str">
        <f aca="false">IF('10. Gantt S2L'!B205="","",'10. Gantt S2L'!U205)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285F4"/>
    <pageSetUpPr fitToPage="fals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40"/>
    <col collapsed="false" customWidth="true" hidden="false" outlineLevel="0" max="4" min="4" style="0" width="14"/>
    <col collapsed="false" customWidth="true" hidden="false" outlineLevel="0" max="5" min="5" style="0" width="10"/>
    <col collapsed="false" customWidth="true" hidden="false" outlineLevel="0" max="6" min="6" style="0" width="13"/>
    <col collapsed="false" customWidth="true" hidden="false" outlineLevel="0" max="7" min="7" style="0" width="15"/>
    <col collapsed="false" customWidth="true" hidden="false" outlineLevel="0" max="8" min="8" style="0" width="16"/>
  </cols>
  <sheetData>
    <row r="1" customFormat="false" ht="30" hidden="false" customHeight="true" outlineLevel="0" collapsed="false">
      <c r="A1" s="166" t="s">
        <v>663</v>
      </c>
      <c r="B1" s="166" t="s">
        <v>48</v>
      </c>
      <c r="C1" s="166" t="s">
        <v>18</v>
      </c>
      <c r="D1" s="166" t="s">
        <v>1100</v>
      </c>
      <c r="E1" s="166" t="s">
        <v>208</v>
      </c>
      <c r="F1" s="166" t="s">
        <v>1101</v>
      </c>
      <c r="G1" s="166" t="s">
        <v>1102</v>
      </c>
      <c r="H1" s="166" t="s">
        <v>30</v>
      </c>
    </row>
    <row r="2" customFormat="false" ht="15" hidden="false" customHeight="false" outlineLevel="0" collapsed="false">
      <c r="A2" s="0" t="str">
        <f aca="false">IF('6. Indicateurs EQUIFILLES'!B6="","","EQUIFILLES")</f>
        <v>EQUIFILLES</v>
      </c>
      <c r="B2" s="0" t="str">
        <f aca="false">IF('6. Indicateurs EQUIFILLES'!B6="","",'6. Indicateurs EQUIFILLES'!B6)</f>
        <v>Ind 0.1</v>
      </c>
      <c r="C2" s="0" t="str">
        <f aca="false">IF('6. Indicateurs EQUIFILLES'!B6="","",'6. Indicateurs EQUIFILLES'!C6)</f>
        <v>Taux d'abandon scolaire des filles réduit</v>
      </c>
      <c r="D2" s="0" t="str">
        <f aca="false">IF('6. Indicateurs EQUIFILLES'!B6="","",'6. Indicateurs EQUIFILLES'!D6)</f>
        <v>Impact</v>
      </c>
      <c r="E2" s="0" t="n">
        <f aca="false">IF('6. Indicateurs EQUIFILLES'!B6="","",'6. Indicateurs EQUIFILLES'!E6)</f>
        <v>30</v>
      </c>
      <c r="F2" s="0" t="n">
        <f aca="false">IF('6. Indicateurs EQUIFILLES'!B6="","",'6. Indicateurs EQUIFILLES'!I6)</f>
        <v>0</v>
      </c>
      <c r="G2" s="171" t="n">
        <f aca="false">IF('6. Indicateurs EQUIFILLES'!B6="","",'6. Indicateurs EQUIFILLES'!J6)</f>
        <v>0</v>
      </c>
      <c r="H2" s="0" t="str">
        <f aca="false">IF('6. Indicateurs EQUIFILLES'!B6="","",'6. Indicateurs EQUIFILLES'!K6)</f>
        <v>Non démarré</v>
      </c>
    </row>
    <row r="3" customFormat="false" ht="15" hidden="false" customHeight="false" outlineLevel="0" collapsed="false">
      <c r="A3" s="0" t="str">
        <f aca="false">IF('6. Indicateurs EQUIFILLES'!B7="","","EQUIFILLES")</f>
        <v>EQUIFILLES</v>
      </c>
      <c r="B3" s="0" t="str">
        <f aca="false">IF('6. Indicateurs EQUIFILLES'!B7="","",'6. Indicateurs EQUIFILLES'!B7)</f>
        <v>Ind 0.2</v>
      </c>
      <c r="C3" s="0" t="str">
        <f aca="false">IF('6. Indicateurs EQUIFILLES'!B7="","",'6. Indicateurs EQUIFILLES'!C7)</f>
        <v>Niveau de satisfaction parents/élèves</v>
      </c>
      <c r="D3" s="0" t="str">
        <f aca="false">IF('6. Indicateurs EQUIFILLES'!B7="","",'6. Indicateurs EQUIFILLES'!D7)</f>
        <v>Impact</v>
      </c>
      <c r="E3" s="0" t="n">
        <f aca="false">IF('6. Indicateurs EQUIFILLES'!B7="","",'6. Indicateurs EQUIFILLES'!E7)</f>
        <v>75</v>
      </c>
      <c r="F3" s="0" t="n">
        <f aca="false">IF('6. Indicateurs EQUIFILLES'!B7="","",'6. Indicateurs EQUIFILLES'!I7)</f>
        <v>0</v>
      </c>
      <c r="G3" s="171" t="n">
        <f aca="false">IF('6. Indicateurs EQUIFILLES'!B7="","",'6. Indicateurs EQUIFILLES'!J7)</f>
        <v>0</v>
      </c>
      <c r="H3" s="0" t="str">
        <f aca="false">IF('6. Indicateurs EQUIFILLES'!B7="","",'6. Indicateurs EQUIFILLES'!K7)</f>
        <v>Non démarré</v>
      </c>
    </row>
    <row r="4" customFormat="false" ht="15" hidden="false" customHeight="false" outlineLevel="0" collapsed="false">
      <c r="A4" s="0" t="str">
        <f aca="false">IF('6. Indicateurs EQUIFILLES'!B8="","","EQUIFILLES")</f>
        <v>EQUIFILLES</v>
      </c>
      <c r="B4" s="0" t="str">
        <f aca="false">IF('6. Indicateurs EQUIFILLES'!B8="","",'6. Indicateurs EQUIFILLES'!B8)</f>
        <v>Ind 1.1.1</v>
      </c>
      <c r="C4" s="0" t="str">
        <f aca="false">IF('6. Indicateurs EQUIFILLES'!B8="","",'6. Indicateurs EQUIFILLES'!C8)</f>
        <v>30 APE/AME/CAPE et CGS formés</v>
      </c>
      <c r="D4" s="0" t="str">
        <f aca="false">IF('6. Indicateurs EQUIFILLES'!B8="","",'6. Indicateurs EQUIFILLES'!D8)</f>
        <v>Output 1.1</v>
      </c>
      <c r="E4" s="0" t="n">
        <f aca="false">IF('6. Indicateurs EQUIFILLES'!B8="","",'6. Indicateurs EQUIFILLES'!E8)</f>
        <v>30</v>
      </c>
      <c r="F4" s="0" t="n">
        <f aca="false">IF('6. Indicateurs EQUIFILLES'!B8="","",'6. Indicateurs EQUIFILLES'!I8)</f>
        <v>0</v>
      </c>
      <c r="G4" s="171" t="n">
        <f aca="false">IF('6. Indicateurs EQUIFILLES'!B8="","",'6. Indicateurs EQUIFILLES'!J8)</f>
        <v>0</v>
      </c>
      <c r="H4" s="0" t="str">
        <f aca="false">IF('6. Indicateurs EQUIFILLES'!B8="","",'6. Indicateurs EQUIFILLES'!K8)</f>
        <v>Non démarré</v>
      </c>
    </row>
    <row r="5" customFormat="false" ht="15" hidden="false" customHeight="false" outlineLevel="0" collapsed="false">
      <c r="A5" s="0" t="str">
        <f aca="false">IF('6. Indicateurs EQUIFILLES'!B9="","","EQUIFILLES")</f>
        <v>EQUIFILLES</v>
      </c>
      <c r="B5" s="0" t="str">
        <f aca="false">IF('6. Indicateurs EQUIFILLES'!B9="","",'6. Indicateurs EQUIFILLES'!B9)</f>
        <v>Ind 1.1.2</v>
      </c>
      <c r="C5" s="0" t="str">
        <f aca="false">IF('6. Indicateurs EQUIFILLES'!B9="","",'6. Indicateurs EQUIFILLES'!C9)</f>
        <v>≥ 80% APE/AME participent aux cycles</v>
      </c>
      <c r="D5" s="0" t="str">
        <f aca="false">IF('6. Indicateurs EQUIFILLES'!B9="","",'6. Indicateurs EQUIFILLES'!D9)</f>
        <v>Output 1.1</v>
      </c>
      <c r="E5" s="0" t="n">
        <f aca="false">IF('6. Indicateurs EQUIFILLES'!B9="","",'6. Indicateurs EQUIFILLES'!E9)</f>
        <v>80</v>
      </c>
      <c r="F5" s="0" t="n">
        <f aca="false">IF('6. Indicateurs EQUIFILLES'!B9="","",'6. Indicateurs EQUIFILLES'!I9)</f>
        <v>0</v>
      </c>
      <c r="G5" s="171" t="n">
        <f aca="false">IF('6. Indicateurs EQUIFILLES'!B9="","",'6. Indicateurs EQUIFILLES'!J9)</f>
        <v>0</v>
      </c>
      <c r="H5" s="0" t="str">
        <f aca="false">IF('6. Indicateurs EQUIFILLES'!B9="","",'6. Indicateurs EQUIFILLES'!K9)</f>
        <v>Non démarré</v>
      </c>
    </row>
    <row r="6" customFormat="false" ht="15" hidden="false" customHeight="false" outlineLevel="0" collapsed="false">
      <c r="A6" s="0" t="str">
        <f aca="false">IF('6. Indicateurs EQUIFILLES'!B10="","","EQUIFILLES")</f>
        <v>EQUIFILLES</v>
      </c>
      <c r="B6" s="0" t="str">
        <f aca="false">IF('6. Indicateurs EQUIFILLES'!B10="","",'6. Indicateurs EQUIFILLES'!B10)</f>
        <v>Ind 1.1.3</v>
      </c>
      <c r="C6" s="0" t="str">
        <f aca="false">IF('6. Indicateurs EQUIFILLES'!B10="","",'6. Indicateurs EQUIFILLES'!C10)</f>
        <v>01 rapport d'évaluation citoyenne validé</v>
      </c>
      <c r="D6" s="0" t="str">
        <f aca="false">IF('6. Indicateurs EQUIFILLES'!B10="","",'6. Indicateurs EQUIFILLES'!D10)</f>
        <v>Output 1.1</v>
      </c>
      <c r="E6" s="0" t="n">
        <f aca="false">IF('6. Indicateurs EQUIFILLES'!B10="","",'6. Indicateurs EQUIFILLES'!E10)</f>
        <v>1</v>
      </c>
      <c r="F6" s="0" t="n">
        <f aca="false">IF('6. Indicateurs EQUIFILLES'!B10="","",'6. Indicateurs EQUIFILLES'!I10)</f>
        <v>0</v>
      </c>
      <c r="G6" s="171" t="n">
        <f aca="false">IF('6. Indicateurs EQUIFILLES'!B10="","",'6. Indicateurs EQUIFILLES'!J10)</f>
        <v>0</v>
      </c>
      <c r="H6" s="0" t="str">
        <f aca="false">IF('6. Indicateurs EQUIFILLES'!B10="","",'6. Indicateurs EQUIFILLES'!K10)</f>
        <v>Non démarré</v>
      </c>
    </row>
    <row r="7" customFormat="false" ht="15" hidden="false" customHeight="false" outlineLevel="0" collapsed="false">
      <c r="A7" s="0" t="str">
        <f aca="false">IF('6. Indicateurs EQUIFILLES'!B11="","","EQUIFILLES")</f>
        <v>EQUIFILLES</v>
      </c>
      <c r="B7" s="0" t="str">
        <f aca="false">IF('6. Indicateurs EQUIFILLES'!B11="","",'6. Indicateurs EQUIFILLES'!B11)</f>
        <v>Ind 1.1.4</v>
      </c>
      <c r="C7" s="0" t="str">
        <f aca="false">IF('6. Indicateurs EQUIFILLES'!B11="","",'6. Indicateurs EQUIFILLES'!C11)</f>
        <v>Acteurs offre formés aux outils de redevabilité</v>
      </c>
      <c r="D7" s="0" t="str">
        <f aca="false">IF('6. Indicateurs EQUIFILLES'!B11="","",'6. Indicateurs EQUIFILLES'!D11)</f>
        <v>Output 1.1</v>
      </c>
      <c r="E7" s="0" t="n">
        <f aca="false">IF('6. Indicateurs EQUIFILLES'!B11="","",'6. Indicateurs EQUIFILLES'!E11)</f>
        <v>15</v>
      </c>
      <c r="F7" s="0" t="n">
        <f aca="false">IF('6. Indicateurs EQUIFILLES'!B11="","",'6. Indicateurs EQUIFILLES'!I11)</f>
        <v>0</v>
      </c>
      <c r="G7" s="171" t="n">
        <f aca="false">IF('6. Indicateurs EQUIFILLES'!B11="","",'6. Indicateurs EQUIFILLES'!J11)</f>
        <v>0</v>
      </c>
      <c r="H7" s="0" t="str">
        <f aca="false">IF('6. Indicateurs EQUIFILLES'!B11="","",'6. Indicateurs EQUIFILLES'!K11)</f>
        <v>Non démarré</v>
      </c>
    </row>
    <row r="8" customFormat="false" ht="15" hidden="false" customHeight="false" outlineLevel="0" collapsed="false">
      <c r="A8" s="0" t="str">
        <f aca="false">IF('6. Indicateurs EQUIFILLES'!B12="","","EQUIFILLES")</f>
        <v>EQUIFILLES</v>
      </c>
      <c r="B8" s="0" t="str">
        <f aca="false">IF('6. Indicateurs EQUIFILLES'!B12="","",'6. Indicateurs EQUIFILLES'!B12)</f>
        <v>Ind 1.1.5</v>
      </c>
      <c r="C8" s="0" t="str">
        <f aca="false">IF('6. Indicateurs EQUIFILLES'!B12="","",'6. Indicateurs EQUIFILLES'!C12)</f>
        <v>Proportion de femmes formées</v>
      </c>
      <c r="D8" s="0" t="str">
        <f aca="false">IF('6. Indicateurs EQUIFILLES'!B12="","",'6. Indicateurs EQUIFILLES'!D12)</f>
        <v>Output 1.1</v>
      </c>
      <c r="E8" s="0" t="n">
        <f aca="false">IF('6. Indicateurs EQUIFILLES'!B12="","",'6. Indicateurs EQUIFILLES'!E12)</f>
        <v>50</v>
      </c>
      <c r="F8" s="0" t="n">
        <f aca="false">IF('6. Indicateurs EQUIFILLES'!B12="","",'6. Indicateurs EQUIFILLES'!I12)</f>
        <v>0</v>
      </c>
      <c r="G8" s="171" t="n">
        <f aca="false">IF('6. Indicateurs EQUIFILLES'!B12="","",'6. Indicateurs EQUIFILLES'!J12)</f>
        <v>0</v>
      </c>
      <c r="H8" s="0" t="str">
        <f aca="false">IF('6. Indicateurs EQUIFILLES'!B12="","",'6. Indicateurs EQUIFILLES'!K12)</f>
        <v>Non démarré</v>
      </c>
    </row>
    <row r="9" customFormat="false" ht="15" hidden="false" customHeight="false" outlineLevel="0" collapsed="false">
      <c r="A9" s="0" t="str">
        <f aca="false">IF('6. Indicateurs EQUIFILLES'!B13="","","EQUIFILLES")</f>
        <v>EQUIFILLES</v>
      </c>
      <c r="B9" s="0" t="str">
        <f aca="false">IF('6. Indicateurs EQUIFILLES'!B13="","",'6. Indicateurs EQUIFILLES'!B13)</f>
        <v>Ind 1.1.6</v>
      </c>
      <c r="C9" s="0" t="str">
        <f aca="false">IF('6. Indicateurs EQUIFILLES'!B13="","",'6. Indicateurs EQUIFILLES'!C13)</f>
        <v>Acteurs offre renforcés sur outils</v>
      </c>
      <c r="D9" s="0" t="str">
        <f aca="false">IF('6. Indicateurs EQUIFILLES'!B13="","",'6. Indicateurs EQUIFILLES'!D13)</f>
        <v>Output 1.1</v>
      </c>
      <c r="E9" s="0" t="n">
        <f aca="false">IF('6. Indicateurs EQUIFILLES'!B13="","",'6. Indicateurs EQUIFILLES'!E13)</f>
        <v>15</v>
      </c>
      <c r="F9" s="0" t="n">
        <f aca="false">IF('6. Indicateurs EQUIFILLES'!B13="","",'6. Indicateurs EQUIFILLES'!I13)</f>
        <v>0</v>
      </c>
      <c r="G9" s="171" t="n">
        <f aca="false">IF('6. Indicateurs EQUIFILLES'!B13="","",'6. Indicateurs EQUIFILLES'!J13)</f>
        <v>0</v>
      </c>
      <c r="H9" s="0" t="str">
        <f aca="false">IF('6. Indicateurs EQUIFILLES'!B13="","",'6. Indicateurs EQUIFILLES'!K13)</f>
        <v>Non démarré</v>
      </c>
    </row>
    <row r="10" customFormat="false" ht="15" hidden="false" customHeight="false" outlineLevel="0" collapsed="false">
      <c r="A10" s="0" t="str">
        <f aca="false">IF('6. Indicateurs EQUIFILLES'!B14="","","EQUIFILLES")</f>
        <v>EQUIFILLES</v>
      </c>
      <c r="B10" s="0" t="str">
        <f aca="false">IF('6. Indicateurs EQUIFILLES'!B14="","",'6. Indicateurs EQUIFILLES'!B14)</f>
        <v>Ind 1.2.1</v>
      </c>
      <c r="C10" s="0" t="str">
        <f aca="false">IF('6. Indicateurs EQUIFILLES'!B14="","",'6. Indicateurs EQUIFILLES'!C14)</f>
        <v>75 élèves formés (60% filles)</v>
      </c>
      <c r="D10" s="0" t="str">
        <f aca="false">IF('6. Indicateurs EQUIFILLES'!B14="","",'6. Indicateurs EQUIFILLES'!D14)</f>
        <v>Output 1.2</v>
      </c>
      <c r="E10" s="0" t="n">
        <f aca="false">IF('6. Indicateurs EQUIFILLES'!B14="","",'6. Indicateurs EQUIFILLES'!E14)</f>
        <v>75</v>
      </c>
      <c r="F10" s="0" t="n">
        <f aca="false">IF('6. Indicateurs EQUIFILLES'!B14="","",'6. Indicateurs EQUIFILLES'!I14)</f>
        <v>0</v>
      </c>
      <c r="G10" s="171" t="n">
        <f aca="false">IF('6. Indicateurs EQUIFILLES'!B14="","",'6. Indicateurs EQUIFILLES'!J14)</f>
        <v>0</v>
      </c>
      <c r="H10" s="0" t="str">
        <f aca="false">IF('6. Indicateurs EQUIFILLES'!B14="","",'6. Indicateurs EQUIFILLES'!K14)</f>
        <v>Non démarré</v>
      </c>
    </row>
    <row r="11" customFormat="false" ht="15" hidden="false" customHeight="false" outlineLevel="0" collapsed="false">
      <c r="A11" s="0" t="str">
        <f aca="false">IF('6. Indicateurs EQUIFILLES'!B15="","","EQUIFILLES")</f>
        <v>EQUIFILLES</v>
      </c>
      <c r="B11" s="0" t="str">
        <f aca="false">IF('6. Indicateurs EQUIFILLES'!B15="","",'6. Indicateurs EQUIFILLES'!B15)</f>
        <v>Ind 1.2.2</v>
      </c>
      <c r="C11" s="0" t="str">
        <f aca="false">IF('6. Indicateurs EQUIFILLES'!B15="","",'6. Indicateurs EQUIFILLES'!C15)</f>
        <v>≥ 70% des actions plans clubs réalisées</v>
      </c>
      <c r="D11" s="0" t="str">
        <f aca="false">IF('6. Indicateurs EQUIFILLES'!B15="","",'6. Indicateurs EQUIFILLES'!D15)</f>
        <v>Output 1.2</v>
      </c>
      <c r="E11" s="0" t="n">
        <f aca="false">IF('6. Indicateurs EQUIFILLES'!B15="","",'6. Indicateurs EQUIFILLES'!E15)</f>
        <v>70</v>
      </c>
      <c r="F11" s="0" t="n">
        <f aca="false">IF('6. Indicateurs EQUIFILLES'!B15="","",'6. Indicateurs EQUIFILLES'!I15)</f>
        <v>0</v>
      </c>
      <c r="G11" s="171" t="n">
        <f aca="false">IF('6. Indicateurs EQUIFILLES'!B15="","",'6. Indicateurs EQUIFILLES'!J15)</f>
        <v>0</v>
      </c>
      <c r="H11" s="0" t="str">
        <f aca="false">IF('6. Indicateurs EQUIFILLES'!B15="","",'6. Indicateurs EQUIFILLES'!K15)</f>
        <v>Non démarré</v>
      </c>
    </row>
    <row r="12" customFormat="false" ht="15" hidden="false" customHeight="false" outlineLevel="0" collapsed="false">
      <c r="A12" s="0" t="str">
        <f aca="false">IF('6. Indicateurs EQUIFILLES'!B16="","","EQUIFILLES")</f>
        <v>EQUIFILLES</v>
      </c>
      <c r="B12" s="0" t="str">
        <f aca="false">IF('6. Indicateurs EQUIFILLES'!B16="","",'6. Indicateurs EQUIFILLES'!B16)</f>
        <v>Ind 1.3.1</v>
      </c>
      <c r="C12" s="0" t="str">
        <f aca="false">IF('6. Indicateurs EQUIFILLES'!B16="","",'6. Indicateurs EQUIFILLES'!C16)</f>
        <v>≥ 75% participation parents aux forums</v>
      </c>
      <c r="D12" s="0" t="str">
        <f aca="false">IF('6. Indicateurs EQUIFILLES'!B16="","",'6. Indicateurs EQUIFILLES'!D16)</f>
        <v>Output 1.3</v>
      </c>
      <c r="E12" s="0" t="n">
        <f aca="false">IF('6. Indicateurs EQUIFILLES'!B16="","",'6. Indicateurs EQUIFILLES'!E16)</f>
        <v>75</v>
      </c>
      <c r="F12" s="0" t="n">
        <f aca="false">IF('6. Indicateurs EQUIFILLES'!B16="","",'6. Indicateurs EQUIFILLES'!I16)</f>
        <v>0</v>
      </c>
      <c r="G12" s="171" t="n">
        <f aca="false">IF('6. Indicateurs EQUIFILLES'!B16="","",'6. Indicateurs EQUIFILLES'!J16)</f>
        <v>0</v>
      </c>
      <c r="H12" s="0" t="str">
        <f aca="false">IF('6. Indicateurs EQUIFILLES'!B16="","",'6. Indicateurs EQUIFILLES'!K16)</f>
        <v>Non démarré</v>
      </c>
    </row>
    <row r="13" customFormat="false" ht="15" hidden="false" customHeight="false" outlineLevel="0" collapsed="false">
      <c r="A13" s="0" t="str">
        <f aca="false">IF('6. Indicateurs EQUIFILLES'!B17="","","EQUIFILLES")</f>
        <v>EQUIFILLES</v>
      </c>
      <c r="B13" s="0" t="str">
        <f aca="false">IF('6. Indicateurs EQUIFILLES'!B17="","",'6. Indicateurs EQUIFILLES'!B17)</f>
        <v>Ind 1.3.2</v>
      </c>
      <c r="C13" s="0" t="str">
        <f aca="false">IF('6. Indicateurs EQUIFILLES'!B17="","",'6. Indicateurs EQUIFILLES'!C17)</f>
        <v>6 séances de concertation</v>
      </c>
      <c r="D13" s="0" t="str">
        <f aca="false">IF('6. Indicateurs EQUIFILLES'!B17="","",'6. Indicateurs EQUIFILLES'!D17)</f>
        <v>Output 1.3</v>
      </c>
      <c r="E13" s="0" t="n">
        <f aca="false">IF('6. Indicateurs EQUIFILLES'!B17="","",'6. Indicateurs EQUIFILLES'!E17)</f>
        <v>6</v>
      </c>
      <c r="F13" s="0" t="n">
        <f aca="false">IF('6. Indicateurs EQUIFILLES'!B17="","",'6. Indicateurs EQUIFILLES'!I17)</f>
        <v>0</v>
      </c>
      <c r="G13" s="171" t="n">
        <f aca="false">IF('6. Indicateurs EQUIFILLES'!B17="","",'6. Indicateurs EQUIFILLES'!J17)</f>
        <v>0</v>
      </c>
      <c r="H13" s="0" t="str">
        <f aca="false">IF('6. Indicateurs EQUIFILLES'!B17="","",'6. Indicateurs EQUIFILLES'!K17)</f>
        <v>Non démarré</v>
      </c>
    </row>
    <row r="14" customFormat="false" ht="15" hidden="false" customHeight="false" outlineLevel="0" collapsed="false">
      <c r="A14" s="0" t="str">
        <f aca="false">IF('6. Indicateurs EQUIFILLES'!B18="","","EQUIFILLES")</f>
        <v>EQUIFILLES</v>
      </c>
      <c r="B14" s="0" t="str">
        <f aca="false">IF('6. Indicateurs EQUIFILLES'!B18="","",'6. Indicateurs EQUIFILLES'!B18)</f>
        <v>Ind 1.3.3</v>
      </c>
      <c r="C14" s="0" t="str">
        <f aca="false">IF('6. Indicateurs EQUIFILLES'!B18="","",'6. Indicateurs EQUIFILLES'!C18)</f>
        <v>≥ 3 recommandations intégrées dans plans</v>
      </c>
      <c r="D14" s="0" t="str">
        <f aca="false">IF('6. Indicateurs EQUIFILLES'!B18="","",'6. Indicateurs EQUIFILLES'!D18)</f>
        <v>Output 1.3</v>
      </c>
      <c r="E14" s="0" t="n">
        <f aca="false">IF('6. Indicateurs EQUIFILLES'!B18="","",'6. Indicateurs EQUIFILLES'!E18)</f>
        <v>3</v>
      </c>
      <c r="F14" s="0" t="n">
        <f aca="false">IF('6. Indicateurs EQUIFILLES'!B18="","",'6. Indicateurs EQUIFILLES'!I18)</f>
        <v>0</v>
      </c>
      <c r="G14" s="171" t="n">
        <f aca="false">IF('6. Indicateurs EQUIFILLES'!B18="","",'6. Indicateurs EQUIFILLES'!J18)</f>
        <v>0</v>
      </c>
      <c r="H14" s="0" t="str">
        <f aca="false">IF('6. Indicateurs EQUIFILLES'!B18="","",'6. Indicateurs EQUIFILLES'!K18)</f>
        <v>Non démarré</v>
      </c>
    </row>
    <row r="15" customFormat="false" ht="15" hidden="false" customHeight="false" outlineLevel="0" collapsed="false">
      <c r="A15" s="0" t="str">
        <f aca="false">IF('6. Indicateurs EQUIFILLES'!B19="","","EQUIFILLES")</f>
        <v>EQUIFILLES</v>
      </c>
      <c r="B15" s="0" t="str">
        <f aca="false">IF('6. Indicateurs EQUIFILLES'!B19="","",'6. Indicateurs EQUIFILLES'!B19)</f>
        <v>SYNTHÈSE GLOBALE DES INDICATEURS</v>
      </c>
      <c r="C15" s="0" t="n">
        <f aca="false">IF('6. Indicateurs EQUIFILLES'!B19="","",'6. Indicateurs EQUIFILLES'!C19)</f>
        <v>0</v>
      </c>
      <c r="D15" s="0" t="n">
        <f aca="false">IF('6. Indicateurs EQUIFILLES'!B19="","",'6. Indicateurs EQUIFILLES'!D19)</f>
        <v>0</v>
      </c>
      <c r="E15" s="0" t="n">
        <f aca="false">IF('6. Indicateurs EQUIFILLES'!B19="","",'6. Indicateurs EQUIFILLES'!E19)</f>
        <v>0</v>
      </c>
      <c r="F15" s="0" t="n">
        <f aca="false">IF('6. Indicateurs EQUIFILLES'!B19="","",'6. Indicateurs EQUIFILLES'!I19)</f>
        <v>0</v>
      </c>
      <c r="G15" s="171" t="n">
        <f aca="false">IF('6. Indicateurs EQUIFILLES'!B19="","",'6. Indicateurs EQUIFILLES'!J19)</f>
        <v>0</v>
      </c>
      <c r="H15" s="0" t="str">
        <f aca="false">IF('6. Indicateurs EQUIFILLES'!B19="","",'6. Indicateurs EQUIFILLES'!K19)</f>
        <v>0/13</v>
      </c>
    </row>
    <row r="18" customFormat="false" ht="15" hidden="false" customHeight="false" outlineLevel="0" collapsed="false">
      <c r="A18" s="0" t="str">
        <f aca="false">IF('11. Indicateurs S2L'!B6="","","SPACE TO LEAD")</f>
        <v>SPACE TO LEAD</v>
      </c>
      <c r="B18" s="0" t="str">
        <f aca="false">IF('11. Indicateurs S2L'!B6="","",'11. Indicateurs S2L'!B6)</f>
        <v>I.0.SAL.1</v>
      </c>
      <c r="C18" s="0" t="str">
        <f aca="false">IF('11. Indicateurs S2L'!B6="","",'11. Indicateurs S2L'!C6)</f>
        <v>Charge de programme - Mois travaillés</v>
      </c>
      <c r="D18" s="0" t="str">
        <f aca="false">IF('11. Indicateurs S2L'!B6="","",'11. Indicateurs S2L'!D6)</f>
        <v>V0</v>
      </c>
      <c r="E18" s="0" t="n">
        <f aca="false">IF('11. Indicateurs S2L'!B6="","",'11. Indicateurs S2L'!E6)</f>
        <v>20</v>
      </c>
      <c r="F18" s="0" t="n">
        <f aca="false">IF('11. Indicateurs S2L'!B6="","",'11. Indicateurs S2L'!I6)</f>
        <v>0</v>
      </c>
      <c r="G18" s="171" t="n">
        <f aca="false">IF('11. Indicateurs S2L'!B6="","",'11. Indicateurs S2L'!J6)</f>
        <v>0</v>
      </c>
      <c r="H18" s="0" t="str">
        <f aca="false">IF('11. Indicateurs S2L'!B6="","",'11. Indicateurs S2L'!K6)</f>
        <v>Non démarré</v>
      </c>
    </row>
    <row r="19" customFormat="false" ht="15" hidden="false" customHeight="false" outlineLevel="0" collapsed="false">
      <c r="A19" s="0" t="str">
        <f aca="false">IF('11. Indicateurs S2L'!B7="","","SPACE TO LEAD")</f>
        <v>SPACE TO LEAD</v>
      </c>
      <c r="B19" s="0" t="str">
        <f aca="false">IF('11. Indicateurs S2L'!B7="","",'11. Indicateurs S2L'!B7)</f>
        <v>I.0.SAL.2</v>
      </c>
      <c r="C19" s="0" t="str">
        <f aca="false">IF('11. Indicateurs S2L'!B7="","",'11. Indicateurs S2L'!C7)</f>
        <v>Comptable - Mois travaillés</v>
      </c>
      <c r="D19" s="0" t="str">
        <f aca="false">IF('11. Indicateurs S2L'!B7="","",'11. Indicateurs S2L'!D7)</f>
        <v>V0</v>
      </c>
      <c r="E19" s="0" t="n">
        <f aca="false">IF('11. Indicateurs S2L'!B7="","",'11. Indicateurs S2L'!E7)</f>
        <v>20</v>
      </c>
      <c r="F19" s="0" t="n">
        <f aca="false">IF('11. Indicateurs S2L'!B7="","",'11. Indicateurs S2L'!I7)</f>
        <v>0</v>
      </c>
      <c r="G19" s="171" t="n">
        <f aca="false">IF('11. Indicateurs S2L'!B7="","",'11. Indicateurs S2L'!J7)</f>
        <v>0</v>
      </c>
      <c r="H19" s="0" t="str">
        <f aca="false">IF('11. Indicateurs S2L'!B7="","",'11. Indicateurs S2L'!K7)</f>
        <v>Non démarré</v>
      </c>
    </row>
    <row r="20" customFormat="false" ht="15" hidden="false" customHeight="false" outlineLevel="0" collapsed="false">
      <c r="A20" s="0" t="str">
        <f aca="false">IF('11. Indicateurs S2L'!B8="","","SPACE TO LEAD")</f>
        <v>SPACE TO LEAD</v>
      </c>
      <c r="B20" s="0" t="str">
        <f aca="false">IF('11. Indicateurs S2L'!B8="","",'11. Indicateurs S2L'!B8)</f>
        <v>I.0.EQ.1</v>
      </c>
      <c r="C20" s="0" t="str">
        <f aca="false">IF('11. Indicateurs S2L'!B8="","",'11. Indicateurs S2L'!C8)</f>
        <v>Laptops + accessoires acquis</v>
      </c>
      <c r="D20" s="0" t="str">
        <f aca="false">IF('11. Indicateurs S2L'!B8="","",'11. Indicateurs S2L'!D8)</f>
        <v>V0</v>
      </c>
      <c r="E20" s="0" t="n">
        <f aca="false">IF('11. Indicateurs S2L'!B8="","",'11. Indicateurs S2L'!E8)</f>
        <v>2</v>
      </c>
      <c r="F20" s="0" t="n">
        <f aca="false">IF('11. Indicateurs S2L'!B8="","",'11. Indicateurs S2L'!I8)</f>
        <v>0</v>
      </c>
      <c r="G20" s="171" t="n">
        <f aca="false">IF('11. Indicateurs S2L'!B8="","",'11. Indicateurs S2L'!J8)</f>
        <v>0</v>
      </c>
      <c r="H20" s="0" t="str">
        <f aca="false">IF('11. Indicateurs S2L'!B8="","",'11. Indicateurs S2L'!K8)</f>
        <v>Non démarré</v>
      </c>
    </row>
    <row r="21" customFormat="false" ht="15" hidden="false" customHeight="false" outlineLevel="0" collapsed="false">
      <c r="A21" s="0" t="str">
        <f aca="false">IF('11. Indicateurs S2L'!B9="","","SPACE TO LEAD")</f>
        <v>SPACE TO LEAD</v>
      </c>
      <c r="B21" s="0" t="str">
        <f aca="false">IF('11. Indicateurs S2L'!B9="","",'11. Indicateurs S2L'!B9)</f>
        <v>I.0.EQ.2</v>
      </c>
      <c r="C21" s="0" t="str">
        <f aca="false">IF('11. Indicateurs S2L'!B9="","",'11. Indicateurs S2L'!C9)</f>
        <v>Forfaits fournitures ONG acquis</v>
      </c>
      <c r="D21" s="0" t="str">
        <f aca="false">IF('11. Indicateurs S2L'!B9="","",'11. Indicateurs S2L'!D9)</f>
        <v>V0</v>
      </c>
      <c r="E21" s="0" t="n">
        <f aca="false">IF('11. Indicateurs S2L'!B9="","",'11. Indicateurs S2L'!E9)</f>
        <v>3</v>
      </c>
      <c r="F21" s="0" t="n">
        <f aca="false">IF('11. Indicateurs S2L'!B9="","",'11. Indicateurs S2L'!I9)</f>
        <v>0</v>
      </c>
      <c r="G21" s="171" t="n">
        <f aca="false">IF('11. Indicateurs S2L'!B9="","",'11. Indicateurs S2L'!J9)</f>
        <v>0</v>
      </c>
      <c r="H21" s="0" t="str">
        <f aca="false">IF('11. Indicateurs S2L'!B9="","",'11. Indicateurs S2L'!K9)</f>
        <v>Non démarré</v>
      </c>
    </row>
    <row r="22" customFormat="false" ht="15" hidden="false" customHeight="false" outlineLevel="0" collapsed="false">
      <c r="A22" s="0" t="str">
        <f aca="false">IF('11. Indicateurs S2L'!B10="","","SPACE TO LEAD")</f>
        <v>SPACE TO LEAD</v>
      </c>
      <c r="B22" s="0" t="str">
        <f aca="false">IF('11. Indicateurs S2L'!B10="","",'11. Indicateurs S2L'!B10)</f>
        <v>I.0.EQ.3</v>
      </c>
      <c r="C22" s="0" t="str">
        <f aca="false">IF('11. Indicateurs S2L'!B10="","",'11. Indicateurs S2L'!C10)</f>
        <v>Kits internet acquis</v>
      </c>
      <c r="D22" s="0" t="str">
        <f aca="false">IF('11. Indicateurs S2L'!B10="","",'11. Indicateurs S2L'!D10)</f>
        <v>V0</v>
      </c>
      <c r="E22" s="0" t="n">
        <f aca="false">IF('11. Indicateurs S2L'!B10="","",'11. Indicateurs S2L'!E10)</f>
        <v>1</v>
      </c>
      <c r="F22" s="0" t="n">
        <f aca="false">IF('11. Indicateurs S2L'!B10="","",'11. Indicateurs S2L'!I10)</f>
        <v>0</v>
      </c>
      <c r="G22" s="171" t="n">
        <f aca="false">IF('11. Indicateurs S2L'!B10="","",'11. Indicateurs S2L'!J10)</f>
        <v>0</v>
      </c>
      <c r="H22" s="0" t="str">
        <f aca="false">IF('11. Indicateurs S2L'!B10="","",'11. Indicateurs S2L'!K10)</f>
        <v>Non démarré</v>
      </c>
    </row>
    <row r="23" customFormat="false" ht="15" hidden="false" customHeight="false" outlineLevel="0" collapsed="false">
      <c r="A23" s="0" t="str">
        <f aca="false">IF('11. Indicateurs S2L'!B11="","","SPACE TO LEAD")</f>
        <v>SPACE TO LEAD</v>
      </c>
      <c r="B23" s="0" t="str">
        <f aca="false">IF('11. Indicateurs S2L'!B11="","",'11. Indicateurs S2L'!B11)</f>
        <v>I.0.ME.1</v>
      </c>
      <c r="C23" s="0" t="str">
        <f aca="false">IF('11. Indicateurs S2L'!B11="","",'11. Indicateurs S2L'!C11)</f>
        <v>Missions de suivi de coordination</v>
      </c>
      <c r="D23" s="0" t="str">
        <f aca="false">IF('11. Indicateurs S2L'!B11="","",'11. Indicateurs S2L'!D11)</f>
        <v>V0</v>
      </c>
      <c r="E23" s="0" t="n">
        <f aca="false">IF('11. Indicateurs S2L'!B11="","",'11. Indicateurs S2L'!E11)</f>
        <v>3</v>
      </c>
      <c r="F23" s="0" t="n">
        <f aca="false">IF('11. Indicateurs S2L'!B11="","",'11. Indicateurs S2L'!I11)</f>
        <v>0</v>
      </c>
      <c r="G23" s="171" t="n">
        <f aca="false">IF('11. Indicateurs S2L'!B11="","",'11. Indicateurs S2L'!J11)</f>
        <v>0</v>
      </c>
      <c r="H23" s="0" t="str">
        <f aca="false">IF('11. Indicateurs S2L'!B11="","",'11. Indicateurs S2L'!K11)</f>
        <v>Non démarré</v>
      </c>
    </row>
    <row r="24" customFormat="false" ht="15" hidden="false" customHeight="false" outlineLevel="0" collapsed="false">
      <c r="A24" s="0" t="str">
        <f aca="false">IF('11. Indicateurs S2L'!B12="","","SPACE TO LEAD")</f>
        <v>SPACE TO LEAD</v>
      </c>
      <c r="B24" s="0" t="str">
        <f aca="false">IF('11. Indicateurs S2L'!B12="","",'11. Indicateurs S2L'!B12)</f>
        <v>I.0.SC.1</v>
      </c>
      <c r="C24" s="0" t="str">
        <f aca="false">IF('11. Indicateurs S2L'!B12="","",'11. Indicateurs S2L'!C12)</f>
        <v>Mois de contribution salaire mgmt</v>
      </c>
      <c r="D24" s="0" t="str">
        <f aca="false">IF('11. Indicateurs S2L'!B12="","",'11. Indicateurs S2L'!D12)</f>
        <v>V0</v>
      </c>
      <c r="E24" s="0" t="n">
        <f aca="false">IF('11. Indicateurs S2L'!B12="","",'11. Indicateurs S2L'!E12)</f>
        <v>20</v>
      </c>
      <c r="F24" s="0" t="n">
        <f aca="false">IF('11. Indicateurs S2L'!B12="","",'11. Indicateurs S2L'!I12)</f>
        <v>0</v>
      </c>
      <c r="G24" s="171" t="n">
        <f aca="false">IF('11. Indicateurs S2L'!B12="","",'11. Indicateurs S2L'!J12)</f>
        <v>0</v>
      </c>
      <c r="H24" s="0" t="str">
        <f aca="false">IF('11. Indicateurs S2L'!B12="","",'11. Indicateurs S2L'!K12)</f>
        <v>Non démarré</v>
      </c>
    </row>
    <row r="25" customFormat="false" ht="15" hidden="false" customHeight="false" outlineLevel="0" collapsed="false">
      <c r="A25" s="0" t="str">
        <f aca="false">IF('11. Indicateurs S2L'!B13="","","SPACE TO LEAD")</f>
        <v>SPACE TO LEAD</v>
      </c>
      <c r="B25" s="0" t="str">
        <f aca="false">IF('11. Indicateurs S2L'!B13="","",'11. Indicateurs S2L'!B13)</f>
        <v>I.0.SC.2</v>
      </c>
      <c r="C25" s="0" t="str">
        <f aca="false">IF('11. Indicateurs S2L'!B13="","",'11. Indicateurs S2L'!C13)</f>
        <v>Mois de contribution loyer/utilités</v>
      </c>
      <c r="D25" s="0" t="str">
        <f aca="false">IF('11. Indicateurs S2L'!B13="","",'11. Indicateurs S2L'!D13)</f>
        <v>V0</v>
      </c>
      <c r="E25" s="0" t="n">
        <f aca="false">IF('11. Indicateurs S2L'!B13="","",'11. Indicateurs S2L'!E13)</f>
        <v>20</v>
      </c>
      <c r="F25" s="0" t="n">
        <f aca="false">IF('11. Indicateurs S2L'!B13="","",'11. Indicateurs S2L'!I13)</f>
        <v>0</v>
      </c>
      <c r="G25" s="171" t="n">
        <f aca="false">IF('11. Indicateurs S2L'!B13="","",'11. Indicateurs S2L'!J13)</f>
        <v>0</v>
      </c>
      <c r="H25" s="0" t="str">
        <f aca="false">IF('11. Indicateurs S2L'!B13="","",'11. Indicateurs S2L'!K13)</f>
        <v>Non démarré</v>
      </c>
    </row>
    <row r="26" customFormat="false" ht="15" hidden="false" customHeight="false" outlineLevel="0" collapsed="false">
      <c r="A26" s="0" t="str">
        <f aca="false">IF('11. Indicateurs S2L'!B14="","","SPACE TO LEAD")</f>
        <v>SPACE TO LEAD</v>
      </c>
      <c r="B26" s="0" t="str">
        <f aca="false">IF('11. Indicateurs S2L'!B14="","",'11. Indicateurs S2L'!B14)</f>
        <v>I.0.SC.3</v>
      </c>
      <c r="C26" s="0" t="str">
        <f aca="false">IF('11. Indicateurs S2L'!B14="","",'11. Indicateurs S2L'!C14)</f>
        <v>Mois de connexion internet ONG</v>
      </c>
      <c r="D26" s="0" t="str">
        <f aca="false">IF('11. Indicateurs S2L'!B14="","",'11. Indicateurs S2L'!D14)</f>
        <v>V0</v>
      </c>
      <c r="E26" s="0" t="n">
        <f aca="false">IF('11. Indicateurs S2L'!B14="","",'11. Indicateurs S2L'!E14)</f>
        <v>20</v>
      </c>
      <c r="F26" s="0" t="n">
        <f aca="false">IF('11. Indicateurs S2L'!B14="","",'11. Indicateurs S2L'!I14)</f>
        <v>0</v>
      </c>
      <c r="G26" s="171" t="n">
        <f aca="false">IF('11. Indicateurs S2L'!B14="","",'11. Indicateurs S2L'!J14)</f>
        <v>0</v>
      </c>
      <c r="H26" s="0" t="str">
        <f aca="false">IF('11. Indicateurs S2L'!B14="","",'11. Indicateurs S2L'!K14)</f>
        <v>Non démarré</v>
      </c>
    </row>
    <row r="27" customFormat="false" ht="15" hidden="false" customHeight="false" outlineLevel="0" collapsed="false">
      <c r="A27" s="0" t="str">
        <f aca="false">IF('11. Indicateurs S2L'!B15="","","SPACE TO LEAD")</f>
        <v>SPACE TO LEAD</v>
      </c>
      <c r="B27" s="0" t="str">
        <f aca="false">IF('11. Indicateurs S2L'!B15="","",'11. Indicateurs S2L'!B15)</f>
        <v>A.DCO.1</v>
      </c>
      <c r="C27" s="0" t="str">
        <f aca="false">IF('11. Indicateurs S2L'!B15="","",'11. Indicateurs S2L'!C15)</f>
        <v>Auto-évaluation OSC réalisée</v>
      </c>
      <c r="D27" s="0" t="str">
        <f aca="false">IF('11. Indicateurs S2L'!B15="","",'11. Indicateurs S2L'!D15)</f>
        <v>VA</v>
      </c>
      <c r="E27" s="0" t="n">
        <f aca="false">IF('11. Indicateurs S2L'!B15="","",'11. Indicateurs S2L'!E15)</f>
        <v>1</v>
      </c>
      <c r="F27" s="0" t="n">
        <f aca="false">IF('11. Indicateurs S2L'!B15="","",'11. Indicateurs S2L'!I15)</f>
        <v>0</v>
      </c>
      <c r="G27" s="171" t="n">
        <f aca="false">IF('11. Indicateurs S2L'!B15="","",'11. Indicateurs S2L'!J15)</f>
        <v>0</v>
      </c>
      <c r="H27" s="0" t="str">
        <f aca="false">IF('11. Indicateurs S2L'!B15="","",'11. Indicateurs S2L'!K15)</f>
        <v>Non démarré</v>
      </c>
    </row>
    <row r="28" customFormat="false" ht="15" hidden="false" customHeight="false" outlineLevel="0" collapsed="false">
      <c r="A28" s="0" t="str">
        <f aca="false">IF('11. Indicateurs S2L'!B16="","","SPACE TO LEAD")</f>
        <v>SPACE TO LEAD</v>
      </c>
      <c r="B28" s="0" t="str">
        <f aca="false">IF('11. Indicateurs S2L'!B16="","",'11. Indicateurs S2L'!B16)</f>
        <v>A.DCO.2</v>
      </c>
      <c r="C28" s="0" t="str">
        <f aca="false">IF('11. Indicateurs S2L'!B16="","",'11. Indicateurs S2L'!C16)</f>
        <v>Plan DCO élaboré</v>
      </c>
      <c r="D28" s="0" t="str">
        <f aca="false">IF('11. Indicateurs S2L'!B16="","",'11. Indicateurs S2L'!D16)</f>
        <v>VA</v>
      </c>
      <c r="E28" s="0" t="n">
        <f aca="false">IF('11. Indicateurs S2L'!B16="","",'11. Indicateurs S2L'!E16)</f>
        <v>1</v>
      </c>
      <c r="F28" s="0" t="n">
        <f aca="false">IF('11. Indicateurs S2L'!B16="","",'11. Indicateurs S2L'!I16)</f>
        <v>0</v>
      </c>
      <c r="G28" s="171" t="n">
        <f aca="false">IF('11. Indicateurs S2L'!B16="","",'11. Indicateurs S2L'!J16)</f>
        <v>0</v>
      </c>
      <c r="H28" s="0" t="str">
        <f aca="false">IF('11. Indicateurs S2L'!B16="","",'11. Indicateurs S2L'!K16)</f>
        <v>Non démarré</v>
      </c>
    </row>
    <row r="29" customFormat="false" ht="15" hidden="false" customHeight="false" outlineLevel="0" collapsed="false">
      <c r="A29" s="0" t="str">
        <f aca="false">IF('11. Indicateurs S2L'!B17="","","SPACE TO LEAD")</f>
        <v>SPACE TO LEAD</v>
      </c>
      <c r="B29" s="0" t="str">
        <f aca="false">IF('11. Indicateurs S2L'!B17="","",'11. Indicateurs S2L'!B17)</f>
        <v>A.DCO.MEP</v>
      </c>
      <c r="C29" s="0" t="str">
        <f aca="false">IF('11. Indicateurs S2L'!B17="","",'11. Indicateurs S2L'!C17)</f>
        <v>Vagues de mise en œuvre du plan DCO</v>
      </c>
      <c r="D29" s="0" t="str">
        <f aca="false">IF('11. Indicateurs S2L'!B17="","",'11. Indicateurs S2L'!D17)</f>
        <v>VA</v>
      </c>
      <c r="E29" s="0" t="n">
        <f aca="false">IF('11. Indicateurs S2L'!B17="","",'11. Indicateurs S2L'!E17)</f>
        <v>3</v>
      </c>
      <c r="F29" s="0" t="n">
        <f aca="false">IF('11. Indicateurs S2L'!B17="","",'11. Indicateurs S2L'!I17)</f>
        <v>0</v>
      </c>
      <c r="G29" s="171" t="n">
        <f aca="false">IF('11. Indicateurs S2L'!B17="","",'11. Indicateurs S2L'!J17)</f>
        <v>0</v>
      </c>
      <c r="H29" s="0" t="str">
        <f aca="false">IF('11. Indicateurs S2L'!B17="","",'11. Indicateurs S2L'!K17)</f>
        <v>Non démarré</v>
      </c>
    </row>
    <row r="30" customFormat="false" ht="15" hidden="false" customHeight="false" outlineLevel="0" collapsed="false">
      <c r="A30" s="0" t="str">
        <f aca="false">IF('11. Indicateurs S2L'!B18="","","SPACE TO LEAD")</f>
        <v>SPACE TO LEAD</v>
      </c>
      <c r="B30" s="0" t="str">
        <f aca="false">IF('11. Indicateurs S2L'!B18="","",'11. Indicateurs S2L'!B18)</f>
        <v>A.DCO.PAEC</v>
      </c>
      <c r="C30" s="0" t="str">
        <f aca="false">IF('11. Indicateurs S2L'!B18="","",'11. Indicateurs S2L'!C18)</f>
        <v>Vagues de plan amélioration espace civique</v>
      </c>
      <c r="D30" s="0" t="str">
        <f aca="false">IF('11. Indicateurs S2L'!B18="","",'11. Indicateurs S2L'!D18)</f>
        <v>VA</v>
      </c>
      <c r="E30" s="0" t="n">
        <f aca="false">IF('11. Indicateurs S2L'!B18="","",'11. Indicateurs S2L'!E18)</f>
        <v>3</v>
      </c>
      <c r="F30" s="0" t="n">
        <f aca="false">IF('11. Indicateurs S2L'!B18="","",'11. Indicateurs S2L'!I18)</f>
        <v>0</v>
      </c>
      <c r="G30" s="171" t="n">
        <f aca="false">IF('11. Indicateurs S2L'!B18="","",'11. Indicateurs S2L'!J18)</f>
        <v>0</v>
      </c>
      <c r="H30" s="0" t="str">
        <f aca="false">IF('11. Indicateurs S2L'!B18="","",'11. Indicateurs S2L'!K18)</f>
        <v>Non démarré</v>
      </c>
    </row>
    <row r="31" customFormat="false" ht="15" hidden="false" customHeight="false" outlineLevel="0" collapsed="false">
      <c r="A31" s="0" t="str">
        <f aca="false">IF('11. Indicateurs S2L'!B19="","","SPACE TO LEAD")</f>
        <v>SPACE TO LEAD</v>
      </c>
      <c r="B31" s="0" t="str">
        <f aca="false">IF('11. Indicateurs S2L'!B19="","",'11. Indicateurs S2L'!B19)</f>
        <v>I.3.1.4.a</v>
      </c>
      <c r="C31" s="0" t="str">
        <f aca="false">IF('11. Indicateurs S2L'!B19="","",'11. Indicateurs S2L'!C19)</f>
        <v>Ateliers OSC jeunes organisés</v>
      </c>
      <c r="D31" s="0" t="str">
        <f aca="false">IF('11. Indicateurs S2L'!B19="","",'11. Indicateurs S2L'!D19)</f>
        <v>VB</v>
      </c>
      <c r="E31" s="0" t="n">
        <f aca="false">IF('11. Indicateurs S2L'!B19="","",'11. Indicateurs S2L'!E19)</f>
        <v>3</v>
      </c>
      <c r="F31" s="0" t="n">
        <f aca="false">IF('11. Indicateurs S2L'!B19="","",'11. Indicateurs S2L'!I19)</f>
        <v>0</v>
      </c>
      <c r="G31" s="171" t="n">
        <f aca="false">IF('11. Indicateurs S2L'!B19="","",'11. Indicateurs S2L'!J19)</f>
        <v>0</v>
      </c>
      <c r="H31" s="0" t="str">
        <f aca="false">IF('11. Indicateurs S2L'!B19="","",'11. Indicateurs S2L'!K19)</f>
        <v>Non démarré</v>
      </c>
    </row>
    <row r="32" customFormat="false" ht="15" hidden="false" customHeight="false" outlineLevel="0" collapsed="false">
      <c r="A32" s="0" t="str">
        <f aca="false">IF('11. Indicateurs S2L'!B20="","","SPACE TO LEAD")</f>
        <v>SPACE TO LEAD</v>
      </c>
      <c r="B32" s="0" t="str">
        <f aca="false">IF('11. Indicateurs S2L'!B20="","",'11. Indicateurs S2L'!B20)</f>
        <v>I.3.1.4.b</v>
      </c>
      <c r="C32" s="0" t="str">
        <f aca="false">IF('11. Indicateurs S2L'!B20="","",'11. Indicateurs S2L'!C20)</f>
        <v>Membres OSC formés</v>
      </c>
      <c r="D32" s="0" t="str">
        <f aca="false">IF('11. Indicateurs S2L'!B20="","",'11. Indicateurs S2L'!D20)</f>
        <v>VB</v>
      </c>
      <c r="E32" s="0" t="n">
        <f aca="false">IF('11. Indicateurs S2L'!B20="","",'11. Indicateurs S2L'!E20)</f>
        <v>60</v>
      </c>
      <c r="F32" s="0" t="n">
        <f aca="false">IF('11. Indicateurs S2L'!B20="","",'11. Indicateurs S2L'!I20)</f>
        <v>0</v>
      </c>
      <c r="G32" s="171" t="n">
        <f aca="false">IF('11. Indicateurs S2L'!B20="","",'11. Indicateurs S2L'!J20)</f>
        <v>0</v>
      </c>
      <c r="H32" s="0" t="str">
        <f aca="false">IF('11. Indicateurs S2L'!B20="","",'11. Indicateurs S2L'!K20)</f>
        <v>Non démarré</v>
      </c>
    </row>
    <row r="33" customFormat="false" ht="15" hidden="false" customHeight="false" outlineLevel="0" collapsed="false">
      <c r="A33" s="0" t="str">
        <f aca="false">IF('11. Indicateurs S2L'!B21="","","SPACE TO LEAD")</f>
        <v>SPACE TO LEAD</v>
      </c>
      <c r="B33" s="0" t="str">
        <f aca="false">IF('11. Indicateurs S2L'!B21="","",'11. Indicateurs S2L'!B21)</f>
        <v>I.3.1.4.c</v>
      </c>
      <c r="C33" s="0" t="str">
        <f aca="false">IF('11. Indicateurs S2L'!B21="","",'11. Indicateurs S2L'!C21)</f>
        <v>Plans de plaidoyer élaborés</v>
      </c>
      <c r="D33" s="0" t="str">
        <f aca="false">IF('11. Indicateurs S2L'!B21="","",'11. Indicateurs S2L'!D21)</f>
        <v>VB</v>
      </c>
      <c r="E33" s="0" t="n">
        <f aca="false">IF('11. Indicateurs S2L'!B21="","",'11. Indicateurs S2L'!E21)</f>
        <v>3</v>
      </c>
      <c r="F33" s="0" t="n">
        <f aca="false">IF('11. Indicateurs S2L'!B21="","",'11. Indicateurs S2L'!I21)</f>
        <v>0</v>
      </c>
      <c r="G33" s="171" t="n">
        <f aca="false">IF('11. Indicateurs S2L'!B21="","",'11. Indicateurs S2L'!J21)</f>
        <v>0</v>
      </c>
      <c r="H33" s="0" t="str">
        <f aca="false">IF('11. Indicateurs S2L'!B21="","",'11. Indicateurs S2L'!K21)</f>
        <v>Non démarré</v>
      </c>
    </row>
    <row r="34" customFormat="false" ht="15" hidden="false" customHeight="false" outlineLevel="0" collapsed="false">
      <c r="A34" s="0" t="str">
        <f aca="false">IF('11. Indicateurs S2L'!B22="","","SPACE TO LEAD")</f>
        <v>SPACE TO LEAD</v>
      </c>
      <c r="B34" s="0" t="str">
        <f aca="false">IF('11. Indicateurs S2L'!B22="","",'11. Indicateurs S2L'!B22)</f>
        <v>I.3.1.9.A</v>
      </c>
      <c r="C34" s="0" t="str">
        <f aca="false">IF('11. Indicateurs S2L'!B22="","",'11. Indicateurs S2L'!C22)</f>
        <v>Sessions plaidoyer DSSR Atacora</v>
      </c>
      <c r="D34" s="0" t="str">
        <f aca="false">IF('11. Indicateurs S2L'!B22="","",'11. Indicateurs S2L'!D22)</f>
        <v>VB</v>
      </c>
      <c r="E34" s="0" t="n">
        <f aca="false">IF('11. Indicateurs S2L'!B22="","",'11. Indicateurs S2L'!E22)</f>
        <v>1</v>
      </c>
      <c r="F34" s="0" t="n">
        <f aca="false">IF('11. Indicateurs S2L'!B22="","",'11. Indicateurs S2L'!I22)</f>
        <v>0</v>
      </c>
      <c r="G34" s="171" t="n">
        <f aca="false">IF('11. Indicateurs S2L'!B22="","",'11. Indicateurs S2L'!J22)</f>
        <v>0</v>
      </c>
      <c r="H34" s="0" t="str">
        <f aca="false">IF('11. Indicateurs S2L'!B22="","",'11. Indicateurs S2L'!K22)</f>
        <v>Non démarré</v>
      </c>
    </row>
    <row r="35" customFormat="false" ht="15" hidden="false" customHeight="false" outlineLevel="0" collapsed="false">
      <c r="A35" s="0" t="str">
        <f aca="false">IF('11. Indicateurs S2L'!B23="","","SPACE TO LEAD")</f>
        <v>SPACE TO LEAD</v>
      </c>
      <c r="B35" s="0" t="str">
        <f aca="false">IF('11. Indicateurs S2L'!B23="","",'11. Indicateurs S2L'!B23)</f>
        <v>I.3.1.9.C</v>
      </c>
      <c r="C35" s="0" t="str">
        <f aca="false">IF('11. Indicateurs S2L'!B23="","",'11. Indicateurs S2L'!C23)</f>
        <v>Sessions plaidoyer DSSR Couffo</v>
      </c>
      <c r="D35" s="0" t="str">
        <f aca="false">IF('11. Indicateurs S2L'!B23="","",'11. Indicateurs S2L'!D23)</f>
        <v>VB</v>
      </c>
      <c r="E35" s="0" t="n">
        <f aca="false">IF('11. Indicateurs S2L'!B23="","",'11. Indicateurs S2L'!E23)</f>
        <v>1</v>
      </c>
      <c r="F35" s="0" t="n">
        <f aca="false">IF('11. Indicateurs S2L'!B23="","",'11. Indicateurs S2L'!I23)</f>
        <v>0</v>
      </c>
      <c r="G35" s="171" t="n">
        <f aca="false">IF('11. Indicateurs S2L'!B23="","",'11. Indicateurs S2L'!J23)</f>
        <v>0</v>
      </c>
      <c r="H35" s="0" t="str">
        <f aca="false">IF('11. Indicateurs S2L'!B23="","",'11. Indicateurs S2L'!K23)</f>
        <v>Non démarré</v>
      </c>
    </row>
    <row r="36" customFormat="false" ht="15" hidden="false" customHeight="false" outlineLevel="0" collapsed="false">
      <c r="A36" s="0" t="str">
        <f aca="false">IF('11. Indicateurs S2L'!B24="","","SPACE TO LEAD")</f>
        <v>SPACE TO LEAD</v>
      </c>
      <c r="B36" s="0" t="str">
        <f aca="false">IF('11. Indicateurs S2L'!B24="","",'11. Indicateurs S2L'!B24)</f>
        <v>I.3.1.10</v>
      </c>
      <c r="C36" s="0" t="str">
        <f aca="false">IF('11. Indicateurs S2L'!B24="","",'11. Indicateurs S2L'!C24)</f>
        <v>Suivis recommandations plaidoyer</v>
      </c>
      <c r="D36" s="0" t="str">
        <f aca="false">IF('11. Indicateurs S2L'!B24="","",'11. Indicateurs S2L'!D24)</f>
        <v>VB</v>
      </c>
      <c r="E36" s="0" t="n">
        <f aca="false">IF('11. Indicateurs S2L'!B24="","",'11. Indicateurs S2L'!E24)</f>
        <v>4</v>
      </c>
      <c r="F36" s="0" t="n">
        <f aca="false">IF('11. Indicateurs S2L'!B24="","",'11. Indicateurs S2L'!I24)</f>
        <v>0</v>
      </c>
      <c r="G36" s="171" t="n">
        <f aca="false">IF('11. Indicateurs S2L'!B24="","",'11. Indicateurs S2L'!J24)</f>
        <v>0</v>
      </c>
      <c r="H36" s="0" t="str">
        <f aca="false">IF('11. Indicateurs S2L'!B24="","",'11. Indicateurs S2L'!K24)</f>
        <v>Non démarré</v>
      </c>
    </row>
    <row r="37" customFormat="false" ht="15" hidden="false" customHeight="false" outlineLevel="0" collapsed="false">
      <c r="A37" s="0" t="str">
        <f aca="false">IF('11. Indicateurs S2L'!B25="","","SPACE TO LEAD")</f>
        <v>SPACE TO LEAD</v>
      </c>
      <c r="B37" s="0" t="str">
        <f aca="false">IF('11. Indicateurs S2L'!B25="","",'11. Indicateurs S2L'!B25)</f>
        <v>I.3.2.3.a</v>
      </c>
      <c r="C37" s="0" t="str">
        <f aca="false">IF('11. Indicateurs S2L'!B25="","",'11. Indicateurs S2L'!C25)</f>
        <v>Espaces sûrs identifiés</v>
      </c>
      <c r="D37" s="0" t="str">
        <f aca="false">IF('11. Indicateurs S2L'!B25="","",'11. Indicateurs S2L'!D25)</f>
        <v>VC</v>
      </c>
      <c r="E37" s="0" t="n">
        <f aca="false">IF('11. Indicateurs S2L'!B25="","",'11. Indicateurs S2L'!E25)</f>
        <v>3</v>
      </c>
      <c r="F37" s="0" t="n">
        <f aca="false">IF('11. Indicateurs S2L'!B25="","",'11. Indicateurs S2L'!I25)</f>
        <v>0</v>
      </c>
      <c r="G37" s="171" t="n">
        <f aca="false">IF('11. Indicateurs S2L'!B25="","",'11. Indicateurs S2L'!J25)</f>
        <v>0</v>
      </c>
      <c r="H37" s="0" t="str">
        <f aca="false">IF('11. Indicateurs S2L'!B25="","",'11. Indicateurs S2L'!K25)</f>
        <v>Non démarré</v>
      </c>
    </row>
    <row r="38" customFormat="false" ht="15" hidden="false" customHeight="false" outlineLevel="0" collapsed="false">
      <c r="A38" s="0" t="str">
        <f aca="false">IF('11. Indicateurs S2L'!B26="","","SPACE TO LEAD")</f>
        <v>SPACE TO LEAD</v>
      </c>
      <c r="B38" s="0" t="str">
        <f aca="false">IF('11. Indicateurs S2L'!B26="","",'11. Indicateurs S2L'!B26)</f>
        <v>I.3.2.3.b</v>
      </c>
      <c r="C38" s="0" t="str">
        <f aca="false">IF('11. Indicateurs S2L'!B26="","",'11. Indicateurs S2L'!C26)</f>
        <v>Espaces sûrs équipés/rénovés</v>
      </c>
      <c r="D38" s="0" t="str">
        <f aca="false">IF('11. Indicateurs S2L'!B26="","",'11. Indicateurs S2L'!D26)</f>
        <v>VC</v>
      </c>
      <c r="E38" s="0" t="n">
        <f aca="false">IF('11. Indicateurs S2L'!B26="","",'11. Indicateurs S2L'!E26)</f>
        <v>3</v>
      </c>
      <c r="F38" s="0" t="n">
        <f aca="false">IF('11. Indicateurs S2L'!B26="","",'11. Indicateurs S2L'!I26)</f>
        <v>0</v>
      </c>
      <c r="G38" s="171" t="n">
        <f aca="false">IF('11. Indicateurs S2L'!B26="","",'11. Indicateurs S2L'!J26)</f>
        <v>0</v>
      </c>
      <c r="H38" s="0" t="str">
        <f aca="false">IF('11. Indicateurs S2L'!B26="","",'11. Indicateurs S2L'!K26)</f>
        <v>Non démarré</v>
      </c>
    </row>
    <row r="39" customFormat="false" ht="15" hidden="false" customHeight="false" outlineLevel="0" collapsed="false">
      <c r="A39" s="0" t="str">
        <f aca="false">IF('11. Indicateurs S2L'!B27="","","SPACE TO LEAD")</f>
        <v>SPACE TO LEAD</v>
      </c>
      <c r="B39" s="0" t="str">
        <f aca="false">IF('11. Indicateurs S2L'!B27="","",'11. Indicateurs S2L'!B27)</f>
        <v>I.3.3.7</v>
      </c>
      <c r="C39" s="0" t="str">
        <f aca="false">IF('11. Indicateurs S2L'!B27="","",'11. Indicateurs S2L'!C27)</f>
        <v>Kits de dignité fournis</v>
      </c>
      <c r="D39" s="0" t="str">
        <f aca="false">IF('11. Indicateurs S2L'!B27="","",'11. Indicateurs S2L'!D27)</f>
        <v>VD</v>
      </c>
      <c r="E39" s="0" t="n">
        <f aca="false">IF('11. Indicateurs S2L'!B27="","",'11. Indicateurs S2L'!E27)</f>
        <v>50</v>
      </c>
      <c r="F39" s="0" t="n">
        <f aca="false">IF('11. Indicateurs S2L'!B27="","",'11. Indicateurs S2L'!I27)</f>
        <v>0</v>
      </c>
      <c r="G39" s="171" t="n">
        <f aca="false">IF('11. Indicateurs S2L'!B27="","",'11. Indicateurs S2L'!J27)</f>
        <v>0</v>
      </c>
      <c r="H39" s="0" t="str">
        <f aca="false">IF('11. Indicateurs S2L'!B27="","",'11. Indicateurs S2L'!K27)</f>
        <v>Non démarré</v>
      </c>
    </row>
    <row r="40" customFormat="false" ht="15" hidden="false" customHeight="false" outlineLevel="0" collapsed="false">
      <c r="A40" s="0" t="str">
        <f aca="false">IF('11. Indicateurs S2L'!B28="","","SPACE TO LEAD")</f>
        <v>SPACE TO LEAD</v>
      </c>
      <c r="B40" s="0" t="str">
        <f aca="false">IF('11. Indicateurs S2L'!B28="","",'11. Indicateurs S2L'!B28)</f>
        <v>I.3.3.8</v>
      </c>
      <c r="C40" s="0" t="str">
        <f aca="false">IF('11. Indicateurs S2L'!B28="","",'11. Indicateurs S2L'!C28)</f>
        <v>Jeunes formés sur l'ECS</v>
      </c>
      <c r="D40" s="0" t="str">
        <f aca="false">IF('11. Indicateurs S2L'!B28="","",'11. Indicateurs S2L'!D28)</f>
        <v>VE</v>
      </c>
      <c r="E40" s="0" t="n">
        <f aca="false">IF('11. Indicateurs S2L'!B28="","",'11. Indicateurs S2L'!E28)</f>
        <v>30</v>
      </c>
      <c r="F40" s="0" t="n">
        <f aca="false">IF('11. Indicateurs S2L'!B28="","",'11. Indicateurs S2L'!I28)</f>
        <v>0</v>
      </c>
      <c r="G40" s="171" t="n">
        <f aca="false">IF('11. Indicateurs S2L'!B28="","",'11. Indicateurs S2L'!J28)</f>
        <v>0</v>
      </c>
      <c r="H40" s="0" t="str">
        <f aca="false">IF('11. Indicateurs S2L'!B28="","",'11. Indicateurs S2L'!K28)</f>
        <v>Non démarré</v>
      </c>
    </row>
    <row r="41" customFormat="false" ht="15" hidden="false" customHeight="false" outlineLevel="0" collapsed="false">
      <c r="A41" s="0" t="str">
        <f aca="false">IF('11. Indicateurs S2L'!B29="","","SPACE TO LEAD")</f>
        <v>SPACE TO LEAD</v>
      </c>
      <c r="B41" s="0" t="str">
        <f aca="false">IF('11. Indicateurs S2L'!B29="","",'11. Indicateurs S2L'!B29)</f>
        <v>SYNTHÈSE GLOBALE</v>
      </c>
      <c r="C41" s="0" t="n">
        <f aca="false">IF('11. Indicateurs S2L'!B29="","",'11. Indicateurs S2L'!C29)</f>
        <v>0</v>
      </c>
      <c r="D41" s="0" t="n">
        <f aca="false">IF('11. Indicateurs S2L'!B29="","",'11. Indicateurs S2L'!D29)</f>
        <v>0</v>
      </c>
      <c r="E41" s="0" t="n">
        <f aca="false">IF('11. Indicateurs S2L'!B29="","",'11. Indicateurs S2L'!E29)</f>
        <v>0</v>
      </c>
      <c r="F41" s="0" t="n">
        <f aca="false">IF('11. Indicateurs S2L'!B29="","",'11. Indicateurs S2L'!I29)</f>
        <v>0</v>
      </c>
      <c r="G41" s="171" t="n">
        <f aca="false">IF('11. Indicateurs S2L'!B29="","",'11. Indicateurs S2L'!J29)</f>
        <v>0</v>
      </c>
      <c r="H41" s="0" t="str">
        <f aca="false">IF('11. Indicateurs S2L'!B29="","",'11. Indicateurs S2L'!K29)</f>
        <v>0/23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285F4"/>
    <pageSetUpPr fitToPage="false"/>
  </sheetPr>
  <dimension ref="A1:I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14"/>
    <col collapsed="false" customWidth="true" hidden="false" outlineLevel="0" max="4" min="4" style="0" width="12"/>
    <col collapsed="false" customWidth="true" hidden="false" outlineLevel="0" max="8" min="5" style="0" width="13"/>
    <col collapsed="false" customWidth="true" hidden="false" outlineLevel="0" max="9" min="9" style="0" width="14"/>
  </cols>
  <sheetData>
    <row r="1" customFormat="false" ht="30" hidden="false" customHeight="true" outlineLevel="0" collapsed="false">
      <c r="A1" s="166" t="s">
        <v>440</v>
      </c>
      <c r="B1" s="166" t="s">
        <v>1103</v>
      </c>
      <c r="C1" s="166" t="s">
        <v>1104</v>
      </c>
      <c r="D1" s="166" t="s">
        <v>1105</v>
      </c>
      <c r="E1" s="166" t="s">
        <v>1106</v>
      </c>
      <c r="F1" s="166" t="s">
        <v>1107</v>
      </c>
      <c r="G1" s="166" t="s">
        <v>1108</v>
      </c>
      <c r="H1" s="166" t="s">
        <v>1109</v>
      </c>
      <c r="I1" s="166" t="s">
        <v>658</v>
      </c>
    </row>
    <row r="2" customFormat="false" ht="15" hidden="false" customHeight="false" outlineLevel="0" collapsed="false">
      <c r="A2" s="0" t="str">
        <f aca="false">IF('14. Performance Globale'!B6="","",'14. Performance Globale'!B6)</f>
        <v>KASSIMOU Mountarou</v>
      </c>
      <c r="B2" s="0" t="n">
        <f aca="false">IF('14. Performance Globale'!B6="","",'14. Performance Globale'!E6)</f>
        <v>16</v>
      </c>
      <c r="C2" s="0" t="n">
        <f aca="false">IF('14. Performance Globale'!B6="","",'14. Performance Globale'!C6)</f>
        <v>3</v>
      </c>
      <c r="D2" s="0" t="n">
        <f aca="false">IF('14. Performance Globale'!B6="","",'14. Performance Globale'!D6)</f>
        <v>13</v>
      </c>
      <c r="E2" s="172" t="n">
        <f aca="false">IF('14. Performance Globale'!B6="","",'14. Performance Globale'!H6)</f>
        <v>0.153720238095238</v>
      </c>
      <c r="F2" s="0" t="n">
        <f aca="false">IF('14. Performance Globale'!B6="","",'14. Performance Globale'!I6)</f>
        <v>4</v>
      </c>
      <c r="G2" s="0" t="n">
        <f aca="false">IF('14. Performance Globale'!B6="","",'14. Performance Globale'!J6)</f>
        <v>2</v>
      </c>
      <c r="H2" s="0" t="n">
        <f aca="false">IF('14. Performance Globale'!B6="","",'14. Performance Globale'!K6)</f>
        <v>0</v>
      </c>
      <c r="I2" s="0" t="str">
        <f aca="false">IF('14. Performance Globale'!B6="","",'14. Performance Globale'!L6)</f>
        <v>Insuffisant</v>
      </c>
    </row>
    <row r="3" customFormat="false" ht="15" hidden="false" customHeight="false" outlineLevel="0" collapsed="false">
      <c r="A3" s="0" t="str">
        <f aca="false">IF('14. Performance Globale'!B7="","",'14. Performance Globale'!B7)</f>
        <v>OLOMONCHIN Francis</v>
      </c>
      <c r="B3" s="0" t="n">
        <f aca="false">IF('14. Performance Globale'!B7="","",'14. Performance Globale'!E7)</f>
        <v>20</v>
      </c>
      <c r="C3" s="0" t="n">
        <f aca="false">IF('14. Performance Globale'!B7="","",'14. Performance Globale'!C7)</f>
        <v>0</v>
      </c>
      <c r="D3" s="0" t="n">
        <f aca="false">IF('14. Performance Globale'!B7="","",'14. Performance Globale'!D7)</f>
        <v>20</v>
      </c>
      <c r="E3" s="172" t="n">
        <f aca="false">IF('14. Performance Globale'!B7="","",'14. Performance Globale'!H7)</f>
        <v>0.401162790697675</v>
      </c>
      <c r="F3" s="0" t="n">
        <f aca="false">IF('14. Performance Globale'!B7="","",'14. Performance Globale'!I7)</f>
        <v>0</v>
      </c>
      <c r="G3" s="0" t="n">
        <f aca="false">IF('14. Performance Globale'!B7="","",'14. Performance Globale'!J7)</f>
        <v>7</v>
      </c>
      <c r="H3" s="0" t="n">
        <f aca="false">IF('14. Performance Globale'!B7="","",'14. Performance Globale'!K7)</f>
        <v>0</v>
      </c>
      <c r="I3" s="0" t="str">
        <f aca="false">IF('14. Performance Globale'!B7="","",'14. Performance Globale'!L7)</f>
        <v>À améliorer</v>
      </c>
    </row>
    <row r="4" customFormat="false" ht="15" hidden="false" customHeight="false" outlineLevel="0" collapsed="false">
      <c r="A4" s="0" t="str">
        <f aca="false">IF('14. Performance Globale'!B8="","",'14. Performance Globale'!B8)</f>
        <v>INOUSSA Ousmanou</v>
      </c>
      <c r="B4" s="0" t="n">
        <f aca="false">IF('14. Performance Globale'!B8="","",'14. Performance Globale'!E8)</f>
        <v>8</v>
      </c>
      <c r="C4" s="0" t="n">
        <f aca="false">IF('14. Performance Globale'!B8="","",'14. Performance Globale'!C8)</f>
        <v>0</v>
      </c>
      <c r="D4" s="0" t="n">
        <f aca="false">IF('14. Performance Globale'!B8="","",'14. Performance Globale'!D8)</f>
        <v>8</v>
      </c>
      <c r="E4" s="172" t="n">
        <f aca="false">IF('14. Performance Globale'!B8="","",'14. Performance Globale'!H8)</f>
        <v>0.185714285714286</v>
      </c>
      <c r="F4" s="0" t="n">
        <f aca="false">IF('14. Performance Globale'!B8="","",'14. Performance Globale'!I8)</f>
        <v>2</v>
      </c>
      <c r="G4" s="0" t="n">
        <f aca="false">IF('14. Performance Globale'!B8="","",'14. Performance Globale'!J8)</f>
        <v>4</v>
      </c>
      <c r="H4" s="0" t="n">
        <f aca="false">IF('14. Performance Globale'!B8="","",'14. Performance Globale'!K8)</f>
        <v>0</v>
      </c>
      <c r="I4" s="0" t="str">
        <f aca="false">IF('14. Performance Globale'!B8="","",'14. Performance Globale'!L8)</f>
        <v>Insuffisant</v>
      </c>
    </row>
    <row r="5" customFormat="false" ht="15" hidden="false" customHeight="false" outlineLevel="0" collapsed="false">
      <c r="A5" s="0" t="str">
        <f aca="false">IF('14. Performance Globale'!B9="","",'14. Performance Globale'!B9)</f>
        <v>BOUKARI AROUNA Rafiou</v>
      </c>
      <c r="B5" s="0" t="n">
        <f aca="false">IF('14. Performance Globale'!B9="","",'14. Performance Globale'!E9)</f>
        <v>16</v>
      </c>
      <c r="C5" s="0" t="n">
        <f aca="false">IF('14. Performance Globale'!B9="","",'14. Performance Globale'!C9)</f>
        <v>15</v>
      </c>
      <c r="D5" s="0" t="n">
        <f aca="false">IF('14. Performance Globale'!B9="","",'14. Performance Globale'!D9)</f>
        <v>1</v>
      </c>
      <c r="E5" s="172" t="n">
        <f aca="false">IF('14. Performance Globale'!B9="","",'14. Performance Globale'!H9)</f>
        <v>0.353693181818182</v>
      </c>
      <c r="F5" s="0" t="n">
        <f aca="false">IF('14. Performance Globale'!B9="","",'14. Performance Globale'!I9)</f>
        <v>1</v>
      </c>
      <c r="G5" s="0" t="n">
        <f aca="false">IF('14. Performance Globale'!B9="","",'14. Performance Globale'!J9)</f>
        <v>6</v>
      </c>
      <c r="H5" s="0" t="n">
        <f aca="false">IF('14. Performance Globale'!B9="","",'14. Performance Globale'!K9)</f>
        <v>0</v>
      </c>
      <c r="I5" s="0" t="str">
        <f aca="false">IF('14. Performance Globale'!B9="","",'14. Performance Globale'!L9)</f>
        <v>Insuffisant</v>
      </c>
    </row>
    <row r="6" customFormat="false" ht="15" hidden="false" customHeight="false" outlineLevel="0" collapsed="false">
      <c r="A6" s="0" t="str">
        <f aca="false">IF('14. Performance Globale'!B10="","",'14. Performance Globale'!B10)</f>
        <v>BA KOTO Bona Sinani Rebecca</v>
      </c>
      <c r="B6" s="0" t="n">
        <f aca="false">IF('14. Performance Globale'!B10="","",'14. Performance Globale'!E10)</f>
        <v>22</v>
      </c>
      <c r="C6" s="0" t="n">
        <f aca="false">IF('14. Performance Globale'!B10="","",'14. Performance Globale'!C10)</f>
        <v>14</v>
      </c>
      <c r="D6" s="0" t="n">
        <f aca="false">IF('14. Performance Globale'!B10="","",'14. Performance Globale'!D10)</f>
        <v>8</v>
      </c>
      <c r="E6" s="172" t="n">
        <f aca="false">IF('14. Performance Globale'!B10="","",'14. Performance Globale'!H10)</f>
        <v>0.21875</v>
      </c>
      <c r="F6" s="0" t="n">
        <f aca="false">IF('14. Performance Globale'!B10="","",'14. Performance Globale'!I10)</f>
        <v>0</v>
      </c>
      <c r="G6" s="0" t="n">
        <f aca="false">IF('14. Performance Globale'!B10="","",'14. Performance Globale'!J10)</f>
        <v>2</v>
      </c>
      <c r="H6" s="0" t="n">
        <f aca="false">IF('14. Performance Globale'!B10="","",'14. Performance Globale'!K10)</f>
        <v>0</v>
      </c>
      <c r="I6" s="0" t="str">
        <f aca="false">IF('14. Performance Globale'!B10="","",'14. Performance Globale'!L10)</f>
        <v>Insuffisant</v>
      </c>
    </row>
    <row r="7" customFormat="false" ht="15" hidden="false" customHeight="false" outlineLevel="0" collapsed="false">
      <c r="A7" s="0" t="str">
        <f aca="false">IF('14. Performance Globale'!B11="","",'14. Performance Globale'!B11)</f>
        <v>ASSOUMA Nadjibatou</v>
      </c>
      <c r="B7" s="0" t="n">
        <f aca="false">IF('14. Performance Globale'!B11="","",'14. Performance Globale'!E11)</f>
        <v>1</v>
      </c>
      <c r="C7" s="0" t="n">
        <f aca="false">IF('14. Performance Globale'!B11="","",'14. Performance Globale'!C11)</f>
        <v>1</v>
      </c>
      <c r="D7" s="0" t="n">
        <f aca="false">IF('14. Performance Globale'!B11="","",'14. Performance Globale'!D11)</f>
        <v>0</v>
      </c>
      <c r="E7" s="172" t="n">
        <f aca="false">IF('14. Performance Globale'!B11="","",'14. Performance Globale'!H11)</f>
        <v>0</v>
      </c>
      <c r="F7" s="0" t="n">
        <f aca="false">IF('14. Performance Globale'!B11="","",'14. Performance Globale'!I11)</f>
        <v>0</v>
      </c>
      <c r="G7" s="0" t="n">
        <f aca="false">IF('14. Performance Globale'!B11="","",'14. Performance Globale'!J11)</f>
        <v>0</v>
      </c>
      <c r="H7" s="0" t="n">
        <f aca="false">IF('14. Performance Globale'!B11="","",'14. Performance Globale'!K11)</f>
        <v>0</v>
      </c>
      <c r="I7" s="0" t="str">
        <f aca="false">IF('14. Performance Globale'!B11="","",'14. Performance Globale'!L11)</f>
        <v>Non évalué</v>
      </c>
    </row>
    <row r="8" customFormat="false" ht="15" hidden="false" customHeight="false" outlineLevel="0" collapsed="false">
      <c r="A8" s="0" t="str">
        <f aca="false">IF('14. Performance Globale'!B12="","",'14. Performance Globale'!B12)</f>
        <v>BOUANDI Pierre</v>
      </c>
      <c r="B8" s="0" t="n">
        <f aca="false">IF('14. Performance Globale'!B12="","",'14. Performance Globale'!E12)</f>
        <v>0</v>
      </c>
      <c r="C8" s="0" t="n">
        <f aca="false">IF('14. Performance Globale'!B12="","",'14. Performance Globale'!C12)</f>
        <v>0</v>
      </c>
      <c r="D8" s="0" t="n">
        <f aca="false">IF('14. Performance Globale'!B12="","",'14. Performance Globale'!D12)</f>
        <v>0</v>
      </c>
      <c r="E8" s="172" t="n">
        <f aca="false">IF('14. Performance Globale'!B12="","",'14. Performance Globale'!H12)</f>
        <v>0</v>
      </c>
      <c r="F8" s="0" t="n">
        <f aca="false">IF('14. Performance Globale'!B12="","",'14. Performance Globale'!I12)</f>
        <v>0</v>
      </c>
      <c r="G8" s="0" t="n">
        <f aca="false">IF('14. Performance Globale'!B12="","",'14. Performance Globale'!J12)</f>
        <v>0</v>
      </c>
      <c r="H8" s="0" t="n">
        <f aca="false">IF('14. Performance Globale'!B12="","",'14. Performance Globale'!K12)</f>
        <v>0</v>
      </c>
      <c r="I8" s="0" t="str">
        <f aca="false">IF('14. Performance Globale'!B12="","",'14. Performance Globale'!L12)</f>
        <v>Non évalué</v>
      </c>
    </row>
    <row r="9" customFormat="false" ht="15" hidden="false" customHeight="false" outlineLevel="0" collapsed="false">
      <c r="A9" s="0" t="str">
        <f aca="false">IF('14. Performance Globale'!B13="","",'14. Performance Globale'!B13)</f>
        <v>MAMA Adou Razak</v>
      </c>
      <c r="B9" s="0" t="n">
        <f aca="false">IF('14. Performance Globale'!B13="","",'14. Performance Globale'!E13)</f>
        <v>0</v>
      </c>
      <c r="C9" s="0" t="n">
        <f aca="false">IF('14. Performance Globale'!B13="","",'14. Performance Globale'!C13)</f>
        <v>0</v>
      </c>
      <c r="D9" s="0" t="n">
        <f aca="false">IF('14. Performance Globale'!B13="","",'14. Performance Globale'!D13)</f>
        <v>0</v>
      </c>
      <c r="E9" s="172" t="n">
        <f aca="false">IF('14. Performance Globale'!B13="","",'14. Performance Globale'!H13)</f>
        <v>0</v>
      </c>
      <c r="F9" s="0" t="n">
        <f aca="false">IF('14. Performance Globale'!B13="","",'14. Performance Globale'!I13)</f>
        <v>0</v>
      </c>
      <c r="G9" s="0" t="n">
        <f aca="false">IF('14. Performance Globale'!B13="","",'14. Performance Globale'!J13)</f>
        <v>0</v>
      </c>
      <c r="H9" s="0" t="n">
        <f aca="false">IF('14. Performance Globale'!B13="","",'14. Performance Globale'!K13)</f>
        <v>0</v>
      </c>
      <c r="I9" s="0" t="str">
        <f aca="false">IF('14. Performance Globale'!B13="","",'14. Performance Globale'!L13)</f>
        <v>Non évalué</v>
      </c>
    </row>
    <row r="10" customFormat="false" ht="15" hidden="false" customHeight="false" outlineLevel="0" collapsed="false">
      <c r="A10" s="0" t="str">
        <f aca="false">IF('14. Performance Globale'!B14="","",'14. Performance Globale'!B14)</f>
        <v>ASSOUMA Amida</v>
      </c>
      <c r="B10" s="0" t="n">
        <f aca="false">IF('14. Performance Globale'!B14="","",'14. Performance Globale'!E14)</f>
        <v>0</v>
      </c>
      <c r="C10" s="0" t="n">
        <f aca="false">IF('14. Performance Globale'!B14="","",'14. Performance Globale'!C14)</f>
        <v>0</v>
      </c>
      <c r="D10" s="0" t="n">
        <f aca="false">IF('14. Performance Globale'!B14="","",'14. Performance Globale'!D14)</f>
        <v>0</v>
      </c>
      <c r="E10" s="172" t="n">
        <f aca="false">IF('14. Performance Globale'!B14="","",'14. Performance Globale'!H14)</f>
        <v>0</v>
      </c>
      <c r="F10" s="0" t="n">
        <f aca="false">IF('14. Performance Globale'!B14="","",'14. Performance Globale'!I14)</f>
        <v>0</v>
      </c>
      <c r="G10" s="0" t="n">
        <f aca="false">IF('14. Performance Globale'!B14="","",'14. Performance Globale'!J14)</f>
        <v>0</v>
      </c>
      <c r="H10" s="0" t="n">
        <f aca="false">IF('14. Performance Globale'!B14="","",'14. Performance Globale'!K14)</f>
        <v>0</v>
      </c>
      <c r="I10" s="0" t="str">
        <f aca="false">IF('14. Performance Globale'!B14="","",'14. Performance Globale'!L14)</f>
        <v>Non évalué</v>
      </c>
    </row>
    <row r="11" customFormat="false" ht="15" hidden="false" customHeight="false" outlineLevel="0" collapsed="false">
      <c r="A11" s="0" t="str">
        <f aca="false">IF('14. Performance Globale'!B15="","",'14. Performance Globale'!B15)</f>
        <v>AGONNOUDE Murielle</v>
      </c>
      <c r="B11" s="0" t="n">
        <f aca="false">IF('14. Performance Globale'!B15="","",'14. Performance Globale'!E15)</f>
        <v>0</v>
      </c>
      <c r="C11" s="0" t="n">
        <f aca="false">IF('14. Performance Globale'!B15="","",'14. Performance Globale'!C15)</f>
        <v>0</v>
      </c>
      <c r="D11" s="0" t="n">
        <f aca="false">IF('14. Performance Globale'!B15="","",'14. Performance Globale'!D15)</f>
        <v>0</v>
      </c>
      <c r="E11" s="172" t="n">
        <f aca="false">IF('14. Performance Globale'!B15="","",'14. Performance Globale'!H15)</f>
        <v>0</v>
      </c>
      <c r="F11" s="0" t="n">
        <f aca="false">IF('14. Performance Globale'!B15="","",'14. Performance Globale'!I15)</f>
        <v>0</v>
      </c>
      <c r="G11" s="0" t="n">
        <f aca="false">IF('14. Performance Globale'!B15="","",'14. Performance Globale'!J15)</f>
        <v>0</v>
      </c>
      <c r="H11" s="0" t="n">
        <f aca="false">IF('14. Performance Globale'!B15="","",'14. Performance Globale'!K15)</f>
        <v>0</v>
      </c>
      <c r="I11" s="0" t="str">
        <f aca="false">IF('14. Performance Globale'!B15="","",'14. Performance Globale'!L15)</f>
        <v>Non évalué</v>
      </c>
    </row>
    <row r="12" customFormat="false" ht="15" hidden="false" customHeight="false" outlineLevel="0" collapsed="false">
      <c r="A12" s="0" t="str">
        <f aca="false">IF('14. Performance Globale'!B16="","",'14. Performance Globale'!B16)</f>
        <v>AMADOU Nafissatou</v>
      </c>
      <c r="B12" s="0" t="n">
        <f aca="false">IF('14. Performance Globale'!B16="","",'14. Performance Globale'!E16)</f>
        <v>2</v>
      </c>
      <c r="C12" s="0" t="n">
        <f aca="false">IF('14. Performance Globale'!B16="","",'14. Performance Globale'!C16)</f>
        <v>2</v>
      </c>
      <c r="D12" s="0" t="n">
        <f aca="false">IF('14. Performance Globale'!B16="","",'14. Performance Globale'!D16)</f>
        <v>0</v>
      </c>
      <c r="E12" s="172" t="n">
        <f aca="false">IF('14. Performance Globale'!B16="","",'14. Performance Globale'!H16)</f>
        <v>0</v>
      </c>
      <c r="F12" s="0" t="n">
        <f aca="false">IF('14. Performance Globale'!B16="","",'14. Performance Globale'!I16)</f>
        <v>0</v>
      </c>
      <c r="G12" s="0" t="n">
        <f aca="false">IF('14. Performance Globale'!B16="","",'14. Performance Globale'!J16)</f>
        <v>0</v>
      </c>
      <c r="H12" s="0" t="n">
        <f aca="false">IF('14. Performance Globale'!B16="","",'14. Performance Globale'!K16)</f>
        <v>0</v>
      </c>
      <c r="I12" s="0" t="str">
        <f aca="false">IF('14. Performance Globale'!B16="","",'14. Performance Globale'!L16)</f>
        <v>Non évalué</v>
      </c>
    </row>
    <row r="13" customFormat="false" ht="15" hidden="false" customHeight="false" outlineLevel="0" collapsed="false">
      <c r="A13" s="0" t="str">
        <f aca="false">IF('14. Performance Globale'!B17="","",'14. Performance Globale'!B17)</f>
        <v>SARE KOMME Joséphine</v>
      </c>
      <c r="B13" s="0" t="n">
        <f aca="false">IF('14. Performance Globale'!B17="","",'14. Performance Globale'!E17)</f>
        <v>0</v>
      </c>
      <c r="C13" s="0" t="n">
        <f aca="false">IF('14. Performance Globale'!B17="","",'14. Performance Globale'!C17)</f>
        <v>0</v>
      </c>
      <c r="D13" s="0" t="n">
        <f aca="false">IF('14. Performance Globale'!B17="","",'14. Performance Globale'!D17)</f>
        <v>0</v>
      </c>
      <c r="E13" s="172" t="n">
        <f aca="false">IF('14. Performance Globale'!B17="","",'14. Performance Globale'!H17)</f>
        <v>0</v>
      </c>
      <c r="F13" s="0" t="n">
        <f aca="false">IF('14. Performance Globale'!B17="","",'14. Performance Globale'!I17)</f>
        <v>0</v>
      </c>
      <c r="G13" s="0" t="n">
        <f aca="false">IF('14. Performance Globale'!B17="","",'14. Performance Globale'!J17)</f>
        <v>0</v>
      </c>
      <c r="H13" s="0" t="n">
        <f aca="false">IF('14. Performance Globale'!B17="","",'14. Performance Globale'!K17)</f>
        <v>0</v>
      </c>
      <c r="I13" s="0" t="str">
        <f aca="false">IF('14. Performance Globale'!B17="","",'14. Performance Globale'!L17)</f>
        <v>Non évalué</v>
      </c>
    </row>
    <row r="14" customFormat="false" ht="15" hidden="false" customHeight="false" outlineLevel="0" collapsed="false">
      <c r="A14" s="0" t="str">
        <f aca="false">IF('14. Performance Globale'!B18="","",'14. Performance Globale'!B18)</f>
        <v>GOUDI Simoni</v>
      </c>
      <c r="B14" s="0" t="n">
        <f aca="false">IF('14. Performance Globale'!B18="","",'14. Performance Globale'!E18)</f>
        <v>0</v>
      </c>
      <c r="C14" s="0" t="n">
        <f aca="false">IF('14. Performance Globale'!B18="","",'14. Performance Globale'!C18)</f>
        <v>0</v>
      </c>
      <c r="D14" s="0" t="n">
        <f aca="false">IF('14. Performance Globale'!B18="","",'14. Performance Globale'!D18)</f>
        <v>0</v>
      </c>
      <c r="E14" s="172" t="n">
        <f aca="false">IF('14. Performance Globale'!B18="","",'14. Performance Globale'!H18)</f>
        <v>0</v>
      </c>
      <c r="F14" s="0" t="n">
        <f aca="false">IF('14. Performance Globale'!B18="","",'14. Performance Globale'!I18)</f>
        <v>0</v>
      </c>
      <c r="G14" s="0" t="n">
        <f aca="false">IF('14. Performance Globale'!B18="","",'14. Performance Globale'!J18)</f>
        <v>0</v>
      </c>
      <c r="H14" s="0" t="n">
        <f aca="false">IF('14. Performance Globale'!B18="","",'14. Performance Globale'!K18)</f>
        <v>0</v>
      </c>
      <c r="I14" s="0" t="str">
        <f aca="false">IF('14. Performance Globale'!B18="","",'14. Performance Globale'!L18)</f>
        <v>Non évalué</v>
      </c>
    </row>
    <row r="15" customFormat="false" ht="15" hidden="false" customHeight="false" outlineLevel="0" collapsed="false">
      <c r="A15" s="0" t="str">
        <f aca="false">IF('14. Performance Globale'!B19="","",'14. Performance Globale'!B19)</f>
        <v/>
      </c>
      <c r="B15" s="0" t="str">
        <f aca="false">IF('14. Performance Globale'!B19="","",'14. Performance Globale'!E19)</f>
        <v/>
      </c>
      <c r="C15" s="0" t="str">
        <f aca="false">IF('14. Performance Globale'!B19="","",'14. Performance Globale'!C19)</f>
        <v/>
      </c>
      <c r="D15" s="0" t="str">
        <f aca="false">IF('14. Performance Globale'!B19="","",'14. Performance Globale'!D19)</f>
        <v/>
      </c>
      <c r="E15" s="172" t="str">
        <f aca="false">IF('14. Performance Globale'!B19="","",'14. Performance Globale'!H19)</f>
        <v/>
      </c>
      <c r="F15" s="0" t="str">
        <f aca="false">IF('14. Performance Globale'!B19="","",'14. Performance Globale'!I19)</f>
        <v/>
      </c>
      <c r="G15" s="0" t="str">
        <f aca="false">IF('14. Performance Globale'!B19="","",'14. Performance Globale'!J19)</f>
        <v/>
      </c>
      <c r="H15" s="0" t="str">
        <f aca="false">IF('14. Performance Globale'!B19="","",'14. Performance Globale'!K19)</f>
        <v/>
      </c>
      <c r="I15" s="0" t="str">
        <f aca="false">IF('14. Performance Globale'!B19="","",'14. Performance Globale'!L19)</f>
        <v/>
      </c>
    </row>
    <row r="16" customFormat="false" ht="15" hidden="false" customHeight="false" outlineLevel="0" collapsed="false">
      <c r="A16" s="0" t="str">
        <f aca="false">IF('14. Performance Globale'!B20="","",'14. Performance Globale'!B20)</f>
        <v/>
      </c>
      <c r="B16" s="0" t="str">
        <f aca="false">IF('14. Performance Globale'!B20="","",'14. Performance Globale'!E20)</f>
        <v/>
      </c>
      <c r="C16" s="0" t="str">
        <f aca="false">IF('14. Performance Globale'!B20="","",'14. Performance Globale'!C20)</f>
        <v/>
      </c>
      <c r="D16" s="0" t="str">
        <f aca="false">IF('14. Performance Globale'!B20="","",'14. Performance Globale'!D20)</f>
        <v/>
      </c>
      <c r="E16" s="172" t="str">
        <f aca="false">IF('14. Performance Globale'!B20="","",'14. Performance Globale'!H20)</f>
        <v/>
      </c>
      <c r="F16" s="0" t="str">
        <f aca="false">IF('14. Performance Globale'!B20="","",'14. Performance Globale'!I20)</f>
        <v/>
      </c>
      <c r="G16" s="0" t="str">
        <f aca="false">IF('14. Performance Globale'!B20="","",'14. Performance Globale'!J20)</f>
        <v/>
      </c>
      <c r="H16" s="0" t="str">
        <f aca="false">IF('14. Performance Globale'!B20="","",'14. Performance Globale'!K20)</f>
        <v/>
      </c>
      <c r="I16" s="0" t="str">
        <f aca="false">IF('14. Performance Globale'!B20="","",'14. Performance Globale'!L20)</f>
        <v/>
      </c>
    </row>
    <row r="17" customFormat="false" ht="15" hidden="false" customHeight="false" outlineLevel="0" collapsed="false">
      <c r="A17" s="0" t="str">
        <f aca="false">IF('14. Performance Globale'!B21="","",'14. Performance Globale'!B21)</f>
        <v/>
      </c>
      <c r="B17" s="0" t="str">
        <f aca="false">IF('14. Performance Globale'!B21="","",'14. Performance Globale'!E21)</f>
        <v/>
      </c>
      <c r="C17" s="0" t="str">
        <f aca="false">IF('14. Performance Globale'!B21="","",'14. Performance Globale'!C21)</f>
        <v/>
      </c>
      <c r="D17" s="0" t="str">
        <f aca="false">IF('14. Performance Globale'!B21="","",'14. Performance Globale'!D21)</f>
        <v/>
      </c>
      <c r="E17" s="172" t="str">
        <f aca="false">IF('14. Performance Globale'!B21="","",'14. Performance Globale'!H21)</f>
        <v/>
      </c>
      <c r="F17" s="0" t="str">
        <f aca="false">IF('14. Performance Globale'!B21="","",'14. Performance Globale'!I21)</f>
        <v/>
      </c>
      <c r="G17" s="0" t="str">
        <f aca="false">IF('14. Performance Globale'!B21="","",'14. Performance Globale'!J21)</f>
        <v/>
      </c>
      <c r="H17" s="0" t="str">
        <f aca="false">IF('14. Performance Globale'!B21="","",'14. Performance Globale'!K21)</f>
        <v/>
      </c>
      <c r="I17" s="0" t="str">
        <f aca="false">IF('14. Performance Globale'!B21="","",'14. Performance Globale'!L21)</f>
        <v/>
      </c>
    </row>
    <row r="18" customFormat="false" ht="15" hidden="false" customHeight="false" outlineLevel="0" collapsed="false">
      <c r="A18" s="0" t="str">
        <f aca="false">IF('14. Performance Globale'!B22="","",'14. Performance Globale'!B22)</f>
        <v/>
      </c>
      <c r="B18" s="0" t="str">
        <f aca="false">IF('14. Performance Globale'!B22="","",'14. Performance Globale'!E22)</f>
        <v/>
      </c>
      <c r="C18" s="0" t="str">
        <f aca="false">IF('14. Performance Globale'!B22="","",'14. Performance Globale'!C22)</f>
        <v/>
      </c>
      <c r="D18" s="0" t="str">
        <f aca="false">IF('14. Performance Globale'!B22="","",'14. Performance Globale'!D22)</f>
        <v/>
      </c>
      <c r="E18" s="172" t="str">
        <f aca="false">IF('14. Performance Globale'!B22="","",'14. Performance Globale'!H22)</f>
        <v/>
      </c>
      <c r="F18" s="0" t="str">
        <f aca="false">IF('14. Performance Globale'!B22="","",'14. Performance Globale'!I22)</f>
        <v/>
      </c>
      <c r="G18" s="0" t="str">
        <f aca="false">IF('14. Performance Globale'!B22="","",'14. Performance Globale'!J22)</f>
        <v/>
      </c>
      <c r="H18" s="0" t="str">
        <f aca="false">IF('14. Performance Globale'!B22="","",'14. Performance Globale'!K22)</f>
        <v/>
      </c>
      <c r="I18" s="0" t="str">
        <f aca="false">IF('14. Performance Globale'!B22="","",'14. Performance Globale'!L22)</f>
        <v/>
      </c>
    </row>
    <row r="19" customFormat="false" ht="15" hidden="false" customHeight="false" outlineLevel="0" collapsed="false">
      <c r="A19" s="0" t="str">
        <f aca="false">IF('14. Performance Globale'!B23="","",'14. Performance Globale'!B23)</f>
        <v/>
      </c>
      <c r="B19" s="0" t="str">
        <f aca="false">IF('14. Performance Globale'!B23="","",'14. Performance Globale'!E23)</f>
        <v/>
      </c>
      <c r="C19" s="0" t="str">
        <f aca="false">IF('14. Performance Globale'!B23="","",'14. Performance Globale'!C23)</f>
        <v/>
      </c>
      <c r="D19" s="0" t="str">
        <f aca="false">IF('14. Performance Globale'!B23="","",'14. Performance Globale'!D23)</f>
        <v/>
      </c>
      <c r="E19" s="172" t="str">
        <f aca="false">IF('14. Performance Globale'!B23="","",'14. Performance Globale'!H23)</f>
        <v/>
      </c>
      <c r="F19" s="0" t="str">
        <f aca="false">IF('14. Performance Globale'!B23="","",'14. Performance Globale'!I23)</f>
        <v/>
      </c>
      <c r="G19" s="0" t="str">
        <f aca="false">IF('14. Performance Globale'!B23="","",'14. Performance Globale'!J23)</f>
        <v/>
      </c>
      <c r="H19" s="0" t="str">
        <f aca="false">IF('14. Performance Globale'!B23="","",'14. Performance Globale'!K23)</f>
        <v/>
      </c>
      <c r="I19" s="0" t="str">
        <f aca="false">IF('14. Performance Globale'!B23="","",'14. Performance Globale'!L23)</f>
        <v/>
      </c>
    </row>
    <row r="20" customFormat="false" ht="15" hidden="false" customHeight="false" outlineLevel="0" collapsed="false">
      <c r="A20" s="0" t="str">
        <f aca="false">IF('14. Performance Globale'!B24="","",'14. Performance Globale'!B24)</f>
        <v/>
      </c>
      <c r="B20" s="0" t="str">
        <f aca="false">IF('14. Performance Globale'!B24="","",'14. Performance Globale'!E24)</f>
        <v/>
      </c>
      <c r="C20" s="0" t="str">
        <f aca="false">IF('14. Performance Globale'!B24="","",'14. Performance Globale'!C24)</f>
        <v/>
      </c>
      <c r="D20" s="0" t="str">
        <f aca="false">IF('14. Performance Globale'!B24="","",'14. Performance Globale'!D24)</f>
        <v/>
      </c>
      <c r="E20" s="172" t="str">
        <f aca="false">IF('14. Performance Globale'!B24="","",'14. Performance Globale'!H24)</f>
        <v/>
      </c>
      <c r="F20" s="0" t="str">
        <f aca="false">IF('14. Performance Globale'!B24="","",'14. Performance Globale'!I24)</f>
        <v/>
      </c>
      <c r="G20" s="0" t="str">
        <f aca="false">IF('14. Performance Globale'!B24="","",'14. Performance Globale'!J24)</f>
        <v/>
      </c>
      <c r="H20" s="0" t="str">
        <f aca="false">IF('14. Performance Globale'!B24="","",'14. Performance Globale'!K24)</f>
        <v/>
      </c>
      <c r="I20" s="0" t="str">
        <f aca="false">IF('14. Performance Globale'!B24="","",'14. Performance Globale'!L24)</f>
        <v/>
      </c>
    </row>
    <row r="21" customFormat="false" ht="15" hidden="false" customHeight="false" outlineLevel="0" collapsed="false">
      <c r="A21" s="0" t="str">
        <f aca="false">IF('14. Performance Globale'!B25="","",'14. Performance Globale'!B25)</f>
        <v/>
      </c>
      <c r="B21" s="0" t="str">
        <f aca="false">IF('14. Performance Globale'!B25="","",'14. Performance Globale'!E25)</f>
        <v/>
      </c>
      <c r="C21" s="0" t="str">
        <f aca="false">IF('14. Performance Globale'!B25="","",'14. Performance Globale'!C25)</f>
        <v/>
      </c>
      <c r="D21" s="0" t="str">
        <f aca="false">IF('14. Performance Globale'!B25="","",'14. Performance Globale'!D25)</f>
        <v/>
      </c>
      <c r="E21" s="172" t="str">
        <f aca="false">IF('14. Performance Globale'!B25="","",'14. Performance Globale'!H25)</f>
        <v/>
      </c>
      <c r="F21" s="0" t="str">
        <f aca="false">IF('14. Performance Globale'!B25="","",'14. Performance Globale'!I25)</f>
        <v/>
      </c>
      <c r="G21" s="0" t="str">
        <f aca="false">IF('14. Performance Globale'!B25="","",'14. Performance Globale'!J25)</f>
        <v/>
      </c>
      <c r="H21" s="0" t="str">
        <f aca="false">IF('14. Performance Globale'!B25="","",'14. Performance Globale'!K25)</f>
        <v/>
      </c>
      <c r="I21" s="0" t="str">
        <f aca="false">IF('14. Performance Globale'!B25="","",'14. Performance Globale'!L25)</f>
        <v/>
      </c>
    </row>
    <row r="22" customFormat="false" ht="15" hidden="false" customHeight="false" outlineLevel="0" collapsed="false">
      <c r="A22" s="0" t="str">
        <f aca="false">IF('14. Performance Globale'!B26="","",'14. Performance Globale'!B26)</f>
        <v/>
      </c>
      <c r="B22" s="0" t="str">
        <f aca="false">IF('14. Performance Globale'!B26="","",'14. Performance Globale'!E26)</f>
        <v/>
      </c>
      <c r="C22" s="0" t="str">
        <f aca="false">IF('14. Performance Globale'!B26="","",'14. Performance Globale'!C26)</f>
        <v/>
      </c>
      <c r="D22" s="0" t="str">
        <f aca="false">IF('14. Performance Globale'!B26="","",'14. Performance Globale'!D26)</f>
        <v/>
      </c>
      <c r="E22" s="172" t="str">
        <f aca="false">IF('14. Performance Globale'!B26="","",'14. Performance Globale'!H26)</f>
        <v/>
      </c>
      <c r="F22" s="0" t="str">
        <f aca="false">IF('14. Performance Globale'!B26="","",'14. Performance Globale'!I26)</f>
        <v/>
      </c>
      <c r="G22" s="0" t="str">
        <f aca="false">IF('14. Performance Globale'!B26="","",'14. Performance Globale'!J26)</f>
        <v/>
      </c>
      <c r="H22" s="0" t="str">
        <f aca="false">IF('14. Performance Globale'!B26="","",'14. Performance Globale'!K26)</f>
        <v/>
      </c>
      <c r="I22" s="0" t="str">
        <f aca="false">IF('14. Performance Globale'!B26="","",'14. Performance Globale'!L26)</f>
        <v/>
      </c>
    </row>
    <row r="23" customFormat="false" ht="15" hidden="false" customHeight="false" outlineLevel="0" collapsed="false">
      <c r="A23" s="0" t="str">
        <f aca="false">IF('14. Performance Globale'!B27="","",'14. Performance Globale'!B27)</f>
        <v/>
      </c>
      <c r="B23" s="0" t="str">
        <f aca="false">IF('14. Performance Globale'!B27="","",'14. Performance Globale'!E27)</f>
        <v/>
      </c>
      <c r="C23" s="0" t="str">
        <f aca="false">IF('14. Performance Globale'!B27="","",'14. Performance Globale'!C27)</f>
        <v/>
      </c>
      <c r="D23" s="0" t="str">
        <f aca="false">IF('14. Performance Globale'!B27="","",'14. Performance Globale'!D27)</f>
        <v/>
      </c>
      <c r="E23" s="172" t="str">
        <f aca="false">IF('14. Performance Globale'!B27="","",'14. Performance Globale'!H27)</f>
        <v/>
      </c>
      <c r="F23" s="0" t="str">
        <f aca="false">IF('14. Performance Globale'!B27="","",'14. Performance Globale'!I27)</f>
        <v/>
      </c>
      <c r="G23" s="0" t="str">
        <f aca="false">IF('14. Performance Globale'!B27="","",'14. Performance Globale'!J27)</f>
        <v/>
      </c>
      <c r="H23" s="0" t="str">
        <f aca="false">IF('14. Performance Globale'!B27="","",'14. Performance Globale'!K27)</f>
        <v/>
      </c>
      <c r="I23" s="0" t="str">
        <f aca="false">IF('14. Performance Globale'!B27="","",'14. Performance Globale'!L27)</f>
        <v/>
      </c>
    </row>
    <row r="24" customFormat="false" ht="15" hidden="false" customHeight="false" outlineLevel="0" collapsed="false">
      <c r="A24" s="0" t="str">
        <f aca="false">IF('14. Performance Globale'!B28="","",'14. Performance Globale'!B28)</f>
        <v/>
      </c>
      <c r="B24" s="0" t="str">
        <f aca="false">IF('14. Performance Globale'!B28="","",'14. Performance Globale'!E28)</f>
        <v/>
      </c>
      <c r="C24" s="0" t="str">
        <f aca="false">IF('14. Performance Globale'!B28="","",'14. Performance Globale'!C28)</f>
        <v/>
      </c>
      <c r="D24" s="0" t="str">
        <f aca="false">IF('14. Performance Globale'!B28="","",'14. Performance Globale'!D28)</f>
        <v/>
      </c>
      <c r="E24" s="172" t="str">
        <f aca="false">IF('14. Performance Globale'!B28="","",'14. Performance Globale'!H28)</f>
        <v/>
      </c>
      <c r="F24" s="0" t="str">
        <f aca="false">IF('14. Performance Globale'!B28="","",'14. Performance Globale'!I28)</f>
        <v/>
      </c>
      <c r="G24" s="0" t="str">
        <f aca="false">IF('14. Performance Globale'!B28="","",'14. Performance Globale'!J28)</f>
        <v/>
      </c>
      <c r="H24" s="0" t="str">
        <f aca="false">IF('14. Performance Globale'!B28="","",'14. Performance Globale'!K28)</f>
        <v/>
      </c>
      <c r="I24" s="0" t="str">
        <f aca="false">IF('14. Performance Globale'!B28="","",'14. Performance Globale'!L28)</f>
        <v/>
      </c>
    </row>
    <row r="25" customFormat="false" ht="15" hidden="false" customHeight="false" outlineLevel="0" collapsed="false">
      <c r="A25" s="0" t="str">
        <f aca="false">IF('14. Performance Globale'!B29="","",'14. Performance Globale'!B29)</f>
        <v/>
      </c>
      <c r="B25" s="0" t="str">
        <f aca="false">IF('14. Performance Globale'!B29="","",'14. Performance Globale'!E29)</f>
        <v/>
      </c>
      <c r="C25" s="0" t="str">
        <f aca="false">IF('14. Performance Globale'!B29="","",'14. Performance Globale'!C29)</f>
        <v/>
      </c>
      <c r="D25" s="0" t="str">
        <f aca="false">IF('14. Performance Globale'!B29="","",'14. Performance Globale'!D29)</f>
        <v/>
      </c>
      <c r="E25" s="172" t="str">
        <f aca="false">IF('14. Performance Globale'!B29="","",'14. Performance Globale'!H29)</f>
        <v/>
      </c>
      <c r="F25" s="0" t="str">
        <f aca="false">IF('14. Performance Globale'!B29="","",'14. Performance Globale'!I29)</f>
        <v/>
      </c>
      <c r="G25" s="0" t="str">
        <f aca="false">IF('14. Performance Globale'!B29="","",'14. Performance Globale'!J29)</f>
        <v/>
      </c>
      <c r="H25" s="0" t="str">
        <f aca="false">IF('14. Performance Globale'!B29="","",'14. Performance Globale'!K29)</f>
        <v/>
      </c>
      <c r="I25" s="0" t="str">
        <f aca="false">IF('14. Performance Globale'!B29="","",'14. Performance Globale'!L29)</f>
        <v/>
      </c>
    </row>
    <row r="26" customFormat="false" ht="15" hidden="false" customHeight="false" outlineLevel="0" collapsed="false">
      <c r="A26" s="0" t="str">
        <f aca="false">IF('14. Performance Globale'!B30="","",'14. Performance Globale'!B30)</f>
        <v/>
      </c>
      <c r="B26" s="0" t="str">
        <f aca="false">IF('14. Performance Globale'!B30="","",'14. Performance Globale'!E30)</f>
        <v/>
      </c>
      <c r="C26" s="0" t="str">
        <f aca="false">IF('14. Performance Globale'!B30="","",'14. Performance Globale'!C30)</f>
        <v/>
      </c>
      <c r="D26" s="0" t="str">
        <f aca="false">IF('14. Performance Globale'!B30="","",'14. Performance Globale'!D30)</f>
        <v/>
      </c>
      <c r="E26" s="172" t="str">
        <f aca="false">IF('14. Performance Globale'!B30="","",'14. Performance Globale'!H30)</f>
        <v/>
      </c>
      <c r="F26" s="0" t="str">
        <f aca="false">IF('14. Performance Globale'!B30="","",'14. Performance Globale'!I30)</f>
        <v/>
      </c>
      <c r="G26" s="0" t="str">
        <f aca="false">IF('14. Performance Globale'!B30="","",'14. Performance Globale'!J30)</f>
        <v/>
      </c>
      <c r="H26" s="0" t="str">
        <f aca="false">IF('14. Performance Globale'!B30="","",'14. Performance Globale'!K30)</f>
        <v/>
      </c>
      <c r="I26" s="0" t="str">
        <f aca="false">IF('14. Performance Globale'!B30="","",'14. Performance Globale'!L30)</f>
        <v/>
      </c>
    </row>
    <row r="27" customFormat="false" ht="15" hidden="false" customHeight="false" outlineLevel="0" collapsed="false">
      <c r="A27" s="0" t="str">
        <f aca="false">IF('14. Performance Globale'!B31="","",'14. Performance Globale'!B31)</f>
        <v/>
      </c>
      <c r="B27" s="0" t="str">
        <f aca="false">IF('14. Performance Globale'!B31="","",'14. Performance Globale'!E31)</f>
        <v/>
      </c>
      <c r="C27" s="0" t="str">
        <f aca="false">IF('14. Performance Globale'!B31="","",'14. Performance Globale'!C31)</f>
        <v/>
      </c>
      <c r="D27" s="0" t="str">
        <f aca="false">IF('14. Performance Globale'!B31="","",'14. Performance Globale'!D31)</f>
        <v/>
      </c>
      <c r="E27" s="172" t="str">
        <f aca="false">IF('14. Performance Globale'!B31="","",'14. Performance Globale'!H31)</f>
        <v/>
      </c>
      <c r="F27" s="0" t="str">
        <f aca="false">IF('14. Performance Globale'!B31="","",'14. Performance Globale'!I31)</f>
        <v/>
      </c>
      <c r="G27" s="0" t="str">
        <f aca="false">IF('14. Performance Globale'!B31="","",'14. Performance Globale'!J31)</f>
        <v/>
      </c>
      <c r="H27" s="0" t="str">
        <f aca="false">IF('14. Performance Globale'!B31="","",'14. Performance Globale'!K31)</f>
        <v/>
      </c>
      <c r="I27" s="0" t="str">
        <f aca="false">IF('14. Performance Globale'!B31="","",'14. Performance Globale'!L31)</f>
        <v/>
      </c>
    </row>
    <row r="28" customFormat="false" ht="15" hidden="false" customHeight="false" outlineLevel="0" collapsed="false">
      <c r="A28" s="0" t="str">
        <f aca="false">IF('14. Performance Globale'!B32="","",'14. Performance Globale'!B32)</f>
        <v/>
      </c>
      <c r="B28" s="0" t="str">
        <f aca="false">IF('14. Performance Globale'!B32="","",'14. Performance Globale'!E32)</f>
        <v/>
      </c>
      <c r="C28" s="0" t="str">
        <f aca="false">IF('14. Performance Globale'!B32="","",'14. Performance Globale'!C32)</f>
        <v/>
      </c>
      <c r="D28" s="0" t="str">
        <f aca="false">IF('14. Performance Globale'!B32="","",'14. Performance Globale'!D32)</f>
        <v/>
      </c>
      <c r="E28" s="172" t="str">
        <f aca="false">IF('14. Performance Globale'!B32="","",'14. Performance Globale'!H32)</f>
        <v/>
      </c>
      <c r="F28" s="0" t="str">
        <f aca="false">IF('14. Performance Globale'!B32="","",'14. Performance Globale'!I32)</f>
        <v/>
      </c>
      <c r="G28" s="0" t="str">
        <f aca="false">IF('14. Performance Globale'!B32="","",'14. Performance Globale'!J32)</f>
        <v/>
      </c>
      <c r="H28" s="0" t="str">
        <f aca="false">IF('14. Performance Globale'!B32="","",'14. Performance Globale'!K32)</f>
        <v/>
      </c>
      <c r="I28" s="0" t="str">
        <f aca="false">IF('14. Performance Globale'!B32="","",'14. Performance Globale'!L32)</f>
        <v/>
      </c>
    </row>
    <row r="29" customFormat="false" ht="15" hidden="false" customHeight="false" outlineLevel="0" collapsed="false">
      <c r="A29" s="0" t="str">
        <f aca="false">IF('14. Performance Globale'!B33="","",'14. Performance Globale'!B33)</f>
        <v/>
      </c>
      <c r="B29" s="0" t="str">
        <f aca="false">IF('14. Performance Globale'!B33="","",'14. Performance Globale'!E33)</f>
        <v/>
      </c>
      <c r="C29" s="0" t="str">
        <f aca="false">IF('14. Performance Globale'!B33="","",'14. Performance Globale'!C33)</f>
        <v/>
      </c>
      <c r="D29" s="0" t="str">
        <f aca="false">IF('14. Performance Globale'!B33="","",'14. Performance Globale'!D33)</f>
        <v/>
      </c>
      <c r="E29" s="172" t="str">
        <f aca="false">IF('14. Performance Globale'!B33="","",'14. Performance Globale'!H33)</f>
        <v/>
      </c>
      <c r="F29" s="0" t="str">
        <f aca="false">IF('14. Performance Globale'!B33="","",'14. Performance Globale'!I33)</f>
        <v/>
      </c>
      <c r="G29" s="0" t="str">
        <f aca="false">IF('14. Performance Globale'!B33="","",'14. Performance Globale'!J33)</f>
        <v/>
      </c>
      <c r="H29" s="0" t="str">
        <f aca="false">IF('14. Performance Globale'!B33="","",'14. Performance Globale'!K33)</f>
        <v/>
      </c>
      <c r="I29" s="0" t="str">
        <f aca="false">IF('14. Performance Globale'!B33="","",'14. Performance Globale'!L33)</f>
        <v/>
      </c>
    </row>
    <row r="30" customFormat="false" ht="15" hidden="false" customHeight="false" outlineLevel="0" collapsed="false">
      <c r="A30" s="0" t="str">
        <f aca="false">IF('14. Performance Globale'!B34="","",'14. Performance Globale'!B34)</f>
        <v/>
      </c>
      <c r="B30" s="0" t="str">
        <f aca="false">IF('14. Performance Globale'!B34="","",'14. Performance Globale'!E34)</f>
        <v/>
      </c>
      <c r="C30" s="0" t="str">
        <f aca="false">IF('14. Performance Globale'!B34="","",'14. Performance Globale'!C34)</f>
        <v/>
      </c>
      <c r="D30" s="0" t="str">
        <f aca="false">IF('14. Performance Globale'!B34="","",'14. Performance Globale'!D34)</f>
        <v/>
      </c>
      <c r="E30" s="172" t="str">
        <f aca="false">IF('14. Performance Globale'!B34="","",'14. Performance Globale'!H34)</f>
        <v/>
      </c>
      <c r="F30" s="0" t="str">
        <f aca="false">IF('14. Performance Globale'!B34="","",'14. Performance Globale'!I34)</f>
        <v/>
      </c>
      <c r="G30" s="0" t="str">
        <f aca="false">IF('14. Performance Globale'!B34="","",'14. Performance Globale'!J34)</f>
        <v/>
      </c>
      <c r="H30" s="0" t="str">
        <f aca="false">IF('14. Performance Globale'!B34="","",'14. Performance Globale'!K34)</f>
        <v/>
      </c>
      <c r="I30" s="0" t="str">
        <f aca="false">IF('14. Performance Globale'!B34="","",'14. Performance Globale'!L34)</f>
        <v/>
      </c>
    </row>
    <row r="31" customFormat="false" ht="15" hidden="false" customHeight="false" outlineLevel="0" collapsed="false">
      <c r="A31" s="0" t="str">
        <f aca="false">IF('14. Performance Globale'!B35="","",'14. Performance Globale'!B35)</f>
        <v/>
      </c>
      <c r="B31" s="0" t="str">
        <f aca="false">IF('14. Performance Globale'!B35="","",'14. Performance Globale'!E35)</f>
        <v/>
      </c>
      <c r="C31" s="0" t="str">
        <f aca="false">IF('14. Performance Globale'!B35="","",'14. Performance Globale'!C35)</f>
        <v/>
      </c>
      <c r="D31" s="0" t="str">
        <f aca="false">IF('14. Performance Globale'!B35="","",'14. Performance Globale'!D35)</f>
        <v/>
      </c>
      <c r="E31" s="172" t="str">
        <f aca="false">IF('14. Performance Globale'!B35="","",'14. Performance Globale'!H35)</f>
        <v/>
      </c>
      <c r="F31" s="0" t="str">
        <f aca="false">IF('14. Performance Globale'!B35="","",'14. Performance Globale'!I35)</f>
        <v/>
      </c>
      <c r="G31" s="0" t="str">
        <f aca="false">IF('14. Performance Globale'!B35="","",'14. Performance Globale'!J35)</f>
        <v/>
      </c>
      <c r="H31" s="0" t="str">
        <f aca="false">IF('14. Performance Globale'!B35="","",'14. Performance Globale'!K35)</f>
        <v/>
      </c>
      <c r="I31" s="0" t="str">
        <f aca="false">IF('14. Performance Globale'!B35="","",'14. Performance Globale'!L35)</f>
        <v/>
      </c>
    </row>
    <row r="32" customFormat="false" ht="15" hidden="false" customHeight="false" outlineLevel="0" collapsed="false">
      <c r="A32" s="0" t="str">
        <f aca="false">IF('14. Performance Globale'!B36="","",'14. Performance Globale'!B36)</f>
        <v/>
      </c>
      <c r="B32" s="0" t="str">
        <f aca="false">IF('14. Performance Globale'!B36="","",'14. Performance Globale'!E36)</f>
        <v/>
      </c>
      <c r="C32" s="0" t="str">
        <f aca="false">IF('14. Performance Globale'!B36="","",'14. Performance Globale'!C36)</f>
        <v/>
      </c>
      <c r="D32" s="0" t="str">
        <f aca="false">IF('14. Performance Globale'!B36="","",'14. Performance Globale'!D36)</f>
        <v/>
      </c>
      <c r="E32" s="172" t="str">
        <f aca="false">IF('14. Performance Globale'!B36="","",'14. Performance Globale'!H36)</f>
        <v/>
      </c>
      <c r="F32" s="0" t="str">
        <f aca="false">IF('14. Performance Globale'!B36="","",'14. Performance Globale'!I36)</f>
        <v/>
      </c>
      <c r="G32" s="0" t="str">
        <f aca="false">IF('14. Performance Globale'!B36="","",'14. Performance Globale'!J36)</f>
        <v/>
      </c>
      <c r="H32" s="0" t="str">
        <f aca="false">IF('14. Performance Globale'!B36="","",'14. Performance Globale'!K36)</f>
        <v/>
      </c>
      <c r="I32" s="0" t="str">
        <f aca="false">IF('14. Performance Globale'!B36="","",'14. Performance Globale'!L36)</f>
        <v/>
      </c>
    </row>
    <row r="33" customFormat="false" ht="15" hidden="false" customHeight="false" outlineLevel="0" collapsed="false">
      <c r="A33" s="0" t="str">
        <f aca="false">IF('14. Performance Globale'!B37="","",'14. Performance Globale'!B37)</f>
        <v/>
      </c>
      <c r="B33" s="0" t="str">
        <f aca="false">IF('14. Performance Globale'!B37="","",'14. Performance Globale'!E37)</f>
        <v/>
      </c>
      <c r="C33" s="0" t="str">
        <f aca="false">IF('14. Performance Globale'!B37="","",'14. Performance Globale'!C37)</f>
        <v/>
      </c>
      <c r="D33" s="0" t="str">
        <f aca="false">IF('14. Performance Globale'!B37="","",'14. Performance Globale'!D37)</f>
        <v/>
      </c>
      <c r="E33" s="172" t="str">
        <f aca="false">IF('14. Performance Globale'!B37="","",'14. Performance Globale'!H37)</f>
        <v/>
      </c>
      <c r="F33" s="0" t="str">
        <f aca="false">IF('14. Performance Globale'!B37="","",'14. Performance Globale'!I37)</f>
        <v/>
      </c>
      <c r="G33" s="0" t="str">
        <f aca="false">IF('14. Performance Globale'!B37="","",'14. Performance Globale'!J37)</f>
        <v/>
      </c>
      <c r="H33" s="0" t="str">
        <f aca="false">IF('14. Performance Globale'!B37="","",'14. Performance Globale'!K37)</f>
        <v/>
      </c>
      <c r="I33" s="0" t="str">
        <f aca="false">IF('14. Performance Globale'!B37="","",'14. Performance Globale'!L37)</f>
        <v/>
      </c>
    </row>
    <row r="34" customFormat="false" ht="15" hidden="false" customHeight="false" outlineLevel="0" collapsed="false">
      <c r="A34" s="0" t="str">
        <f aca="false">IF('14. Performance Globale'!B38="","",'14. Performance Globale'!B38)</f>
        <v/>
      </c>
      <c r="B34" s="0" t="str">
        <f aca="false">IF('14. Performance Globale'!B38="","",'14. Performance Globale'!E38)</f>
        <v/>
      </c>
      <c r="C34" s="0" t="str">
        <f aca="false">IF('14. Performance Globale'!B38="","",'14. Performance Globale'!C38)</f>
        <v/>
      </c>
      <c r="D34" s="0" t="str">
        <f aca="false">IF('14. Performance Globale'!B38="","",'14. Performance Globale'!D38)</f>
        <v/>
      </c>
      <c r="E34" s="172" t="str">
        <f aca="false">IF('14. Performance Globale'!B38="","",'14. Performance Globale'!H38)</f>
        <v/>
      </c>
      <c r="F34" s="0" t="str">
        <f aca="false">IF('14. Performance Globale'!B38="","",'14. Performance Globale'!I38)</f>
        <v/>
      </c>
      <c r="G34" s="0" t="str">
        <f aca="false">IF('14. Performance Globale'!B38="","",'14. Performance Globale'!J38)</f>
        <v/>
      </c>
      <c r="H34" s="0" t="str">
        <f aca="false">IF('14. Performance Globale'!B38="","",'14. Performance Globale'!K38)</f>
        <v/>
      </c>
      <c r="I34" s="0" t="str">
        <f aca="false">IF('14. Performance Globale'!B38="","",'14. Performance Globale'!L38)</f>
        <v/>
      </c>
    </row>
    <row r="35" customFormat="false" ht="15" hidden="false" customHeight="false" outlineLevel="0" collapsed="false">
      <c r="A35" s="0" t="str">
        <f aca="false">IF('14. Performance Globale'!B39="","",'14. Performance Globale'!B39)</f>
        <v/>
      </c>
      <c r="B35" s="0" t="str">
        <f aca="false">IF('14. Performance Globale'!B39="","",'14. Performance Globale'!E39)</f>
        <v/>
      </c>
      <c r="C35" s="0" t="str">
        <f aca="false">IF('14. Performance Globale'!B39="","",'14. Performance Globale'!C39)</f>
        <v/>
      </c>
      <c r="D35" s="0" t="str">
        <f aca="false">IF('14. Performance Globale'!B39="","",'14. Performance Globale'!D39)</f>
        <v/>
      </c>
      <c r="E35" s="172" t="str">
        <f aca="false">IF('14. Performance Globale'!B39="","",'14. Performance Globale'!H39)</f>
        <v/>
      </c>
      <c r="F35" s="0" t="str">
        <f aca="false">IF('14. Performance Globale'!B39="","",'14. Performance Globale'!I39)</f>
        <v/>
      </c>
      <c r="G35" s="0" t="str">
        <f aca="false">IF('14. Performance Globale'!B39="","",'14. Performance Globale'!J39)</f>
        <v/>
      </c>
      <c r="H35" s="0" t="str">
        <f aca="false">IF('14. Performance Globale'!B39="","",'14. Performance Globale'!K39)</f>
        <v/>
      </c>
      <c r="I35" s="0" t="str">
        <f aca="false">IF('14. Performance Globale'!B39="","",'14. Performance Globale'!L39)</f>
        <v/>
      </c>
    </row>
    <row r="36" customFormat="false" ht="15" hidden="false" customHeight="false" outlineLevel="0" collapsed="false">
      <c r="A36" s="0" t="str">
        <f aca="false">IF('14. Performance Globale'!B40="","",'14. Performance Globale'!B40)</f>
        <v/>
      </c>
      <c r="B36" s="0" t="str">
        <f aca="false">IF('14. Performance Globale'!B40="","",'14. Performance Globale'!E40)</f>
        <v/>
      </c>
      <c r="C36" s="0" t="str">
        <f aca="false">IF('14. Performance Globale'!B40="","",'14. Performance Globale'!C40)</f>
        <v/>
      </c>
      <c r="D36" s="0" t="str">
        <f aca="false">IF('14. Performance Globale'!B40="","",'14. Performance Globale'!D40)</f>
        <v/>
      </c>
      <c r="E36" s="172" t="str">
        <f aca="false">IF('14. Performance Globale'!B40="","",'14. Performance Globale'!H40)</f>
        <v/>
      </c>
      <c r="F36" s="0" t="str">
        <f aca="false">IF('14. Performance Globale'!B40="","",'14. Performance Globale'!I40)</f>
        <v/>
      </c>
      <c r="G36" s="0" t="str">
        <f aca="false">IF('14. Performance Globale'!B40="","",'14. Performance Globale'!J40)</f>
        <v/>
      </c>
      <c r="H36" s="0" t="str">
        <f aca="false">IF('14. Performance Globale'!B40="","",'14. Performance Globale'!K40)</f>
        <v/>
      </c>
      <c r="I36" s="0" t="str">
        <f aca="false">IF('14. Performance Globale'!B40="","",'14. Performance Globale'!L40)</f>
        <v/>
      </c>
    </row>
    <row r="37" customFormat="false" ht="15" hidden="false" customHeight="false" outlineLevel="0" collapsed="false">
      <c r="A37" s="0" t="str">
        <f aca="false">IF('14. Performance Globale'!B41="","",'14. Performance Globale'!B41)</f>
        <v/>
      </c>
      <c r="B37" s="0" t="str">
        <f aca="false">IF('14. Performance Globale'!B41="","",'14. Performance Globale'!E41)</f>
        <v/>
      </c>
      <c r="C37" s="0" t="str">
        <f aca="false">IF('14. Performance Globale'!B41="","",'14. Performance Globale'!C41)</f>
        <v/>
      </c>
      <c r="D37" s="0" t="str">
        <f aca="false">IF('14. Performance Globale'!B41="","",'14. Performance Globale'!D41)</f>
        <v/>
      </c>
      <c r="E37" s="172" t="str">
        <f aca="false">IF('14. Performance Globale'!B41="","",'14. Performance Globale'!H41)</f>
        <v/>
      </c>
      <c r="F37" s="0" t="str">
        <f aca="false">IF('14. Performance Globale'!B41="","",'14. Performance Globale'!I41)</f>
        <v/>
      </c>
      <c r="G37" s="0" t="str">
        <f aca="false">IF('14. Performance Globale'!B41="","",'14. Performance Globale'!J41)</f>
        <v/>
      </c>
      <c r="H37" s="0" t="str">
        <f aca="false">IF('14. Performance Globale'!B41="","",'14. Performance Globale'!K41)</f>
        <v/>
      </c>
      <c r="I37" s="0" t="str">
        <f aca="false">IF('14. Performance Globale'!B41="","",'14. Performance Globale'!L41)</f>
        <v/>
      </c>
    </row>
    <row r="38" customFormat="false" ht="15" hidden="false" customHeight="false" outlineLevel="0" collapsed="false">
      <c r="A38" s="0" t="str">
        <f aca="false">IF('14. Performance Globale'!B42="","",'14. Performance Globale'!B42)</f>
        <v/>
      </c>
      <c r="B38" s="0" t="str">
        <f aca="false">IF('14. Performance Globale'!B42="","",'14. Performance Globale'!E42)</f>
        <v/>
      </c>
      <c r="C38" s="0" t="str">
        <f aca="false">IF('14. Performance Globale'!B42="","",'14. Performance Globale'!C42)</f>
        <v/>
      </c>
      <c r="D38" s="0" t="str">
        <f aca="false">IF('14. Performance Globale'!B42="","",'14. Performance Globale'!D42)</f>
        <v/>
      </c>
      <c r="E38" s="172" t="str">
        <f aca="false">IF('14. Performance Globale'!B42="","",'14. Performance Globale'!H42)</f>
        <v/>
      </c>
      <c r="F38" s="0" t="str">
        <f aca="false">IF('14. Performance Globale'!B42="","",'14. Performance Globale'!I42)</f>
        <v/>
      </c>
      <c r="G38" s="0" t="str">
        <f aca="false">IF('14. Performance Globale'!B42="","",'14. Performance Globale'!J42)</f>
        <v/>
      </c>
      <c r="H38" s="0" t="str">
        <f aca="false">IF('14. Performance Globale'!B42="","",'14. Performance Globale'!K42)</f>
        <v/>
      </c>
      <c r="I38" s="0" t="str">
        <f aca="false">IF('14. Performance Globale'!B42="","",'14. Performance Globale'!L42)</f>
        <v/>
      </c>
    </row>
    <row r="39" customFormat="false" ht="15" hidden="false" customHeight="false" outlineLevel="0" collapsed="false">
      <c r="A39" s="0" t="str">
        <f aca="false">IF('14. Performance Globale'!B43="","",'14. Performance Globale'!B43)</f>
        <v/>
      </c>
      <c r="B39" s="0" t="str">
        <f aca="false">IF('14. Performance Globale'!B43="","",'14. Performance Globale'!E43)</f>
        <v/>
      </c>
      <c r="C39" s="0" t="str">
        <f aca="false">IF('14. Performance Globale'!B43="","",'14. Performance Globale'!C43)</f>
        <v/>
      </c>
      <c r="D39" s="0" t="str">
        <f aca="false">IF('14. Performance Globale'!B43="","",'14. Performance Globale'!D43)</f>
        <v/>
      </c>
      <c r="E39" s="172" t="str">
        <f aca="false">IF('14. Performance Globale'!B43="","",'14. Performance Globale'!H43)</f>
        <v/>
      </c>
      <c r="F39" s="0" t="str">
        <f aca="false">IF('14. Performance Globale'!B43="","",'14. Performance Globale'!I43)</f>
        <v/>
      </c>
      <c r="G39" s="0" t="str">
        <f aca="false">IF('14. Performance Globale'!B43="","",'14. Performance Globale'!J43)</f>
        <v/>
      </c>
      <c r="H39" s="0" t="str">
        <f aca="false">IF('14. Performance Globale'!B43="","",'14. Performance Globale'!K43)</f>
        <v/>
      </c>
      <c r="I39" s="0" t="str">
        <f aca="false">IF('14. Performance Globale'!B43="","",'14. Performance Globale'!L43)</f>
        <v/>
      </c>
    </row>
    <row r="40" customFormat="false" ht="15" hidden="false" customHeight="false" outlineLevel="0" collapsed="false">
      <c r="A40" s="0" t="str">
        <f aca="false">IF('14. Performance Globale'!B44="","",'14. Performance Globale'!B44)</f>
        <v/>
      </c>
      <c r="B40" s="0" t="str">
        <f aca="false">IF('14. Performance Globale'!B44="","",'14. Performance Globale'!E44)</f>
        <v/>
      </c>
      <c r="C40" s="0" t="str">
        <f aca="false">IF('14. Performance Globale'!B44="","",'14. Performance Globale'!C44)</f>
        <v/>
      </c>
      <c r="D40" s="0" t="str">
        <f aca="false">IF('14. Performance Globale'!B44="","",'14. Performance Globale'!D44)</f>
        <v/>
      </c>
      <c r="E40" s="172" t="str">
        <f aca="false">IF('14. Performance Globale'!B44="","",'14. Performance Globale'!H44)</f>
        <v/>
      </c>
      <c r="F40" s="0" t="str">
        <f aca="false">IF('14. Performance Globale'!B44="","",'14. Performance Globale'!I44)</f>
        <v/>
      </c>
      <c r="G40" s="0" t="str">
        <f aca="false">IF('14. Performance Globale'!B44="","",'14. Performance Globale'!J44)</f>
        <v/>
      </c>
      <c r="H40" s="0" t="str">
        <f aca="false">IF('14. Performance Globale'!B44="","",'14. Performance Globale'!K44)</f>
        <v/>
      </c>
      <c r="I40" s="0" t="str">
        <f aca="false">IF('14. Performance Globale'!B44="","",'14. Performance Globale'!L44)</f>
        <v/>
      </c>
    </row>
    <row r="41" customFormat="false" ht="15" hidden="false" customHeight="false" outlineLevel="0" collapsed="false">
      <c r="A41" s="0" t="str">
        <f aca="false">IF('14. Performance Globale'!B45="","",'14. Performance Globale'!B45)</f>
        <v/>
      </c>
      <c r="B41" s="0" t="str">
        <f aca="false">IF('14. Performance Globale'!B45="","",'14. Performance Globale'!E45)</f>
        <v/>
      </c>
      <c r="C41" s="0" t="str">
        <f aca="false">IF('14. Performance Globale'!B45="","",'14. Performance Globale'!C45)</f>
        <v/>
      </c>
      <c r="D41" s="0" t="str">
        <f aca="false">IF('14. Performance Globale'!B45="","",'14. Performance Globale'!D45)</f>
        <v/>
      </c>
      <c r="E41" s="172" t="str">
        <f aca="false">IF('14. Performance Globale'!B45="","",'14. Performance Globale'!H45)</f>
        <v/>
      </c>
      <c r="F41" s="0" t="str">
        <f aca="false">IF('14. Performance Globale'!B45="","",'14. Performance Globale'!I45)</f>
        <v/>
      </c>
      <c r="G41" s="0" t="str">
        <f aca="false">IF('14. Performance Globale'!B45="","",'14. Performance Globale'!J45)</f>
        <v/>
      </c>
      <c r="H41" s="0" t="str">
        <f aca="false">IF('14. Performance Globale'!B45="","",'14. Performance Globale'!K45)</f>
        <v/>
      </c>
      <c r="I41" s="0" t="str">
        <f aca="false">IF('14. Performance Globale'!B45="","",'14. Performance Globale'!L45)</f>
        <v/>
      </c>
    </row>
    <row r="42" customFormat="false" ht="15" hidden="false" customHeight="false" outlineLevel="0" collapsed="false">
      <c r="A42" s="0" t="str">
        <f aca="false">IF('14. Performance Globale'!B46="","",'14. Performance Globale'!B46)</f>
        <v/>
      </c>
      <c r="B42" s="0" t="str">
        <f aca="false">IF('14. Performance Globale'!B46="","",'14. Performance Globale'!E46)</f>
        <v/>
      </c>
      <c r="C42" s="0" t="str">
        <f aca="false">IF('14. Performance Globale'!B46="","",'14. Performance Globale'!C46)</f>
        <v/>
      </c>
      <c r="D42" s="0" t="str">
        <f aca="false">IF('14. Performance Globale'!B46="","",'14. Performance Globale'!D46)</f>
        <v/>
      </c>
      <c r="E42" s="172" t="str">
        <f aca="false">IF('14. Performance Globale'!B46="","",'14. Performance Globale'!H46)</f>
        <v/>
      </c>
      <c r="F42" s="0" t="str">
        <f aca="false">IF('14. Performance Globale'!B46="","",'14. Performance Globale'!I46)</f>
        <v/>
      </c>
      <c r="G42" s="0" t="str">
        <f aca="false">IF('14. Performance Globale'!B46="","",'14. Performance Globale'!J46)</f>
        <v/>
      </c>
      <c r="H42" s="0" t="str">
        <f aca="false">IF('14. Performance Globale'!B46="","",'14. Performance Globale'!K46)</f>
        <v/>
      </c>
      <c r="I42" s="0" t="str">
        <f aca="false">IF('14. Performance Globale'!B46="","",'14. Performance Globale'!L46)</f>
        <v/>
      </c>
    </row>
    <row r="43" customFormat="false" ht="15" hidden="false" customHeight="false" outlineLevel="0" collapsed="false">
      <c r="A43" s="0" t="str">
        <f aca="false">IF('14. Performance Globale'!B47="","",'14. Performance Globale'!B47)</f>
        <v/>
      </c>
      <c r="B43" s="0" t="str">
        <f aca="false">IF('14. Performance Globale'!B47="","",'14. Performance Globale'!E47)</f>
        <v/>
      </c>
      <c r="C43" s="0" t="str">
        <f aca="false">IF('14. Performance Globale'!B47="","",'14. Performance Globale'!C47)</f>
        <v/>
      </c>
      <c r="D43" s="0" t="str">
        <f aca="false">IF('14. Performance Globale'!B47="","",'14. Performance Globale'!D47)</f>
        <v/>
      </c>
      <c r="E43" s="172" t="str">
        <f aca="false">IF('14. Performance Globale'!B47="","",'14. Performance Globale'!H47)</f>
        <v/>
      </c>
      <c r="F43" s="0" t="str">
        <f aca="false">IF('14. Performance Globale'!B47="","",'14. Performance Globale'!I47)</f>
        <v/>
      </c>
      <c r="G43" s="0" t="str">
        <f aca="false">IF('14. Performance Globale'!B47="","",'14. Performance Globale'!J47)</f>
        <v/>
      </c>
      <c r="H43" s="0" t="str">
        <f aca="false">IF('14. Performance Globale'!B47="","",'14. Performance Globale'!K47)</f>
        <v/>
      </c>
      <c r="I43" s="0" t="str">
        <f aca="false">IF('14. Performance Globale'!B47="","",'14. Performance Globale'!L47)</f>
        <v/>
      </c>
    </row>
    <row r="44" customFormat="false" ht="15" hidden="false" customHeight="false" outlineLevel="0" collapsed="false">
      <c r="A44" s="0" t="str">
        <f aca="false">IF('14. Performance Globale'!B48="","",'14. Performance Globale'!B48)</f>
        <v/>
      </c>
      <c r="B44" s="0" t="str">
        <f aca="false">IF('14. Performance Globale'!B48="","",'14. Performance Globale'!E48)</f>
        <v/>
      </c>
      <c r="C44" s="0" t="str">
        <f aca="false">IF('14. Performance Globale'!B48="","",'14. Performance Globale'!C48)</f>
        <v/>
      </c>
      <c r="D44" s="0" t="str">
        <f aca="false">IF('14. Performance Globale'!B48="","",'14. Performance Globale'!D48)</f>
        <v/>
      </c>
      <c r="E44" s="172" t="str">
        <f aca="false">IF('14. Performance Globale'!B48="","",'14. Performance Globale'!H48)</f>
        <v/>
      </c>
      <c r="F44" s="0" t="str">
        <f aca="false">IF('14. Performance Globale'!B48="","",'14. Performance Globale'!I48)</f>
        <v/>
      </c>
      <c r="G44" s="0" t="str">
        <f aca="false">IF('14. Performance Globale'!B48="","",'14. Performance Globale'!J48)</f>
        <v/>
      </c>
      <c r="H44" s="0" t="str">
        <f aca="false">IF('14. Performance Globale'!B48="","",'14. Performance Globale'!K48)</f>
        <v/>
      </c>
      <c r="I44" s="0" t="str">
        <f aca="false">IF('14. Performance Globale'!B48="","",'14. Performance Globale'!L48)</f>
        <v/>
      </c>
    </row>
    <row r="45" customFormat="false" ht="15" hidden="false" customHeight="false" outlineLevel="0" collapsed="false">
      <c r="A45" s="0" t="str">
        <f aca="false">IF('14. Performance Globale'!B49="","",'14. Performance Globale'!B49)</f>
        <v/>
      </c>
      <c r="B45" s="0" t="str">
        <f aca="false">IF('14. Performance Globale'!B49="","",'14. Performance Globale'!E49)</f>
        <v/>
      </c>
      <c r="C45" s="0" t="str">
        <f aca="false">IF('14. Performance Globale'!B49="","",'14. Performance Globale'!C49)</f>
        <v/>
      </c>
      <c r="D45" s="0" t="str">
        <f aca="false">IF('14. Performance Globale'!B49="","",'14. Performance Globale'!D49)</f>
        <v/>
      </c>
      <c r="E45" s="172" t="str">
        <f aca="false">IF('14. Performance Globale'!B49="","",'14. Performance Globale'!H49)</f>
        <v/>
      </c>
      <c r="F45" s="0" t="str">
        <f aca="false">IF('14. Performance Globale'!B49="","",'14. Performance Globale'!I49)</f>
        <v/>
      </c>
      <c r="G45" s="0" t="str">
        <f aca="false">IF('14. Performance Globale'!B49="","",'14. Performance Globale'!J49)</f>
        <v/>
      </c>
      <c r="H45" s="0" t="str">
        <f aca="false">IF('14. Performance Globale'!B49="","",'14. Performance Globale'!K49)</f>
        <v/>
      </c>
      <c r="I45" s="0" t="str">
        <f aca="false">IF('14. Performance Globale'!B49="","",'14. Performance Globale'!L49)</f>
        <v/>
      </c>
    </row>
    <row r="46" customFormat="false" ht="15" hidden="false" customHeight="false" outlineLevel="0" collapsed="false">
      <c r="A46" s="0" t="str">
        <f aca="false">IF('14. Performance Globale'!B50="","",'14. Performance Globale'!B50)</f>
        <v/>
      </c>
      <c r="B46" s="0" t="str">
        <f aca="false">IF('14. Performance Globale'!B50="","",'14. Performance Globale'!E50)</f>
        <v/>
      </c>
      <c r="C46" s="0" t="str">
        <f aca="false">IF('14. Performance Globale'!B50="","",'14. Performance Globale'!C50)</f>
        <v/>
      </c>
      <c r="D46" s="0" t="str">
        <f aca="false">IF('14. Performance Globale'!B50="","",'14. Performance Globale'!D50)</f>
        <v/>
      </c>
      <c r="E46" s="172" t="str">
        <f aca="false">IF('14. Performance Globale'!B50="","",'14. Performance Globale'!H50)</f>
        <v/>
      </c>
      <c r="F46" s="0" t="str">
        <f aca="false">IF('14. Performance Globale'!B50="","",'14. Performance Globale'!I50)</f>
        <v/>
      </c>
      <c r="G46" s="0" t="str">
        <f aca="false">IF('14. Performance Globale'!B50="","",'14. Performance Globale'!J50)</f>
        <v/>
      </c>
      <c r="H46" s="0" t="str">
        <f aca="false">IF('14. Performance Globale'!B50="","",'14. Performance Globale'!K50)</f>
        <v/>
      </c>
      <c r="I46" s="0" t="str">
        <f aca="false">IF('14. Performance Globale'!B50="","",'14. Performance Globale'!L50)</f>
        <v/>
      </c>
    </row>
    <row r="47" customFormat="false" ht="15" hidden="false" customHeight="false" outlineLevel="0" collapsed="false">
      <c r="A47" s="0" t="str">
        <f aca="false">IF('14. Performance Globale'!B51="","",'14. Performance Globale'!B51)</f>
        <v/>
      </c>
      <c r="B47" s="0" t="str">
        <f aca="false">IF('14. Performance Globale'!B51="","",'14. Performance Globale'!E51)</f>
        <v/>
      </c>
      <c r="C47" s="0" t="str">
        <f aca="false">IF('14. Performance Globale'!B51="","",'14. Performance Globale'!C51)</f>
        <v/>
      </c>
      <c r="D47" s="0" t="str">
        <f aca="false">IF('14. Performance Globale'!B51="","",'14. Performance Globale'!D51)</f>
        <v/>
      </c>
      <c r="E47" s="172" t="str">
        <f aca="false">IF('14. Performance Globale'!B51="","",'14. Performance Globale'!H51)</f>
        <v/>
      </c>
      <c r="F47" s="0" t="str">
        <f aca="false">IF('14. Performance Globale'!B51="","",'14. Performance Globale'!I51)</f>
        <v/>
      </c>
      <c r="G47" s="0" t="str">
        <f aca="false">IF('14. Performance Globale'!B51="","",'14. Performance Globale'!J51)</f>
        <v/>
      </c>
      <c r="H47" s="0" t="str">
        <f aca="false">IF('14. Performance Globale'!B51="","",'14. Performance Globale'!K51)</f>
        <v/>
      </c>
      <c r="I47" s="0" t="str">
        <f aca="false">IF('14. Performance Globale'!B51="","",'14. Performance Globale'!L51)</f>
        <v/>
      </c>
    </row>
    <row r="48" customFormat="false" ht="15" hidden="false" customHeight="false" outlineLevel="0" collapsed="false">
      <c r="A48" s="0" t="str">
        <f aca="false">IF('14. Performance Globale'!B52="","",'14. Performance Globale'!B52)</f>
        <v/>
      </c>
      <c r="B48" s="0" t="str">
        <f aca="false">IF('14. Performance Globale'!B52="","",'14. Performance Globale'!E52)</f>
        <v/>
      </c>
      <c r="C48" s="0" t="str">
        <f aca="false">IF('14. Performance Globale'!B52="","",'14. Performance Globale'!C52)</f>
        <v/>
      </c>
      <c r="D48" s="0" t="str">
        <f aca="false">IF('14. Performance Globale'!B52="","",'14. Performance Globale'!D52)</f>
        <v/>
      </c>
      <c r="E48" s="172" t="str">
        <f aca="false">IF('14. Performance Globale'!B52="","",'14. Performance Globale'!H52)</f>
        <v/>
      </c>
      <c r="F48" s="0" t="str">
        <f aca="false">IF('14. Performance Globale'!B52="","",'14. Performance Globale'!I52)</f>
        <v/>
      </c>
      <c r="G48" s="0" t="str">
        <f aca="false">IF('14. Performance Globale'!B52="","",'14. Performance Globale'!J52)</f>
        <v/>
      </c>
      <c r="H48" s="0" t="str">
        <f aca="false">IF('14. Performance Globale'!B52="","",'14. Performance Globale'!K52)</f>
        <v/>
      </c>
      <c r="I48" s="0" t="str">
        <f aca="false">IF('14. Performance Globale'!B52="","",'14. Performance Globale'!L52)</f>
        <v/>
      </c>
    </row>
    <row r="49" customFormat="false" ht="15" hidden="false" customHeight="false" outlineLevel="0" collapsed="false">
      <c r="A49" s="0" t="str">
        <f aca="false">IF('14. Performance Globale'!B53="","",'14. Performance Globale'!B53)</f>
        <v/>
      </c>
      <c r="B49" s="0" t="str">
        <f aca="false">IF('14. Performance Globale'!B53="","",'14. Performance Globale'!E53)</f>
        <v/>
      </c>
      <c r="C49" s="0" t="str">
        <f aca="false">IF('14. Performance Globale'!B53="","",'14. Performance Globale'!C53)</f>
        <v/>
      </c>
      <c r="D49" s="0" t="str">
        <f aca="false">IF('14. Performance Globale'!B53="","",'14. Performance Globale'!D53)</f>
        <v/>
      </c>
      <c r="E49" s="172" t="str">
        <f aca="false">IF('14. Performance Globale'!B53="","",'14. Performance Globale'!H53)</f>
        <v/>
      </c>
      <c r="F49" s="0" t="str">
        <f aca="false">IF('14. Performance Globale'!B53="","",'14. Performance Globale'!I53)</f>
        <v/>
      </c>
      <c r="G49" s="0" t="str">
        <f aca="false">IF('14. Performance Globale'!B53="","",'14. Performance Globale'!J53)</f>
        <v/>
      </c>
      <c r="H49" s="0" t="str">
        <f aca="false">IF('14. Performance Globale'!B53="","",'14. Performance Globale'!K53)</f>
        <v/>
      </c>
      <c r="I49" s="0" t="str">
        <f aca="false">IF('14. Performance Globale'!B53="","",'14. Performance Globale'!L53)</f>
        <v/>
      </c>
    </row>
    <row r="50" customFormat="false" ht="15" hidden="false" customHeight="false" outlineLevel="0" collapsed="false">
      <c r="A50" s="0" t="str">
        <f aca="false">IF('14. Performance Globale'!B54="","",'14. Performance Globale'!B54)</f>
        <v/>
      </c>
      <c r="B50" s="0" t="str">
        <f aca="false">IF('14. Performance Globale'!B54="","",'14. Performance Globale'!E54)</f>
        <v/>
      </c>
      <c r="C50" s="0" t="str">
        <f aca="false">IF('14. Performance Globale'!B54="","",'14. Performance Globale'!C54)</f>
        <v/>
      </c>
      <c r="D50" s="0" t="str">
        <f aca="false">IF('14. Performance Globale'!B54="","",'14. Performance Globale'!D54)</f>
        <v/>
      </c>
      <c r="E50" s="172" t="str">
        <f aca="false">IF('14. Performance Globale'!B54="","",'14. Performance Globale'!H54)</f>
        <v/>
      </c>
      <c r="F50" s="0" t="str">
        <f aca="false">IF('14. Performance Globale'!B54="","",'14. Performance Globale'!I54)</f>
        <v/>
      </c>
      <c r="G50" s="0" t="str">
        <f aca="false">IF('14. Performance Globale'!B54="","",'14. Performance Globale'!J54)</f>
        <v/>
      </c>
      <c r="H50" s="0" t="str">
        <f aca="false">IF('14. Performance Globale'!B54="","",'14. Performance Globale'!K54)</f>
        <v/>
      </c>
      <c r="I50" s="0" t="str">
        <f aca="false">IF('14. Performance Globale'!B54="","",'14. Performance Globale'!L54)</f>
        <v/>
      </c>
    </row>
    <row r="51" customFormat="false" ht="15" hidden="false" customHeight="false" outlineLevel="0" collapsed="false">
      <c r="A51" s="0" t="str">
        <f aca="false">IF('14. Performance Globale'!B55="","",'14. Performance Globale'!B55)</f>
        <v/>
      </c>
      <c r="B51" s="0" t="str">
        <f aca="false">IF('14. Performance Globale'!B55="","",'14. Performance Globale'!E55)</f>
        <v/>
      </c>
      <c r="C51" s="0" t="str">
        <f aca="false">IF('14. Performance Globale'!B55="","",'14. Performance Globale'!C55)</f>
        <v/>
      </c>
      <c r="D51" s="0" t="str">
        <f aca="false">IF('14. Performance Globale'!B55="","",'14. Performance Globale'!D55)</f>
        <v/>
      </c>
      <c r="E51" s="172" t="str">
        <f aca="false">IF('14. Performance Globale'!B55="","",'14. Performance Globale'!H55)</f>
        <v/>
      </c>
      <c r="F51" s="0" t="str">
        <f aca="false">IF('14. Performance Globale'!B55="","",'14. Performance Globale'!I55)</f>
        <v/>
      </c>
      <c r="G51" s="0" t="str">
        <f aca="false">IF('14. Performance Globale'!B55="","",'14. Performance Globale'!J55)</f>
        <v/>
      </c>
      <c r="H51" s="0" t="str">
        <f aca="false">IF('14. Performance Globale'!B55="","",'14. Performance Globale'!K55)</f>
        <v/>
      </c>
      <c r="I51" s="0" t="str">
        <f aca="false">IF('14. Performance Globale'!B55="","",'14. Performance Globale'!L55)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285F4"/>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22"/>
    <col collapsed="false" customWidth="true" hidden="false" outlineLevel="0" max="5" min="4" style="0" width="14"/>
    <col collapsed="false" customWidth="true" hidden="false" outlineLevel="0" max="7" min="6" style="0" width="16"/>
    <col collapsed="false" customWidth="true" hidden="false" outlineLevel="0" max="8" min="8" style="0" width="14"/>
  </cols>
  <sheetData>
    <row r="1" customFormat="false" ht="30" hidden="false" customHeight="true" outlineLevel="0" collapsed="false">
      <c r="A1" s="166" t="s">
        <v>663</v>
      </c>
      <c r="B1" s="166" t="s">
        <v>697</v>
      </c>
      <c r="C1" s="166" t="s">
        <v>698</v>
      </c>
      <c r="D1" s="166" t="s">
        <v>1110</v>
      </c>
      <c r="E1" s="166" t="s">
        <v>1111</v>
      </c>
      <c r="F1" s="166" t="s">
        <v>1112</v>
      </c>
      <c r="G1" s="166" t="s">
        <v>1113</v>
      </c>
      <c r="H1" s="166" t="s">
        <v>30</v>
      </c>
    </row>
    <row r="2" customFormat="false" ht="15" hidden="false" customHeight="false" outlineLevel="0" collapsed="false">
      <c r="A2" s="0" t="str">
        <f aca="false">IF('14c. Décaissements'!C6="","",'14c. Décaissements'!C6)</f>
        <v>EQUIFILLES</v>
      </c>
      <c r="B2" s="0" t="str">
        <f aca="false">IF('14c. Décaissements'!C6="","",'14c. Décaissements'!D6)</f>
        <v>FoSIR / GFA</v>
      </c>
      <c r="C2" s="0" t="str">
        <f aca="false">IF('14c. Décaissements'!C6="","",'14c. Décaissements'!E6)</f>
        <v>Tranche 1 (Avance)</v>
      </c>
      <c r="D2" s="173" t="n">
        <f aca="false">IF('14c. Décaissements'!C6="","",'14c. Décaissements'!F6)</f>
        <v>46082</v>
      </c>
      <c r="E2" s="173" t="n">
        <f aca="false">IF('14c. Décaissements'!C6="","",'14c. Décaissements'!G6)</f>
        <v>0</v>
      </c>
      <c r="F2" s="174" t="n">
        <f aca="false">IF('14c. Décaissements'!C6="","",'14c. Décaissements'!H6)</f>
        <v>6000000</v>
      </c>
      <c r="G2" s="174" t="n">
        <f aca="false">IF('14c. Décaissements'!C6="","",'14c. Décaissements'!I6)</f>
        <v>0</v>
      </c>
      <c r="H2" s="0" t="str">
        <f aca="false">IF('14c. Décaissements'!C6="","",'14c. Décaissements'!J6)</f>
        <v>⚠ Retard</v>
      </c>
    </row>
    <row r="3" customFormat="false" ht="15" hidden="false" customHeight="false" outlineLevel="0" collapsed="false">
      <c r="A3" s="0" t="str">
        <f aca="false">IF('14c. Décaissements'!C7="","",'14c. Décaissements'!C7)</f>
        <v>EQUIFILLES</v>
      </c>
      <c r="B3" s="0" t="str">
        <f aca="false">IF('14c. Décaissements'!C7="","",'14c. Décaissements'!D7)</f>
        <v>FoSIR / GFA</v>
      </c>
      <c r="C3" s="0" t="str">
        <f aca="false">IF('14c. Décaissements'!C7="","",'14c. Décaissements'!E7)</f>
        <v>Tranche 2</v>
      </c>
      <c r="D3" s="173" t="n">
        <f aca="false">IF('14c. Décaissements'!C7="","",'14c. Décaissements'!F7)</f>
        <v>46266</v>
      </c>
      <c r="E3" s="173" t="n">
        <f aca="false">IF('14c. Décaissements'!C7="","",'14c. Décaissements'!G7)</f>
        <v>0</v>
      </c>
      <c r="F3" s="174" t="n">
        <f aca="false">IF('14c. Décaissements'!C7="","",'14c. Décaissements'!H7)</f>
        <v>6000000</v>
      </c>
      <c r="G3" s="174" t="n">
        <f aca="false">IF('14c. Décaissements'!C7="","",'14c. Décaissements'!I7)</f>
        <v>0</v>
      </c>
      <c r="H3" s="0" t="str">
        <f aca="false">IF('14c. Décaissements'!C7="","",'14c. Décaissements'!J7)</f>
        <v>En attente</v>
      </c>
    </row>
    <row r="4" customFormat="false" ht="15" hidden="false" customHeight="false" outlineLevel="0" collapsed="false">
      <c r="A4" s="0" t="str">
        <f aca="false">IF('14c. Décaissements'!C8="","",'14c. Décaissements'!C8)</f>
        <v>EQUIFILLES</v>
      </c>
      <c r="B4" s="0" t="str">
        <f aca="false">IF('14c. Décaissements'!C8="","",'14c. Décaissements'!D8)</f>
        <v>FoSIR / GFA</v>
      </c>
      <c r="C4" s="0" t="str">
        <f aca="false">IF('14c. Décaissements'!C8="","",'14c. Décaissements'!E8)</f>
        <v>Tranche 3 (Solde)</v>
      </c>
      <c r="D4" s="173" t="n">
        <f aca="false">IF('14c. Décaissements'!C8="","",'14c. Décaissements'!F8)</f>
        <v>46508</v>
      </c>
      <c r="E4" s="173" t="n">
        <f aca="false">IF('14c. Décaissements'!C8="","",'14c. Décaissements'!G8)</f>
        <v>0</v>
      </c>
      <c r="F4" s="174" t="n">
        <f aca="false">IF('14c. Décaissements'!C8="","",'14c. Décaissements'!H8)</f>
        <v>3000000</v>
      </c>
      <c r="G4" s="174" t="n">
        <f aca="false">IF('14c. Décaissements'!C8="","",'14c. Décaissements'!I8)</f>
        <v>0</v>
      </c>
      <c r="H4" s="0" t="str">
        <f aca="false">IF('14c. Décaissements'!C8="","",'14c. Décaissements'!J8)</f>
        <v>En attente</v>
      </c>
    </row>
    <row r="5" customFormat="false" ht="15" hidden="false" customHeight="false" outlineLevel="0" collapsed="false">
      <c r="A5" s="0" t="str">
        <f aca="false">IF('14c. Décaissements'!C9="","",'14c. Décaissements'!C9)</f>
        <v>SPACE TO LEAD</v>
      </c>
      <c r="B5" s="0" t="str">
        <f aca="false">IF('14c. Décaissements'!C9="","",'14c. Décaissements'!D9)</f>
        <v>Plan International</v>
      </c>
      <c r="C5" s="0" t="str">
        <f aca="false">IF('14c. Décaissements'!C9="","",'14c. Décaissements'!E9)</f>
        <v>Tranche An1</v>
      </c>
      <c r="D5" s="173" t="n">
        <f aca="false">IF('14c. Décaissements'!C9="","",'14c. Décaissements'!F9)</f>
        <v>45839</v>
      </c>
      <c r="E5" s="173" t="n">
        <f aca="false">IF('14c. Décaissements'!C9="","",'14c. Décaissements'!G9)</f>
        <v>0</v>
      </c>
      <c r="F5" s="174" t="n">
        <f aca="false">IF('14c. Décaissements'!C9="","",'14c. Décaissements'!H9)</f>
        <v>21000000</v>
      </c>
      <c r="G5" s="174" t="n">
        <f aca="false">IF('14c. Décaissements'!C9="","",'14c. Décaissements'!I9)</f>
        <v>0</v>
      </c>
      <c r="H5" s="0" t="str">
        <f aca="false">IF('14c. Décaissements'!C9="","",'14c. Décaissements'!J9)</f>
        <v>⚠ Retard</v>
      </c>
    </row>
    <row r="6" customFormat="false" ht="15" hidden="false" customHeight="false" outlineLevel="0" collapsed="false">
      <c r="A6" s="0" t="str">
        <f aca="false">IF('14c. Décaissements'!C10="","",'14c. Décaissements'!C10)</f>
        <v>SPACE TO LEAD</v>
      </c>
      <c r="B6" s="0" t="str">
        <f aca="false">IF('14c. Décaissements'!C10="","",'14c. Décaissements'!D10)</f>
        <v>Plan International</v>
      </c>
      <c r="C6" s="0" t="str">
        <f aca="false">IF('14c. Décaissements'!C10="","",'14c. Décaissements'!E10)</f>
        <v>Tranche An2</v>
      </c>
      <c r="D6" s="173" t="n">
        <f aca="false">IF('14c. Décaissements'!C10="","",'14c. Décaissements'!F10)</f>
        <v>46204</v>
      </c>
      <c r="E6" s="173" t="n">
        <f aca="false">IF('14c. Décaissements'!C10="","",'14c. Décaissements'!G10)</f>
        <v>0</v>
      </c>
      <c r="F6" s="174" t="n">
        <f aca="false">IF('14c. Décaissements'!C10="","",'14c. Décaissements'!H10)</f>
        <v>21000000</v>
      </c>
      <c r="G6" s="174" t="n">
        <f aca="false">IF('14c. Décaissements'!C10="","",'14c. Décaissements'!I10)</f>
        <v>0</v>
      </c>
      <c r="H6" s="0" t="str">
        <f aca="false">IF('14c. Décaissements'!C10="","",'14c. Décaissements'!J10)</f>
        <v>En attente</v>
      </c>
    </row>
    <row r="7" customFormat="false" ht="15" hidden="false" customHeight="false" outlineLevel="0" collapsed="false">
      <c r="A7" s="0" t="str">
        <f aca="false">IF('14c. Décaissements'!C11="","",'14c. Décaissements'!C11)</f>
        <v>SPACE TO LEAD</v>
      </c>
      <c r="B7" s="0" t="str">
        <f aca="false">IF('14c. Décaissements'!C11="","",'14c. Décaissements'!D11)</f>
        <v>Plan International</v>
      </c>
      <c r="C7" s="0" t="str">
        <f aca="false">IF('14c. Décaissements'!C11="","",'14c. Décaissements'!E11)</f>
        <v>Tranche An3 (Solde)</v>
      </c>
      <c r="D7" s="173" t="n">
        <f aca="false">IF('14c. Décaissements'!C11="","",'14c. Décaissements'!F11)</f>
        <v>46569</v>
      </c>
      <c r="E7" s="173" t="n">
        <f aca="false">IF('14c. Décaissements'!C11="","",'14c. Décaissements'!G11)</f>
        <v>0</v>
      </c>
      <c r="F7" s="174" t="n">
        <f aca="false">IF('14c. Décaissements'!C11="","",'14c. Décaissements'!H11)</f>
        <v>21186600</v>
      </c>
      <c r="G7" s="174" t="n">
        <f aca="false">IF('14c. Décaissements'!C11="","",'14c. Décaissements'!I11)</f>
        <v>0</v>
      </c>
      <c r="H7" s="0" t="str">
        <f aca="false">IF('14c. Décaissements'!C11="","",'14c. Décaissements'!J11)</f>
        <v>En attente</v>
      </c>
    </row>
    <row r="8" customFormat="false" ht="15" hidden="false" customHeight="false" outlineLevel="0" collapsed="false">
      <c r="A8" s="0" t="str">
        <f aca="false">IF('14c. Décaissements'!C12="","",'14c. Décaissements'!C12)</f>
        <v/>
      </c>
      <c r="B8" s="0" t="str">
        <f aca="false">IF('14c. Décaissements'!C12="","",'14c. Décaissements'!D12)</f>
        <v/>
      </c>
      <c r="C8" s="0" t="str">
        <f aca="false">IF('14c. Décaissements'!C12="","",'14c. Décaissements'!E12)</f>
        <v/>
      </c>
      <c r="D8" s="173" t="str">
        <f aca="false">IF('14c. Décaissements'!C12="","",'14c. Décaissements'!F12)</f>
        <v/>
      </c>
      <c r="E8" s="173" t="str">
        <f aca="false">IF('14c. Décaissements'!C12="","",'14c. Décaissements'!G12)</f>
        <v/>
      </c>
      <c r="F8" s="174" t="str">
        <f aca="false">IF('14c. Décaissements'!C12="","",'14c. Décaissements'!H12)</f>
        <v/>
      </c>
      <c r="G8" s="174" t="str">
        <f aca="false">IF('14c. Décaissements'!C12="","",'14c. Décaissements'!I12)</f>
        <v/>
      </c>
      <c r="H8" s="0" t="str">
        <f aca="false">IF('14c. Décaissements'!C12="","",'14c. Décaissements'!J12)</f>
        <v/>
      </c>
    </row>
    <row r="9" customFormat="false" ht="15" hidden="false" customHeight="false" outlineLevel="0" collapsed="false">
      <c r="A9" s="0" t="str">
        <f aca="false">IF('14c. Décaissements'!C13="","",'14c. Décaissements'!C13)</f>
        <v/>
      </c>
      <c r="B9" s="0" t="str">
        <f aca="false">IF('14c. Décaissements'!C13="","",'14c. Décaissements'!D13)</f>
        <v/>
      </c>
      <c r="C9" s="0" t="str">
        <f aca="false">IF('14c. Décaissements'!C13="","",'14c. Décaissements'!E13)</f>
        <v/>
      </c>
      <c r="D9" s="173" t="str">
        <f aca="false">IF('14c. Décaissements'!C13="","",'14c. Décaissements'!F13)</f>
        <v/>
      </c>
      <c r="E9" s="173" t="str">
        <f aca="false">IF('14c. Décaissements'!C13="","",'14c. Décaissements'!G13)</f>
        <v/>
      </c>
      <c r="F9" s="174" t="str">
        <f aca="false">IF('14c. Décaissements'!C13="","",'14c. Décaissements'!H13)</f>
        <v/>
      </c>
      <c r="G9" s="174" t="str">
        <f aca="false">IF('14c. Décaissements'!C13="","",'14c. Décaissements'!I13)</f>
        <v/>
      </c>
      <c r="H9" s="0" t="str">
        <f aca="false">IF('14c. Décaissements'!C13="","",'14c. Décaissements'!J13)</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285F4"/>
    <pageSetUpPr fitToPage="false"/>
  </sheetPr>
  <dimension ref="A1:K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
    <col collapsed="false" customWidth="true" hidden="false" outlineLevel="0" max="4" min="3" style="0" width="18"/>
    <col collapsed="false" customWidth="true" hidden="false" outlineLevel="0" max="5" min="5" style="0" width="12"/>
    <col collapsed="false" customWidth="true" hidden="false" outlineLevel="0" max="6" min="6" style="0" width="40"/>
    <col collapsed="false" customWidth="true" hidden="false" outlineLevel="0" max="7" min="7" style="0" width="28"/>
    <col collapsed="false" customWidth="true" hidden="false" outlineLevel="0" max="8" min="8" style="0" width="13"/>
    <col collapsed="false" customWidth="true" hidden="false" outlineLevel="0" max="9" min="9" style="0" width="14"/>
    <col collapsed="false" customWidth="true" hidden="false" outlineLevel="0" max="10" min="10" style="0" width="11"/>
    <col collapsed="false" customWidth="true" hidden="false" outlineLevel="0" max="11" min="11" style="0" width="20"/>
  </cols>
  <sheetData>
    <row r="1" customFormat="false" ht="30" hidden="false" customHeight="true" outlineLevel="0" collapsed="false">
      <c r="A1" s="166" t="s">
        <v>805</v>
      </c>
      <c r="B1" s="166" t="s">
        <v>806</v>
      </c>
      <c r="C1" s="166" t="s">
        <v>1114</v>
      </c>
      <c r="D1" s="166" t="s">
        <v>1115</v>
      </c>
      <c r="E1" s="166" t="s">
        <v>1116</v>
      </c>
      <c r="F1" s="166" t="s">
        <v>1117</v>
      </c>
      <c r="G1" s="166" t="s">
        <v>1118</v>
      </c>
      <c r="H1" s="166" t="s">
        <v>1119</v>
      </c>
      <c r="I1" s="166" t="s">
        <v>813</v>
      </c>
      <c r="J1" s="166" t="s">
        <v>1120</v>
      </c>
      <c r="K1" s="166" t="s">
        <v>1121</v>
      </c>
    </row>
    <row r="2" customFormat="false" ht="15" hidden="false" customHeight="false" outlineLevel="0" collapsed="false">
      <c r="A2" s="0" t="str">
        <f aca="false">IF('K5. Témoignages &amp; Incidents'!C13="","",'K5. Témoignages &amp; Incidents'!C13)</f>
        <v/>
      </c>
      <c r="B2" s="173" t="str">
        <f aca="false">IF('K5. Témoignages &amp; Incidents'!C13="","",'K5. Témoignages &amp; Incidents'!D13)</f>
        <v/>
      </c>
      <c r="C2" s="0" t="str">
        <f aca="false">IF('K5. Témoignages &amp; Incidents'!C13="","",'K5. Témoignages &amp; Incidents'!E13)</f>
        <v/>
      </c>
      <c r="D2" s="0" t="str">
        <f aca="false">IF('K5. Témoignages &amp; Incidents'!C13="","",'K5. Témoignages &amp; Incidents'!F13)</f>
        <v/>
      </c>
      <c r="E2" s="0" t="str">
        <f aca="false">IF('K5. Témoignages &amp; Incidents'!C13="","",'K5. Témoignages &amp; Incidents'!G13)</f>
        <v/>
      </c>
      <c r="F2" s="0" t="str">
        <f aca="false">IF('K5. Témoignages &amp; Incidents'!C13="","",'K5. Témoignages &amp; Incidents'!H13)</f>
        <v/>
      </c>
      <c r="G2" s="0" t="str">
        <f aca="false">IF('K5. Témoignages &amp; Incidents'!C13="","",'K5. Témoignages &amp; Incidents'!I13)</f>
        <v/>
      </c>
      <c r="H2" s="0" t="str">
        <f aca="false">IF('K5. Témoignages &amp; Incidents'!C13="","",'K5. Témoignages &amp; Incidents'!J13)</f>
        <v/>
      </c>
      <c r="I2" s="0" t="str">
        <f aca="false">IF('K5. Témoignages &amp; Incidents'!C13="","",'K5. Témoignages &amp; Incidents'!K13)</f>
        <v/>
      </c>
      <c r="J2" s="0" t="str">
        <f aca="false">IF('K5. Témoignages &amp; Incidents'!C13="","",'K5. Témoignages &amp; Incidents'!L13)</f>
        <v/>
      </c>
      <c r="K2" s="0" t="str">
        <f aca="false">IF('K5. Témoignages &amp; Incidents'!C13="","",'K5. Témoignages &amp; Incidents'!M13)</f>
        <v/>
      </c>
    </row>
    <row r="3" customFormat="false" ht="15" hidden="false" customHeight="false" outlineLevel="0" collapsed="false">
      <c r="A3" s="0" t="str">
        <f aca="false">IF('K5. Témoignages &amp; Incidents'!C14="","",'K5. Témoignages &amp; Incidents'!C14)</f>
        <v/>
      </c>
      <c r="B3" s="173" t="str">
        <f aca="false">IF('K5. Témoignages &amp; Incidents'!C14="","",'K5. Témoignages &amp; Incidents'!D14)</f>
        <v/>
      </c>
      <c r="C3" s="0" t="str">
        <f aca="false">IF('K5. Témoignages &amp; Incidents'!C14="","",'K5. Témoignages &amp; Incidents'!E14)</f>
        <v/>
      </c>
      <c r="D3" s="0" t="str">
        <f aca="false">IF('K5. Témoignages &amp; Incidents'!C14="","",'K5. Témoignages &amp; Incidents'!F14)</f>
        <v/>
      </c>
      <c r="E3" s="0" t="str">
        <f aca="false">IF('K5. Témoignages &amp; Incidents'!C14="","",'K5. Témoignages &amp; Incidents'!G14)</f>
        <v/>
      </c>
      <c r="F3" s="0" t="str">
        <f aca="false">IF('K5. Témoignages &amp; Incidents'!C14="","",'K5. Témoignages &amp; Incidents'!H14)</f>
        <v/>
      </c>
      <c r="G3" s="0" t="str">
        <f aca="false">IF('K5. Témoignages &amp; Incidents'!C14="","",'K5. Témoignages &amp; Incidents'!I14)</f>
        <v/>
      </c>
      <c r="H3" s="0" t="str">
        <f aca="false">IF('K5. Témoignages &amp; Incidents'!C14="","",'K5. Témoignages &amp; Incidents'!J14)</f>
        <v/>
      </c>
      <c r="I3" s="0" t="str">
        <f aca="false">IF('K5. Témoignages &amp; Incidents'!C14="","",'K5. Témoignages &amp; Incidents'!K14)</f>
        <v/>
      </c>
      <c r="J3" s="0" t="str">
        <f aca="false">IF('K5. Témoignages &amp; Incidents'!C14="","",'K5. Témoignages &amp; Incidents'!L14)</f>
        <v/>
      </c>
      <c r="K3" s="0" t="str">
        <f aca="false">IF('K5. Témoignages &amp; Incidents'!C14="","",'K5. Témoignages &amp; Incidents'!M14)</f>
        <v/>
      </c>
    </row>
    <row r="4" customFormat="false" ht="15" hidden="false" customHeight="false" outlineLevel="0" collapsed="false">
      <c r="A4" s="0" t="str">
        <f aca="false">IF('K5. Témoignages &amp; Incidents'!C15="","",'K5. Témoignages &amp; Incidents'!C15)</f>
        <v/>
      </c>
      <c r="B4" s="173" t="str">
        <f aca="false">IF('K5. Témoignages &amp; Incidents'!C15="","",'K5. Témoignages &amp; Incidents'!D15)</f>
        <v/>
      </c>
      <c r="C4" s="0" t="str">
        <f aca="false">IF('K5. Témoignages &amp; Incidents'!C15="","",'K5. Témoignages &amp; Incidents'!E15)</f>
        <v/>
      </c>
      <c r="D4" s="0" t="str">
        <f aca="false">IF('K5. Témoignages &amp; Incidents'!C15="","",'K5. Témoignages &amp; Incidents'!F15)</f>
        <v/>
      </c>
      <c r="E4" s="0" t="str">
        <f aca="false">IF('K5. Témoignages &amp; Incidents'!C15="","",'K5. Témoignages &amp; Incidents'!G15)</f>
        <v/>
      </c>
      <c r="F4" s="0" t="str">
        <f aca="false">IF('K5. Témoignages &amp; Incidents'!C15="","",'K5. Témoignages &amp; Incidents'!H15)</f>
        <v/>
      </c>
      <c r="G4" s="0" t="str">
        <f aca="false">IF('K5. Témoignages &amp; Incidents'!C15="","",'K5. Témoignages &amp; Incidents'!I15)</f>
        <v/>
      </c>
      <c r="H4" s="0" t="str">
        <f aca="false">IF('K5. Témoignages &amp; Incidents'!C15="","",'K5. Témoignages &amp; Incidents'!J15)</f>
        <v/>
      </c>
      <c r="I4" s="0" t="str">
        <f aca="false">IF('K5. Témoignages &amp; Incidents'!C15="","",'K5. Témoignages &amp; Incidents'!K15)</f>
        <v/>
      </c>
      <c r="J4" s="0" t="str">
        <f aca="false">IF('K5. Témoignages &amp; Incidents'!C15="","",'K5. Témoignages &amp; Incidents'!L15)</f>
        <v/>
      </c>
      <c r="K4" s="0" t="str">
        <f aca="false">IF('K5. Témoignages &amp; Incidents'!C15="","",'K5. Témoignages &amp; Incidents'!M15)</f>
        <v/>
      </c>
    </row>
    <row r="5" customFormat="false" ht="15" hidden="false" customHeight="false" outlineLevel="0" collapsed="false">
      <c r="A5" s="0" t="str">
        <f aca="false">IF('K5. Témoignages &amp; Incidents'!C16="","",'K5. Témoignages &amp; Incidents'!C16)</f>
        <v/>
      </c>
      <c r="B5" s="173" t="str">
        <f aca="false">IF('K5. Témoignages &amp; Incidents'!C16="","",'K5. Témoignages &amp; Incidents'!D16)</f>
        <v/>
      </c>
      <c r="C5" s="0" t="str">
        <f aca="false">IF('K5. Témoignages &amp; Incidents'!C16="","",'K5. Témoignages &amp; Incidents'!E16)</f>
        <v/>
      </c>
      <c r="D5" s="0" t="str">
        <f aca="false">IF('K5. Témoignages &amp; Incidents'!C16="","",'K5. Témoignages &amp; Incidents'!F16)</f>
        <v/>
      </c>
      <c r="E5" s="0" t="str">
        <f aca="false">IF('K5. Témoignages &amp; Incidents'!C16="","",'K5. Témoignages &amp; Incidents'!G16)</f>
        <v/>
      </c>
      <c r="F5" s="0" t="str">
        <f aca="false">IF('K5. Témoignages &amp; Incidents'!C16="","",'K5. Témoignages &amp; Incidents'!H16)</f>
        <v/>
      </c>
      <c r="G5" s="0" t="str">
        <f aca="false">IF('K5. Témoignages &amp; Incidents'!C16="","",'K5. Témoignages &amp; Incidents'!I16)</f>
        <v/>
      </c>
      <c r="H5" s="0" t="str">
        <f aca="false">IF('K5. Témoignages &amp; Incidents'!C16="","",'K5. Témoignages &amp; Incidents'!J16)</f>
        <v/>
      </c>
      <c r="I5" s="0" t="str">
        <f aca="false">IF('K5. Témoignages &amp; Incidents'!C16="","",'K5. Témoignages &amp; Incidents'!K16)</f>
        <v/>
      </c>
      <c r="J5" s="0" t="str">
        <f aca="false">IF('K5. Témoignages &amp; Incidents'!C16="","",'K5. Témoignages &amp; Incidents'!L16)</f>
        <v/>
      </c>
      <c r="K5" s="0" t="str">
        <f aca="false">IF('K5. Témoignages &amp; Incidents'!C16="","",'K5. Témoignages &amp; Incidents'!M16)</f>
        <v/>
      </c>
    </row>
    <row r="6" customFormat="false" ht="15" hidden="false" customHeight="false" outlineLevel="0" collapsed="false">
      <c r="A6" s="0" t="str">
        <f aca="false">IF('K5. Témoignages &amp; Incidents'!C17="","",'K5. Témoignages &amp; Incidents'!C17)</f>
        <v/>
      </c>
      <c r="B6" s="173" t="str">
        <f aca="false">IF('K5. Témoignages &amp; Incidents'!C17="","",'K5. Témoignages &amp; Incidents'!D17)</f>
        <v/>
      </c>
      <c r="C6" s="0" t="str">
        <f aca="false">IF('K5. Témoignages &amp; Incidents'!C17="","",'K5. Témoignages &amp; Incidents'!E17)</f>
        <v/>
      </c>
      <c r="D6" s="0" t="str">
        <f aca="false">IF('K5. Témoignages &amp; Incidents'!C17="","",'K5. Témoignages &amp; Incidents'!F17)</f>
        <v/>
      </c>
      <c r="E6" s="0" t="str">
        <f aca="false">IF('K5. Témoignages &amp; Incidents'!C17="","",'K5. Témoignages &amp; Incidents'!G17)</f>
        <v/>
      </c>
      <c r="F6" s="0" t="str">
        <f aca="false">IF('K5. Témoignages &amp; Incidents'!C17="","",'K5. Témoignages &amp; Incidents'!H17)</f>
        <v/>
      </c>
      <c r="G6" s="0" t="str">
        <f aca="false">IF('K5. Témoignages &amp; Incidents'!C17="","",'K5. Témoignages &amp; Incidents'!I17)</f>
        <v/>
      </c>
      <c r="H6" s="0" t="str">
        <f aca="false">IF('K5. Témoignages &amp; Incidents'!C17="","",'K5. Témoignages &amp; Incidents'!J17)</f>
        <v/>
      </c>
      <c r="I6" s="0" t="str">
        <f aca="false">IF('K5. Témoignages &amp; Incidents'!C17="","",'K5. Témoignages &amp; Incidents'!K17)</f>
        <v/>
      </c>
      <c r="J6" s="0" t="str">
        <f aca="false">IF('K5. Témoignages &amp; Incidents'!C17="","",'K5. Témoignages &amp; Incidents'!L17)</f>
        <v/>
      </c>
      <c r="K6" s="0" t="str">
        <f aca="false">IF('K5. Témoignages &amp; Incidents'!C17="","",'K5. Témoignages &amp; Incidents'!M17)</f>
        <v/>
      </c>
    </row>
    <row r="7" customFormat="false" ht="15" hidden="false" customHeight="false" outlineLevel="0" collapsed="false">
      <c r="A7" s="0" t="str">
        <f aca="false">IF('K5. Témoignages &amp; Incidents'!C18="","",'K5. Témoignages &amp; Incidents'!C18)</f>
        <v/>
      </c>
      <c r="B7" s="173" t="str">
        <f aca="false">IF('K5. Témoignages &amp; Incidents'!C18="","",'K5. Témoignages &amp; Incidents'!D18)</f>
        <v/>
      </c>
      <c r="C7" s="0" t="str">
        <f aca="false">IF('K5. Témoignages &amp; Incidents'!C18="","",'K5. Témoignages &amp; Incidents'!E18)</f>
        <v/>
      </c>
      <c r="D7" s="0" t="str">
        <f aca="false">IF('K5. Témoignages &amp; Incidents'!C18="","",'K5. Témoignages &amp; Incidents'!F18)</f>
        <v/>
      </c>
      <c r="E7" s="0" t="str">
        <f aca="false">IF('K5. Témoignages &amp; Incidents'!C18="","",'K5. Témoignages &amp; Incidents'!G18)</f>
        <v/>
      </c>
      <c r="F7" s="0" t="str">
        <f aca="false">IF('K5. Témoignages &amp; Incidents'!C18="","",'K5. Témoignages &amp; Incidents'!H18)</f>
        <v/>
      </c>
      <c r="G7" s="0" t="str">
        <f aca="false">IF('K5. Témoignages &amp; Incidents'!C18="","",'K5. Témoignages &amp; Incidents'!I18)</f>
        <v/>
      </c>
      <c r="H7" s="0" t="str">
        <f aca="false">IF('K5. Témoignages &amp; Incidents'!C18="","",'K5. Témoignages &amp; Incidents'!J18)</f>
        <v/>
      </c>
      <c r="I7" s="0" t="str">
        <f aca="false">IF('K5. Témoignages &amp; Incidents'!C18="","",'K5. Témoignages &amp; Incidents'!K18)</f>
        <v/>
      </c>
      <c r="J7" s="0" t="str">
        <f aca="false">IF('K5. Témoignages &amp; Incidents'!C18="","",'K5. Témoignages &amp; Incidents'!L18)</f>
        <v/>
      </c>
      <c r="K7" s="0" t="str">
        <f aca="false">IF('K5. Témoignages &amp; Incidents'!C18="","",'K5. Témoignages &amp; Incidents'!M18)</f>
        <v/>
      </c>
    </row>
    <row r="8" customFormat="false" ht="15" hidden="false" customHeight="false" outlineLevel="0" collapsed="false">
      <c r="A8" s="0" t="str">
        <f aca="false">IF('K5. Témoignages &amp; Incidents'!C19="","",'K5. Témoignages &amp; Incidents'!C19)</f>
        <v/>
      </c>
      <c r="B8" s="173" t="str">
        <f aca="false">IF('K5. Témoignages &amp; Incidents'!C19="","",'K5. Témoignages &amp; Incidents'!D19)</f>
        <v/>
      </c>
      <c r="C8" s="0" t="str">
        <f aca="false">IF('K5. Témoignages &amp; Incidents'!C19="","",'K5. Témoignages &amp; Incidents'!E19)</f>
        <v/>
      </c>
      <c r="D8" s="0" t="str">
        <f aca="false">IF('K5. Témoignages &amp; Incidents'!C19="","",'K5. Témoignages &amp; Incidents'!F19)</f>
        <v/>
      </c>
      <c r="E8" s="0" t="str">
        <f aca="false">IF('K5. Témoignages &amp; Incidents'!C19="","",'K5. Témoignages &amp; Incidents'!G19)</f>
        <v/>
      </c>
      <c r="F8" s="0" t="str">
        <f aca="false">IF('K5. Témoignages &amp; Incidents'!C19="","",'K5. Témoignages &amp; Incidents'!H19)</f>
        <v/>
      </c>
      <c r="G8" s="0" t="str">
        <f aca="false">IF('K5. Témoignages &amp; Incidents'!C19="","",'K5. Témoignages &amp; Incidents'!I19)</f>
        <v/>
      </c>
      <c r="H8" s="0" t="str">
        <f aca="false">IF('K5. Témoignages &amp; Incidents'!C19="","",'K5. Témoignages &amp; Incidents'!J19)</f>
        <v/>
      </c>
      <c r="I8" s="0" t="str">
        <f aca="false">IF('K5. Témoignages &amp; Incidents'!C19="","",'K5. Témoignages &amp; Incidents'!K19)</f>
        <v/>
      </c>
      <c r="J8" s="0" t="str">
        <f aca="false">IF('K5. Témoignages &amp; Incidents'!C19="","",'K5. Témoignages &amp; Incidents'!L19)</f>
        <v/>
      </c>
      <c r="K8" s="0" t="str">
        <f aca="false">IF('K5. Témoignages &amp; Incidents'!C19="","",'K5. Témoignages &amp; Incidents'!M19)</f>
        <v/>
      </c>
    </row>
    <row r="9" customFormat="false" ht="15" hidden="false" customHeight="false" outlineLevel="0" collapsed="false">
      <c r="A9" s="0" t="str">
        <f aca="false">IF('K5. Témoignages &amp; Incidents'!C20="","",'K5. Témoignages &amp; Incidents'!C20)</f>
        <v/>
      </c>
      <c r="B9" s="173" t="str">
        <f aca="false">IF('K5. Témoignages &amp; Incidents'!C20="","",'K5. Témoignages &amp; Incidents'!D20)</f>
        <v/>
      </c>
      <c r="C9" s="0" t="str">
        <f aca="false">IF('K5. Témoignages &amp; Incidents'!C20="","",'K5. Témoignages &amp; Incidents'!E20)</f>
        <v/>
      </c>
      <c r="D9" s="0" t="str">
        <f aca="false">IF('K5. Témoignages &amp; Incidents'!C20="","",'K5. Témoignages &amp; Incidents'!F20)</f>
        <v/>
      </c>
      <c r="E9" s="0" t="str">
        <f aca="false">IF('K5. Témoignages &amp; Incidents'!C20="","",'K5. Témoignages &amp; Incidents'!G20)</f>
        <v/>
      </c>
      <c r="F9" s="0" t="str">
        <f aca="false">IF('K5. Témoignages &amp; Incidents'!C20="","",'K5. Témoignages &amp; Incidents'!H20)</f>
        <v/>
      </c>
      <c r="G9" s="0" t="str">
        <f aca="false">IF('K5. Témoignages &amp; Incidents'!C20="","",'K5. Témoignages &amp; Incidents'!I20)</f>
        <v/>
      </c>
      <c r="H9" s="0" t="str">
        <f aca="false">IF('K5. Témoignages &amp; Incidents'!C20="","",'K5. Témoignages &amp; Incidents'!J20)</f>
        <v/>
      </c>
      <c r="I9" s="0" t="str">
        <f aca="false">IF('K5. Témoignages &amp; Incidents'!C20="","",'K5. Témoignages &amp; Incidents'!K20)</f>
        <v/>
      </c>
      <c r="J9" s="0" t="str">
        <f aca="false">IF('K5. Témoignages &amp; Incidents'!C20="","",'K5. Témoignages &amp; Incidents'!L20)</f>
        <v/>
      </c>
      <c r="K9" s="0" t="str">
        <f aca="false">IF('K5. Témoignages &amp; Incidents'!C20="","",'K5. Témoignages &amp; Incidents'!M20)</f>
        <v/>
      </c>
    </row>
    <row r="10" customFormat="false" ht="15" hidden="false" customHeight="false" outlineLevel="0" collapsed="false">
      <c r="A10" s="0" t="str">
        <f aca="false">IF('K5. Témoignages &amp; Incidents'!C21="","",'K5. Témoignages &amp; Incidents'!C21)</f>
        <v/>
      </c>
      <c r="B10" s="173" t="str">
        <f aca="false">IF('K5. Témoignages &amp; Incidents'!C21="","",'K5. Témoignages &amp; Incidents'!D21)</f>
        <v/>
      </c>
      <c r="C10" s="0" t="str">
        <f aca="false">IF('K5. Témoignages &amp; Incidents'!C21="","",'K5. Témoignages &amp; Incidents'!E21)</f>
        <v/>
      </c>
      <c r="D10" s="0" t="str">
        <f aca="false">IF('K5. Témoignages &amp; Incidents'!C21="","",'K5. Témoignages &amp; Incidents'!F21)</f>
        <v/>
      </c>
      <c r="E10" s="0" t="str">
        <f aca="false">IF('K5. Témoignages &amp; Incidents'!C21="","",'K5. Témoignages &amp; Incidents'!G21)</f>
        <v/>
      </c>
      <c r="F10" s="0" t="str">
        <f aca="false">IF('K5. Témoignages &amp; Incidents'!C21="","",'K5. Témoignages &amp; Incidents'!H21)</f>
        <v/>
      </c>
      <c r="G10" s="0" t="str">
        <f aca="false">IF('K5. Témoignages &amp; Incidents'!C21="","",'K5. Témoignages &amp; Incidents'!I21)</f>
        <v/>
      </c>
      <c r="H10" s="0" t="str">
        <f aca="false">IF('K5. Témoignages &amp; Incidents'!C21="","",'K5. Témoignages &amp; Incidents'!J21)</f>
        <v/>
      </c>
      <c r="I10" s="0" t="str">
        <f aca="false">IF('K5. Témoignages &amp; Incidents'!C21="","",'K5. Témoignages &amp; Incidents'!K21)</f>
        <v/>
      </c>
      <c r="J10" s="0" t="str">
        <f aca="false">IF('K5. Témoignages &amp; Incidents'!C21="","",'K5. Témoignages &amp; Incidents'!L21)</f>
        <v/>
      </c>
      <c r="K10" s="0" t="str">
        <f aca="false">IF('K5. Témoignages &amp; Incidents'!C21="","",'K5. Témoignages &amp; Incidents'!M21)</f>
        <v/>
      </c>
    </row>
    <row r="11" customFormat="false" ht="15" hidden="false" customHeight="false" outlineLevel="0" collapsed="false">
      <c r="A11" s="0" t="str">
        <f aca="false">IF('K5. Témoignages &amp; Incidents'!C22="","",'K5. Témoignages &amp; Incidents'!C22)</f>
        <v/>
      </c>
      <c r="B11" s="173" t="str">
        <f aca="false">IF('K5. Témoignages &amp; Incidents'!C22="","",'K5. Témoignages &amp; Incidents'!D22)</f>
        <v/>
      </c>
      <c r="C11" s="0" t="str">
        <f aca="false">IF('K5. Témoignages &amp; Incidents'!C22="","",'K5. Témoignages &amp; Incidents'!E22)</f>
        <v/>
      </c>
      <c r="D11" s="0" t="str">
        <f aca="false">IF('K5. Témoignages &amp; Incidents'!C22="","",'K5. Témoignages &amp; Incidents'!F22)</f>
        <v/>
      </c>
      <c r="E11" s="0" t="str">
        <f aca="false">IF('K5. Témoignages &amp; Incidents'!C22="","",'K5. Témoignages &amp; Incidents'!G22)</f>
        <v/>
      </c>
      <c r="F11" s="0" t="str">
        <f aca="false">IF('K5. Témoignages &amp; Incidents'!C22="","",'K5. Témoignages &amp; Incidents'!H22)</f>
        <v/>
      </c>
      <c r="G11" s="0" t="str">
        <f aca="false">IF('K5. Témoignages &amp; Incidents'!C22="","",'K5. Témoignages &amp; Incidents'!I22)</f>
        <v/>
      </c>
      <c r="H11" s="0" t="str">
        <f aca="false">IF('K5. Témoignages &amp; Incidents'!C22="","",'K5. Témoignages &amp; Incidents'!J22)</f>
        <v/>
      </c>
      <c r="I11" s="0" t="str">
        <f aca="false">IF('K5. Témoignages &amp; Incidents'!C22="","",'K5. Témoignages &amp; Incidents'!K22)</f>
        <v/>
      </c>
      <c r="J11" s="0" t="str">
        <f aca="false">IF('K5. Témoignages &amp; Incidents'!C22="","",'K5. Témoignages &amp; Incidents'!L22)</f>
        <v/>
      </c>
      <c r="K11" s="0" t="str">
        <f aca="false">IF('K5. Témoignages &amp; Incidents'!C22="","",'K5. Témoignages &amp; Incidents'!M22)</f>
        <v/>
      </c>
    </row>
    <row r="12" customFormat="false" ht="15" hidden="false" customHeight="false" outlineLevel="0" collapsed="false">
      <c r="A12" s="0" t="str">
        <f aca="false">IF('K5. Témoignages &amp; Incidents'!C23="","",'K5. Témoignages &amp; Incidents'!C23)</f>
        <v/>
      </c>
      <c r="B12" s="173" t="str">
        <f aca="false">IF('K5. Témoignages &amp; Incidents'!C23="","",'K5. Témoignages &amp; Incidents'!D23)</f>
        <v/>
      </c>
      <c r="C12" s="0" t="str">
        <f aca="false">IF('K5. Témoignages &amp; Incidents'!C23="","",'K5. Témoignages &amp; Incidents'!E23)</f>
        <v/>
      </c>
      <c r="D12" s="0" t="str">
        <f aca="false">IF('K5. Témoignages &amp; Incidents'!C23="","",'K5. Témoignages &amp; Incidents'!F23)</f>
        <v/>
      </c>
      <c r="E12" s="0" t="str">
        <f aca="false">IF('K5. Témoignages &amp; Incidents'!C23="","",'K5. Témoignages &amp; Incidents'!G23)</f>
        <v/>
      </c>
      <c r="F12" s="0" t="str">
        <f aca="false">IF('K5. Témoignages &amp; Incidents'!C23="","",'K5. Témoignages &amp; Incidents'!H23)</f>
        <v/>
      </c>
      <c r="G12" s="0" t="str">
        <f aca="false">IF('K5. Témoignages &amp; Incidents'!C23="","",'K5. Témoignages &amp; Incidents'!I23)</f>
        <v/>
      </c>
      <c r="H12" s="0" t="str">
        <f aca="false">IF('K5. Témoignages &amp; Incidents'!C23="","",'K5. Témoignages &amp; Incidents'!J23)</f>
        <v/>
      </c>
      <c r="I12" s="0" t="str">
        <f aca="false">IF('K5. Témoignages &amp; Incidents'!C23="","",'K5. Témoignages &amp; Incidents'!K23)</f>
        <v/>
      </c>
      <c r="J12" s="0" t="str">
        <f aca="false">IF('K5. Témoignages &amp; Incidents'!C23="","",'K5. Témoignages &amp; Incidents'!L23)</f>
        <v/>
      </c>
      <c r="K12" s="0" t="str">
        <f aca="false">IF('K5. Témoignages &amp; Incidents'!C23="","",'K5. Témoignages &amp; Incidents'!M23)</f>
        <v/>
      </c>
    </row>
    <row r="13" customFormat="false" ht="15" hidden="false" customHeight="false" outlineLevel="0" collapsed="false">
      <c r="A13" s="0" t="str">
        <f aca="false">IF('K5. Témoignages &amp; Incidents'!C24="","",'K5. Témoignages &amp; Incidents'!C24)</f>
        <v/>
      </c>
      <c r="B13" s="173" t="str">
        <f aca="false">IF('K5. Témoignages &amp; Incidents'!C24="","",'K5. Témoignages &amp; Incidents'!D24)</f>
        <v/>
      </c>
      <c r="C13" s="0" t="str">
        <f aca="false">IF('K5. Témoignages &amp; Incidents'!C24="","",'K5. Témoignages &amp; Incidents'!E24)</f>
        <v/>
      </c>
      <c r="D13" s="0" t="str">
        <f aca="false">IF('K5. Témoignages &amp; Incidents'!C24="","",'K5. Témoignages &amp; Incidents'!F24)</f>
        <v/>
      </c>
      <c r="E13" s="0" t="str">
        <f aca="false">IF('K5. Témoignages &amp; Incidents'!C24="","",'K5. Témoignages &amp; Incidents'!G24)</f>
        <v/>
      </c>
      <c r="F13" s="0" t="str">
        <f aca="false">IF('K5. Témoignages &amp; Incidents'!C24="","",'K5. Témoignages &amp; Incidents'!H24)</f>
        <v/>
      </c>
      <c r="G13" s="0" t="str">
        <f aca="false">IF('K5. Témoignages &amp; Incidents'!C24="","",'K5. Témoignages &amp; Incidents'!I24)</f>
        <v/>
      </c>
      <c r="H13" s="0" t="str">
        <f aca="false">IF('K5. Témoignages &amp; Incidents'!C24="","",'K5. Témoignages &amp; Incidents'!J24)</f>
        <v/>
      </c>
      <c r="I13" s="0" t="str">
        <f aca="false">IF('K5. Témoignages &amp; Incidents'!C24="","",'K5. Témoignages &amp; Incidents'!K24)</f>
        <v/>
      </c>
      <c r="J13" s="0" t="str">
        <f aca="false">IF('K5. Témoignages &amp; Incidents'!C24="","",'K5. Témoignages &amp; Incidents'!L24)</f>
        <v/>
      </c>
      <c r="K13" s="0" t="str">
        <f aca="false">IF('K5. Témoignages &amp; Incidents'!C24="","",'K5. Témoignages &amp; Incidents'!M24)</f>
        <v/>
      </c>
    </row>
    <row r="14" customFormat="false" ht="15" hidden="false" customHeight="false" outlineLevel="0" collapsed="false">
      <c r="A14" s="0" t="str">
        <f aca="false">IF('K5. Témoignages &amp; Incidents'!C25="","",'K5. Témoignages &amp; Incidents'!C25)</f>
        <v/>
      </c>
      <c r="B14" s="173" t="str">
        <f aca="false">IF('K5. Témoignages &amp; Incidents'!C25="","",'K5. Témoignages &amp; Incidents'!D25)</f>
        <v/>
      </c>
      <c r="C14" s="0" t="str">
        <f aca="false">IF('K5. Témoignages &amp; Incidents'!C25="","",'K5. Témoignages &amp; Incidents'!E25)</f>
        <v/>
      </c>
      <c r="D14" s="0" t="str">
        <f aca="false">IF('K5. Témoignages &amp; Incidents'!C25="","",'K5. Témoignages &amp; Incidents'!F25)</f>
        <v/>
      </c>
      <c r="E14" s="0" t="str">
        <f aca="false">IF('K5. Témoignages &amp; Incidents'!C25="","",'K5. Témoignages &amp; Incidents'!G25)</f>
        <v/>
      </c>
      <c r="F14" s="0" t="str">
        <f aca="false">IF('K5. Témoignages &amp; Incidents'!C25="","",'K5. Témoignages &amp; Incidents'!H25)</f>
        <v/>
      </c>
      <c r="G14" s="0" t="str">
        <f aca="false">IF('K5. Témoignages &amp; Incidents'!C25="","",'K5. Témoignages &amp; Incidents'!I25)</f>
        <v/>
      </c>
      <c r="H14" s="0" t="str">
        <f aca="false">IF('K5. Témoignages &amp; Incidents'!C25="","",'K5. Témoignages &amp; Incidents'!J25)</f>
        <v/>
      </c>
      <c r="I14" s="0" t="str">
        <f aca="false">IF('K5. Témoignages &amp; Incidents'!C25="","",'K5. Témoignages &amp; Incidents'!K25)</f>
        <v/>
      </c>
      <c r="J14" s="0" t="str">
        <f aca="false">IF('K5. Témoignages &amp; Incidents'!C25="","",'K5. Témoignages &amp; Incidents'!L25)</f>
        <v/>
      </c>
      <c r="K14" s="0" t="str">
        <f aca="false">IF('K5. Témoignages &amp; Incidents'!C25="","",'K5. Témoignages &amp; Incidents'!M25)</f>
        <v/>
      </c>
    </row>
    <row r="15" customFormat="false" ht="15" hidden="false" customHeight="false" outlineLevel="0" collapsed="false">
      <c r="A15" s="0" t="str">
        <f aca="false">IF('K5. Témoignages &amp; Incidents'!C26="","",'K5. Témoignages &amp; Incidents'!C26)</f>
        <v/>
      </c>
      <c r="B15" s="173" t="str">
        <f aca="false">IF('K5. Témoignages &amp; Incidents'!C26="","",'K5. Témoignages &amp; Incidents'!D26)</f>
        <v/>
      </c>
      <c r="C15" s="0" t="str">
        <f aca="false">IF('K5. Témoignages &amp; Incidents'!C26="","",'K5. Témoignages &amp; Incidents'!E26)</f>
        <v/>
      </c>
      <c r="D15" s="0" t="str">
        <f aca="false">IF('K5. Témoignages &amp; Incidents'!C26="","",'K5. Témoignages &amp; Incidents'!F26)</f>
        <v/>
      </c>
      <c r="E15" s="0" t="str">
        <f aca="false">IF('K5. Témoignages &amp; Incidents'!C26="","",'K5. Témoignages &amp; Incidents'!G26)</f>
        <v/>
      </c>
      <c r="F15" s="0" t="str">
        <f aca="false">IF('K5. Témoignages &amp; Incidents'!C26="","",'K5. Témoignages &amp; Incidents'!H26)</f>
        <v/>
      </c>
      <c r="G15" s="0" t="str">
        <f aca="false">IF('K5. Témoignages &amp; Incidents'!C26="","",'K5. Témoignages &amp; Incidents'!I26)</f>
        <v/>
      </c>
      <c r="H15" s="0" t="str">
        <f aca="false">IF('K5. Témoignages &amp; Incidents'!C26="","",'K5. Témoignages &amp; Incidents'!J26)</f>
        <v/>
      </c>
      <c r="I15" s="0" t="str">
        <f aca="false">IF('K5. Témoignages &amp; Incidents'!C26="","",'K5. Témoignages &amp; Incidents'!K26)</f>
        <v/>
      </c>
      <c r="J15" s="0" t="str">
        <f aca="false">IF('K5. Témoignages &amp; Incidents'!C26="","",'K5. Témoignages &amp; Incidents'!L26)</f>
        <v/>
      </c>
      <c r="K15" s="0" t="str">
        <f aca="false">IF('K5. Témoignages &amp; Incidents'!C26="","",'K5. Témoignages &amp; Incidents'!M26)</f>
        <v/>
      </c>
    </row>
    <row r="16" customFormat="false" ht="15" hidden="false" customHeight="false" outlineLevel="0" collapsed="false">
      <c r="A16" s="0" t="str">
        <f aca="false">IF('K5. Témoignages &amp; Incidents'!C27="","",'K5. Témoignages &amp; Incidents'!C27)</f>
        <v/>
      </c>
      <c r="B16" s="173" t="str">
        <f aca="false">IF('K5. Témoignages &amp; Incidents'!C27="","",'K5. Témoignages &amp; Incidents'!D27)</f>
        <v/>
      </c>
      <c r="C16" s="0" t="str">
        <f aca="false">IF('K5. Témoignages &amp; Incidents'!C27="","",'K5. Témoignages &amp; Incidents'!E27)</f>
        <v/>
      </c>
      <c r="D16" s="0" t="str">
        <f aca="false">IF('K5. Témoignages &amp; Incidents'!C27="","",'K5. Témoignages &amp; Incidents'!F27)</f>
        <v/>
      </c>
      <c r="E16" s="0" t="str">
        <f aca="false">IF('K5. Témoignages &amp; Incidents'!C27="","",'K5. Témoignages &amp; Incidents'!G27)</f>
        <v/>
      </c>
      <c r="F16" s="0" t="str">
        <f aca="false">IF('K5. Témoignages &amp; Incidents'!C27="","",'K5. Témoignages &amp; Incidents'!H27)</f>
        <v/>
      </c>
      <c r="G16" s="0" t="str">
        <f aca="false">IF('K5. Témoignages &amp; Incidents'!C27="","",'K5. Témoignages &amp; Incidents'!I27)</f>
        <v/>
      </c>
      <c r="H16" s="0" t="str">
        <f aca="false">IF('K5. Témoignages &amp; Incidents'!C27="","",'K5. Témoignages &amp; Incidents'!J27)</f>
        <v/>
      </c>
      <c r="I16" s="0" t="str">
        <f aca="false">IF('K5. Témoignages &amp; Incidents'!C27="","",'K5. Témoignages &amp; Incidents'!K27)</f>
        <v/>
      </c>
      <c r="J16" s="0" t="str">
        <f aca="false">IF('K5. Témoignages &amp; Incidents'!C27="","",'K5. Témoignages &amp; Incidents'!L27)</f>
        <v/>
      </c>
      <c r="K16" s="0" t="str">
        <f aca="false">IF('K5. Témoignages &amp; Incidents'!C27="","",'K5. Témoignages &amp; Incidents'!M27)</f>
        <v/>
      </c>
    </row>
    <row r="17" customFormat="false" ht="15" hidden="false" customHeight="false" outlineLevel="0" collapsed="false">
      <c r="A17" s="0" t="str">
        <f aca="false">IF('K5. Témoignages &amp; Incidents'!C28="","",'K5. Témoignages &amp; Incidents'!C28)</f>
        <v/>
      </c>
      <c r="B17" s="173" t="str">
        <f aca="false">IF('K5. Témoignages &amp; Incidents'!C28="","",'K5. Témoignages &amp; Incidents'!D28)</f>
        <v/>
      </c>
      <c r="C17" s="0" t="str">
        <f aca="false">IF('K5. Témoignages &amp; Incidents'!C28="","",'K5. Témoignages &amp; Incidents'!E28)</f>
        <v/>
      </c>
      <c r="D17" s="0" t="str">
        <f aca="false">IF('K5. Témoignages &amp; Incidents'!C28="","",'K5. Témoignages &amp; Incidents'!F28)</f>
        <v/>
      </c>
      <c r="E17" s="0" t="str">
        <f aca="false">IF('K5. Témoignages &amp; Incidents'!C28="","",'K5. Témoignages &amp; Incidents'!G28)</f>
        <v/>
      </c>
      <c r="F17" s="0" t="str">
        <f aca="false">IF('K5. Témoignages &amp; Incidents'!C28="","",'K5. Témoignages &amp; Incidents'!H28)</f>
        <v/>
      </c>
      <c r="G17" s="0" t="str">
        <f aca="false">IF('K5. Témoignages &amp; Incidents'!C28="","",'K5. Témoignages &amp; Incidents'!I28)</f>
        <v/>
      </c>
      <c r="H17" s="0" t="str">
        <f aca="false">IF('K5. Témoignages &amp; Incidents'!C28="","",'K5. Témoignages &amp; Incidents'!J28)</f>
        <v/>
      </c>
      <c r="I17" s="0" t="str">
        <f aca="false">IF('K5. Témoignages &amp; Incidents'!C28="","",'K5. Témoignages &amp; Incidents'!K28)</f>
        <v/>
      </c>
      <c r="J17" s="0" t="str">
        <f aca="false">IF('K5. Témoignages &amp; Incidents'!C28="","",'K5. Témoignages &amp; Incidents'!L28)</f>
        <v/>
      </c>
      <c r="K17" s="0" t="str">
        <f aca="false">IF('K5. Témoignages &amp; Incidents'!C28="","",'K5. Témoignages &amp; Incidents'!M28)</f>
        <v/>
      </c>
    </row>
    <row r="18" customFormat="false" ht="15" hidden="false" customHeight="false" outlineLevel="0" collapsed="false">
      <c r="A18" s="0" t="str">
        <f aca="false">IF('K5. Témoignages &amp; Incidents'!C29="","",'K5. Témoignages &amp; Incidents'!C29)</f>
        <v/>
      </c>
      <c r="B18" s="173" t="str">
        <f aca="false">IF('K5. Témoignages &amp; Incidents'!C29="","",'K5. Témoignages &amp; Incidents'!D29)</f>
        <v/>
      </c>
      <c r="C18" s="0" t="str">
        <f aca="false">IF('K5. Témoignages &amp; Incidents'!C29="","",'K5. Témoignages &amp; Incidents'!E29)</f>
        <v/>
      </c>
      <c r="D18" s="0" t="str">
        <f aca="false">IF('K5. Témoignages &amp; Incidents'!C29="","",'K5. Témoignages &amp; Incidents'!F29)</f>
        <v/>
      </c>
      <c r="E18" s="0" t="str">
        <f aca="false">IF('K5. Témoignages &amp; Incidents'!C29="","",'K5. Témoignages &amp; Incidents'!G29)</f>
        <v/>
      </c>
      <c r="F18" s="0" t="str">
        <f aca="false">IF('K5. Témoignages &amp; Incidents'!C29="","",'K5. Témoignages &amp; Incidents'!H29)</f>
        <v/>
      </c>
      <c r="G18" s="0" t="str">
        <f aca="false">IF('K5. Témoignages &amp; Incidents'!C29="","",'K5. Témoignages &amp; Incidents'!I29)</f>
        <v/>
      </c>
      <c r="H18" s="0" t="str">
        <f aca="false">IF('K5. Témoignages &amp; Incidents'!C29="","",'K5. Témoignages &amp; Incidents'!J29)</f>
        <v/>
      </c>
      <c r="I18" s="0" t="str">
        <f aca="false">IF('K5. Témoignages &amp; Incidents'!C29="","",'K5. Témoignages &amp; Incidents'!K29)</f>
        <v/>
      </c>
      <c r="J18" s="0" t="str">
        <f aca="false">IF('K5. Témoignages &amp; Incidents'!C29="","",'K5. Témoignages &amp; Incidents'!L29)</f>
        <v/>
      </c>
      <c r="K18" s="0" t="str">
        <f aca="false">IF('K5. Témoignages &amp; Incidents'!C29="","",'K5. Témoignages &amp; Incidents'!M29)</f>
        <v/>
      </c>
    </row>
    <row r="19" customFormat="false" ht="15" hidden="false" customHeight="false" outlineLevel="0" collapsed="false">
      <c r="A19" s="0" t="str">
        <f aca="false">IF('K5. Témoignages &amp; Incidents'!C30="","",'K5. Témoignages &amp; Incidents'!C30)</f>
        <v/>
      </c>
      <c r="B19" s="173" t="str">
        <f aca="false">IF('K5. Témoignages &amp; Incidents'!C30="","",'K5. Témoignages &amp; Incidents'!D30)</f>
        <v/>
      </c>
      <c r="C19" s="0" t="str">
        <f aca="false">IF('K5. Témoignages &amp; Incidents'!C30="","",'K5. Témoignages &amp; Incidents'!E30)</f>
        <v/>
      </c>
      <c r="D19" s="0" t="str">
        <f aca="false">IF('K5. Témoignages &amp; Incidents'!C30="","",'K5. Témoignages &amp; Incidents'!F30)</f>
        <v/>
      </c>
      <c r="E19" s="0" t="str">
        <f aca="false">IF('K5. Témoignages &amp; Incidents'!C30="","",'K5. Témoignages &amp; Incidents'!G30)</f>
        <v/>
      </c>
      <c r="F19" s="0" t="str">
        <f aca="false">IF('K5. Témoignages &amp; Incidents'!C30="","",'K5. Témoignages &amp; Incidents'!H30)</f>
        <v/>
      </c>
      <c r="G19" s="0" t="str">
        <f aca="false">IF('K5. Témoignages &amp; Incidents'!C30="","",'K5. Témoignages &amp; Incidents'!I30)</f>
        <v/>
      </c>
      <c r="H19" s="0" t="str">
        <f aca="false">IF('K5. Témoignages &amp; Incidents'!C30="","",'K5. Témoignages &amp; Incidents'!J30)</f>
        <v/>
      </c>
      <c r="I19" s="0" t="str">
        <f aca="false">IF('K5. Témoignages &amp; Incidents'!C30="","",'K5. Témoignages &amp; Incidents'!K30)</f>
        <v/>
      </c>
      <c r="J19" s="0" t="str">
        <f aca="false">IF('K5. Témoignages &amp; Incidents'!C30="","",'K5. Témoignages &amp; Incidents'!L30)</f>
        <v/>
      </c>
      <c r="K19" s="0" t="str">
        <f aca="false">IF('K5. Témoignages &amp; Incidents'!C30="","",'K5. Témoignages &amp; Incidents'!M30)</f>
        <v/>
      </c>
    </row>
    <row r="20" customFormat="false" ht="15" hidden="false" customHeight="false" outlineLevel="0" collapsed="false">
      <c r="A20" s="0" t="str">
        <f aca="false">IF('K5. Témoignages &amp; Incidents'!C31="","",'K5. Témoignages &amp; Incidents'!C31)</f>
        <v/>
      </c>
      <c r="B20" s="173" t="str">
        <f aca="false">IF('K5. Témoignages &amp; Incidents'!C31="","",'K5. Témoignages &amp; Incidents'!D31)</f>
        <v/>
      </c>
      <c r="C20" s="0" t="str">
        <f aca="false">IF('K5. Témoignages &amp; Incidents'!C31="","",'K5. Témoignages &amp; Incidents'!E31)</f>
        <v/>
      </c>
      <c r="D20" s="0" t="str">
        <f aca="false">IF('K5. Témoignages &amp; Incidents'!C31="","",'K5. Témoignages &amp; Incidents'!F31)</f>
        <v/>
      </c>
      <c r="E20" s="0" t="str">
        <f aca="false">IF('K5. Témoignages &amp; Incidents'!C31="","",'K5. Témoignages &amp; Incidents'!G31)</f>
        <v/>
      </c>
      <c r="F20" s="0" t="str">
        <f aca="false">IF('K5. Témoignages &amp; Incidents'!C31="","",'K5. Témoignages &amp; Incidents'!H31)</f>
        <v/>
      </c>
      <c r="G20" s="0" t="str">
        <f aca="false">IF('K5. Témoignages &amp; Incidents'!C31="","",'K5. Témoignages &amp; Incidents'!I31)</f>
        <v/>
      </c>
      <c r="H20" s="0" t="str">
        <f aca="false">IF('K5. Témoignages &amp; Incidents'!C31="","",'K5. Témoignages &amp; Incidents'!J31)</f>
        <v/>
      </c>
      <c r="I20" s="0" t="str">
        <f aca="false">IF('K5. Témoignages &amp; Incidents'!C31="","",'K5. Témoignages &amp; Incidents'!K31)</f>
        <v/>
      </c>
      <c r="J20" s="0" t="str">
        <f aca="false">IF('K5. Témoignages &amp; Incidents'!C31="","",'K5. Témoignages &amp; Incidents'!L31)</f>
        <v/>
      </c>
      <c r="K20" s="0" t="str">
        <f aca="false">IF('K5. Témoignages &amp; Incidents'!C31="","",'K5. Témoignages &amp; Incidents'!M31)</f>
        <v/>
      </c>
    </row>
    <row r="21" customFormat="false" ht="15" hidden="false" customHeight="false" outlineLevel="0" collapsed="false">
      <c r="A21" s="0" t="str">
        <f aca="false">IF('K5. Témoignages &amp; Incidents'!C32="","",'K5. Témoignages &amp; Incidents'!C32)</f>
        <v/>
      </c>
      <c r="B21" s="173" t="str">
        <f aca="false">IF('K5. Témoignages &amp; Incidents'!C32="","",'K5. Témoignages &amp; Incidents'!D32)</f>
        <v/>
      </c>
      <c r="C21" s="0" t="str">
        <f aca="false">IF('K5. Témoignages &amp; Incidents'!C32="","",'K5. Témoignages &amp; Incidents'!E32)</f>
        <v/>
      </c>
      <c r="D21" s="0" t="str">
        <f aca="false">IF('K5. Témoignages &amp; Incidents'!C32="","",'K5. Témoignages &amp; Incidents'!F32)</f>
        <v/>
      </c>
      <c r="E21" s="0" t="str">
        <f aca="false">IF('K5. Témoignages &amp; Incidents'!C32="","",'K5. Témoignages &amp; Incidents'!G32)</f>
        <v/>
      </c>
      <c r="F21" s="0" t="str">
        <f aca="false">IF('K5. Témoignages &amp; Incidents'!C32="","",'K5. Témoignages &amp; Incidents'!H32)</f>
        <v/>
      </c>
      <c r="G21" s="0" t="str">
        <f aca="false">IF('K5. Témoignages &amp; Incidents'!C32="","",'K5. Témoignages &amp; Incidents'!I32)</f>
        <v/>
      </c>
      <c r="H21" s="0" t="str">
        <f aca="false">IF('K5. Témoignages &amp; Incidents'!C32="","",'K5. Témoignages &amp; Incidents'!J32)</f>
        <v/>
      </c>
      <c r="I21" s="0" t="str">
        <f aca="false">IF('K5. Témoignages &amp; Incidents'!C32="","",'K5. Témoignages &amp; Incidents'!K32)</f>
        <v/>
      </c>
      <c r="J21" s="0" t="str">
        <f aca="false">IF('K5. Témoignages &amp; Incidents'!C32="","",'K5. Témoignages &amp; Incidents'!L32)</f>
        <v/>
      </c>
      <c r="K21" s="0" t="str">
        <f aca="false">IF('K5. Témoignages &amp; Incidents'!C32="","",'K5. Témoignages &amp; Incidents'!M32)</f>
        <v/>
      </c>
    </row>
    <row r="22" customFormat="false" ht="15" hidden="false" customHeight="false" outlineLevel="0" collapsed="false">
      <c r="A22" s="0" t="str">
        <f aca="false">IF('K5. Témoignages &amp; Incidents'!C33="","",'K5. Témoignages &amp; Incidents'!C33)</f>
        <v/>
      </c>
      <c r="B22" s="173" t="str">
        <f aca="false">IF('K5. Témoignages &amp; Incidents'!C33="","",'K5. Témoignages &amp; Incidents'!D33)</f>
        <v/>
      </c>
      <c r="C22" s="0" t="str">
        <f aca="false">IF('K5. Témoignages &amp; Incidents'!C33="","",'K5. Témoignages &amp; Incidents'!E33)</f>
        <v/>
      </c>
      <c r="D22" s="0" t="str">
        <f aca="false">IF('K5. Témoignages &amp; Incidents'!C33="","",'K5. Témoignages &amp; Incidents'!F33)</f>
        <v/>
      </c>
      <c r="E22" s="0" t="str">
        <f aca="false">IF('K5. Témoignages &amp; Incidents'!C33="","",'K5. Témoignages &amp; Incidents'!G33)</f>
        <v/>
      </c>
      <c r="F22" s="0" t="str">
        <f aca="false">IF('K5. Témoignages &amp; Incidents'!C33="","",'K5. Témoignages &amp; Incidents'!H33)</f>
        <v/>
      </c>
      <c r="G22" s="0" t="str">
        <f aca="false">IF('K5. Témoignages &amp; Incidents'!C33="","",'K5. Témoignages &amp; Incidents'!I33)</f>
        <v/>
      </c>
      <c r="H22" s="0" t="str">
        <f aca="false">IF('K5. Témoignages &amp; Incidents'!C33="","",'K5. Témoignages &amp; Incidents'!J33)</f>
        <v/>
      </c>
      <c r="I22" s="0" t="str">
        <f aca="false">IF('K5. Témoignages &amp; Incidents'!C33="","",'K5. Témoignages &amp; Incidents'!K33)</f>
        <v/>
      </c>
      <c r="J22" s="0" t="str">
        <f aca="false">IF('K5. Témoignages &amp; Incidents'!C33="","",'K5. Témoignages &amp; Incidents'!L33)</f>
        <v/>
      </c>
      <c r="K22" s="0" t="str">
        <f aca="false">IF('K5. Témoignages &amp; Incidents'!C33="","",'K5. Témoignages &amp; Incidents'!M33)</f>
        <v/>
      </c>
    </row>
    <row r="23" customFormat="false" ht="15" hidden="false" customHeight="false" outlineLevel="0" collapsed="false">
      <c r="A23" s="0" t="str">
        <f aca="false">IF('K5. Témoignages &amp; Incidents'!C34="","",'K5. Témoignages &amp; Incidents'!C34)</f>
        <v/>
      </c>
      <c r="B23" s="173" t="str">
        <f aca="false">IF('K5. Témoignages &amp; Incidents'!C34="","",'K5. Témoignages &amp; Incidents'!D34)</f>
        <v/>
      </c>
      <c r="C23" s="0" t="str">
        <f aca="false">IF('K5. Témoignages &amp; Incidents'!C34="","",'K5. Témoignages &amp; Incidents'!E34)</f>
        <v/>
      </c>
      <c r="D23" s="0" t="str">
        <f aca="false">IF('K5. Témoignages &amp; Incidents'!C34="","",'K5. Témoignages &amp; Incidents'!F34)</f>
        <v/>
      </c>
      <c r="E23" s="0" t="str">
        <f aca="false">IF('K5. Témoignages &amp; Incidents'!C34="","",'K5. Témoignages &amp; Incidents'!G34)</f>
        <v/>
      </c>
      <c r="F23" s="0" t="str">
        <f aca="false">IF('K5. Témoignages &amp; Incidents'!C34="","",'K5. Témoignages &amp; Incidents'!H34)</f>
        <v/>
      </c>
      <c r="G23" s="0" t="str">
        <f aca="false">IF('K5. Témoignages &amp; Incidents'!C34="","",'K5. Témoignages &amp; Incidents'!I34)</f>
        <v/>
      </c>
      <c r="H23" s="0" t="str">
        <f aca="false">IF('K5. Témoignages &amp; Incidents'!C34="","",'K5. Témoignages &amp; Incidents'!J34)</f>
        <v/>
      </c>
      <c r="I23" s="0" t="str">
        <f aca="false">IF('K5. Témoignages &amp; Incidents'!C34="","",'K5. Témoignages &amp; Incidents'!K34)</f>
        <v/>
      </c>
      <c r="J23" s="0" t="str">
        <f aca="false">IF('K5. Témoignages &amp; Incidents'!C34="","",'K5. Témoignages &amp; Incidents'!L34)</f>
        <v/>
      </c>
      <c r="K23" s="0" t="str">
        <f aca="false">IF('K5. Témoignages &amp; Incidents'!C34="","",'K5. Témoignages &amp; Incidents'!M34)</f>
        <v/>
      </c>
    </row>
    <row r="24" customFormat="false" ht="15" hidden="false" customHeight="false" outlineLevel="0" collapsed="false">
      <c r="A24" s="0" t="str">
        <f aca="false">IF('K5. Témoignages &amp; Incidents'!C35="","",'K5. Témoignages &amp; Incidents'!C35)</f>
        <v/>
      </c>
      <c r="B24" s="173" t="str">
        <f aca="false">IF('K5. Témoignages &amp; Incidents'!C35="","",'K5. Témoignages &amp; Incidents'!D35)</f>
        <v/>
      </c>
      <c r="C24" s="0" t="str">
        <f aca="false">IF('K5. Témoignages &amp; Incidents'!C35="","",'K5. Témoignages &amp; Incidents'!E35)</f>
        <v/>
      </c>
      <c r="D24" s="0" t="str">
        <f aca="false">IF('K5. Témoignages &amp; Incidents'!C35="","",'K5. Témoignages &amp; Incidents'!F35)</f>
        <v/>
      </c>
      <c r="E24" s="0" t="str">
        <f aca="false">IF('K5. Témoignages &amp; Incidents'!C35="","",'K5. Témoignages &amp; Incidents'!G35)</f>
        <v/>
      </c>
      <c r="F24" s="0" t="str">
        <f aca="false">IF('K5. Témoignages &amp; Incidents'!C35="","",'K5. Témoignages &amp; Incidents'!H35)</f>
        <v/>
      </c>
      <c r="G24" s="0" t="str">
        <f aca="false">IF('K5. Témoignages &amp; Incidents'!C35="","",'K5. Témoignages &amp; Incidents'!I35)</f>
        <v/>
      </c>
      <c r="H24" s="0" t="str">
        <f aca="false">IF('K5. Témoignages &amp; Incidents'!C35="","",'K5. Témoignages &amp; Incidents'!J35)</f>
        <v/>
      </c>
      <c r="I24" s="0" t="str">
        <f aca="false">IF('K5. Témoignages &amp; Incidents'!C35="","",'K5. Témoignages &amp; Incidents'!K35)</f>
        <v/>
      </c>
      <c r="J24" s="0" t="str">
        <f aca="false">IF('K5. Témoignages &amp; Incidents'!C35="","",'K5. Témoignages &amp; Incidents'!L35)</f>
        <v/>
      </c>
      <c r="K24" s="0" t="str">
        <f aca="false">IF('K5. Témoignages &amp; Incidents'!C35="","",'K5. Témoignages &amp; Incidents'!M35)</f>
        <v/>
      </c>
    </row>
    <row r="25" customFormat="false" ht="15" hidden="false" customHeight="false" outlineLevel="0" collapsed="false">
      <c r="A25" s="0" t="str">
        <f aca="false">IF('K5. Témoignages &amp; Incidents'!C36="","",'K5. Témoignages &amp; Incidents'!C36)</f>
        <v/>
      </c>
      <c r="B25" s="173" t="str">
        <f aca="false">IF('K5. Témoignages &amp; Incidents'!C36="","",'K5. Témoignages &amp; Incidents'!D36)</f>
        <v/>
      </c>
      <c r="C25" s="0" t="str">
        <f aca="false">IF('K5. Témoignages &amp; Incidents'!C36="","",'K5. Témoignages &amp; Incidents'!E36)</f>
        <v/>
      </c>
      <c r="D25" s="0" t="str">
        <f aca="false">IF('K5. Témoignages &amp; Incidents'!C36="","",'K5. Témoignages &amp; Incidents'!F36)</f>
        <v/>
      </c>
      <c r="E25" s="0" t="str">
        <f aca="false">IF('K5. Témoignages &amp; Incidents'!C36="","",'K5. Témoignages &amp; Incidents'!G36)</f>
        <v/>
      </c>
      <c r="F25" s="0" t="str">
        <f aca="false">IF('K5. Témoignages &amp; Incidents'!C36="","",'K5. Témoignages &amp; Incidents'!H36)</f>
        <v/>
      </c>
      <c r="G25" s="0" t="str">
        <f aca="false">IF('K5. Témoignages &amp; Incidents'!C36="","",'K5. Témoignages &amp; Incidents'!I36)</f>
        <v/>
      </c>
      <c r="H25" s="0" t="str">
        <f aca="false">IF('K5. Témoignages &amp; Incidents'!C36="","",'K5. Témoignages &amp; Incidents'!J36)</f>
        <v/>
      </c>
      <c r="I25" s="0" t="str">
        <f aca="false">IF('K5. Témoignages &amp; Incidents'!C36="","",'K5. Témoignages &amp; Incidents'!K36)</f>
        <v/>
      </c>
      <c r="J25" s="0" t="str">
        <f aca="false">IF('K5. Témoignages &amp; Incidents'!C36="","",'K5. Témoignages &amp; Incidents'!L36)</f>
        <v/>
      </c>
      <c r="K25" s="0" t="str">
        <f aca="false">IF('K5. Témoignages &amp; Incidents'!C36="","",'K5. Témoignages &amp; Incidents'!M36)</f>
        <v/>
      </c>
    </row>
    <row r="26" customFormat="false" ht="15" hidden="false" customHeight="false" outlineLevel="0" collapsed="false">
      <c r="A26" s="0" t="str">
        <f aca="false">IF('K5. Témoignages &amp; Incidents'!C37="","",'K5. Témoignages &amp; Incidents'!C37)</f>
        <v/>
      </c>
      <c r="B26" s="173" t="str">
        <f aca="false">IF('K5. Témoignages &amp; Incidents'!C37="","",'K5. Témoignages &amp; Incidents'!D37)</f>
        <v/>
      </c>
      <c r="C26" s="0" t="str">
        <f aca="false">IF('K5. Témoignages &amp; Incidents'!C37="","",'K5. Témoignages &amp; Incidents'!E37)</f>
        <v/>
      </c>
      <c r="D26" s="0" t="str">
        <f aca="false">IF('K5. Témoignages &amp; Incidents'!C37="","",'K5. Témoignages &amp; Incidents'!F37)</f>
        <v/>
      </c>
      <c r="E26" s="0" t="str">
        <f aca="false">IF('K5. Témoignages &amp; Incidents'!C37="","",'K5. Témoignages &amp; Incidents'!G37)</f>
        <v/>
      </c>
      <c r="F26" s="0" t="str">
        <f aca="false">IF('K5. Témoignages &amp; Incidents'!C37="","",'K5. Témoignages &amp; Incidents'!H37)</f>
        <v/>
      </c>
      <c r="G26" s="0" t="str">
        <f aca="false">IF('K5. Témoignages &amp; Incidents'!C37="","",'K5. Témoignages &amp; Incidents'!I37)</f>
        <v/>
      </c>
      <c r="H26" s="0" t="str">
        <f aca="false">IF('K5. Témoignages &amp; Incidents'!C37="","",'K5. Témoignages &amp; Incidents'!J37)</f>
        <v/>
      </c>
      <c r="I26" s="0" t="str">
        <f aca="false">IF('K5. Témoignages &amp; Incidents'!C37="","",'K5. Témoignages &amp; Incidents'!K37)</f>
        <v/>
      </c>
      <c r="J26" s="0" t="str">
        <f aca="false">IF('K5. Témoignages &amp; Incidents'!C37="","",'K5. Témoignages &amp; Incidents'!L37)</f>
        <v/>
      </c>
      <c r="K26" s="0" t="str">
        <f aca="false">IF('K5. Témoignages &amp; Incidents'!C37="","",'K5. Témoignages &amp; Incidents'!M37)</f>
        <v/>
      </c>
    </row>
    <row r="27" customFormat="false" ht="15" hidden="false" customHeight="false" outlineLevel="0" collapsed="false">
      <c r="A27" s="0" t="str">
        <f aca="false">IF('K5. Témoignages &amp; Incidents'!C38="","",'K5. Témoignages &amp; Incidents'!C38)</f>
        <v/>
      </c>
      <c r="B27" s="173" t="str">
        <f aca="false">IF('K5. Témoignages &amp; Incidents'!C38="","",'K5. Témoignages &amp; Incidents'!D38)</f>
        <v/>
      </c>
      <c r="C27" s="0" t="str">
        <f aca="false">IF('K5. Témoignages &amp; Incidents'!C38="","",'K5. Témoignages &amp; Incidents'!E38)</f>
        <v/>
      </c>
      <c r="D27" s="0" t="str">
        <f aca="false">IF('K5. Témoignages &amp; Incidents'!C38="","",'K5. Témoignages &amp; Incidents'!F38)</f>
        <v/>
      </c>
      <c r="E27" s="0" t="str">
        <f aca="false">IF('K5. Témoignages &amp; Incidents'!C38="","",'K5. Témoignages &amp; Incidents'!G38)</f>
        <v/>
      </c>
      <c r="F27" s="0" t="str">
        <f aca="false">IF('K5. Témoignages &amp; Incidents'!C38="","",'K5. Témoignages &amp; Incidents'!H38)</f>
        <v/>
      </c>
      <c r="G27" s="0" t="str">
        <f aca="false">IF('K5. Témoignages &amp; Incidents'!C38="","",'K5. Témoignages &amp; Incidents'!I38)</f>
        <v/>
      </c>
      <c r="H27" s="0" t="str">
        <f aca="false">IF('K5. Témoignages &amp; Incidents'!C38="","",'K5. Témoignages &amp; Incidents'!J38)</f>
        <v/>
      </c>
      <c r="I27" s="0" t="str">
        <f aca="false">IF('K5. Témoignages &amp; Incidents'!C38="","",'K5. Témoignages &amp; Incidents'!K38)</f>
        <v/>
      </c>
      <c r="J27" s="0" t="str">
        <f aca="false">IF('K5. Témoignages &amp; Incidents'!C38="","",'K5. Témoignages &amp; Incidents'!L38)</f>
        <v/>
      </c>
      <c r="K27" s="0" t="str">
        <f aca="false">IF('K5. Témoignages &amp; Incidents'!C38="","",'K5. Témoignages &amp; Incidents'!M38)</f>
        <v/>
      </c>
    </row>
    <row r="28" customFormat="false" ht="15" hidden="false" customHeight="false" outlineLevel="0" collapsed="false">
      <c r="A28" s="0" t="str">
        <f aca="false">IF('K5. Témoignages &amp; Incidents'!C39="","",'K5. Témoignages &amp; Incidents'!C39)</f>
        <v/>
      </c>
      <c r="B28" s="173" t="str">
        <f aca="false">IF('K5. Témoignages &amp; Incidents'!C39="","",'K5. Témoignages &amp; Incidents'!D39)</f>
        <v/>
      </c>
      <c r="C28" s="0" t="str">
        <f aca="false">IF('K5. Témoignages &amp; Incidents'!C39="","",'K5. Témoignages &amp; Incidents'!E39)</f>
        <v/>
      </c>
      <c r="D28" s="0" t="str">
        <f aca="false">IF('K5. Témoignages &amp; Incidents'!C39="","",'K5. Témoignages &amp; Incidents'!F39)</f>
        <v/>
      </c>
      <c r="E28" s="0" t="str">
        <f aca="false">IF('K5. Témoignages &amp; Incidents'!C39="","",'K5. Témoignages &amp; Incidents'!G39)</f>
        <v/>
      </c>
      <c r="F28" s="0" t="str">
        <f aca="false">IF('K5. Témoignages &amp; Incidents'!C39="","",'K5. Témoignages &amp; Incidents'!H39)</f>
        <v/>
      </c>
      <c r="G28" s="0" t="str">
        <f aca="false">IF('K5. Témoignages &amp; Incidents'!C39="","",'K5. Témoignages &amp; Incidents'!I39)</f>
        <v/>
      </c>
      <c r="H28" s="0" t="str">
        <f aca="false">IF('K5. Témoignages &amp; Incidents'!C39="","",'K5. Témoignages &amp; Incidents'!J39)</f>
        <v/>
      </c>
      <c r="I28" s="0" t="str">
        <f aca="false">IF('K5. Témoignages &amp; Incidents'!C39="","",'K5. Témoignages &amp; Incidents'!K39)</f>
        <v/>
      </c>
      <c r="J28" s="0" t="str">
        <f aca="false">IF('K5. Témoignages &amp; Incidents'!C39="","",'K5. Témoignages &amp; Incidents'!L39)</f>
        <v/>
      </c>
      <c r="K28" s="0" t="str">
        <f aca="false">IF('K5. Témoignages &amp; Incidents'!C39="","",'K5. Témoignages &amp; Incidents'!M39)</f>
        <v/>
      </c>
    </row>
    <row r="29" customFormat="false" ht="15" hidden="false" customHeight="false" outlineLevel="0" collapsed="false">
      <c r="A29" s="0" t="str">
        <f aca="false">IF('K5. Témoignages &amp; Incidents'!C40="","",'K5. Témoignages &amp; Incidents'!C40)</f>
        <v/>
      </c>
      <c r="B29" s="173" t="str">
        <f aca="false">IF('K5. Témoignages &amp; Incidents'!C40="","",'K5. Témoignages &amp; Incidents'!D40)</f>
        <v/>
      </c>
      <c r="C29" s="0" t="str">
        <f aca="false">IF('K5. Témoignages &amp; Incidents'!C40="","",'K5. Témoignages &amp; Incidents'!E40)</f>
        <v/>
      </c>
      <c r="D29" s="0" t="str">
        <f aca="false">IF('K5. Témoignages &amp; Incidents'!C40="","",'K5. Témoignages &amp; Incidents'!F40)</f>
        <v/>
      </c>
      <c r="E29" s="0" t="str">
        <f aca="false">IF('K5. Témoignages &amp; Incidents'!C40="","",'K5. Témoignages &amp; Incidents'!G40)</f>
        <v/>
      </c>
      <c r="F29" s="0" t="str">
        <f aca="false">IF('K5. Témoignages &amp; Incidents'!C40="","",'K5. Témoignages &amp; Incidents'!H40)</f>
        <v/>
      </c>
      <c r="G29" s="0" t="str">
        <f aca="false">IF('K5. Témoignages &amp; Incidents'!C40="","",'K5. Témoignages &amp; Incidents'!I40)</f>
        <v/>
      </c>
      <c r="H29" s="0" t="str">
        <f aca="false">IF('K5. Témoignages &amp; Incidents'!C40="","",'K5. Témoignages &amp; Incidents'!J40)</f>
        <v/>
      </c>
      <c r="I29" s="0" t="str">
        <f aca="false">IF('K5. Témoignages &amp; Incidents'!C40="","",'K5. Témoignages &amp; Incidents'!K40)</f>
        <v/>
      </c>
      <c r="J29" s="0" t="str">
        <f aca="false">IF('K5. Témoignages &amp; Incidents'!C40="","",'K5. Témoignages &amp; Incidents'!L40)</f>
        <v/>
      </c>
      <c r="K29" s="0" t="str">
        <f aca="false">IF('K5. Témoignages &amp; Incidents'!C40="","",'K5. Témoignages &amp; Incidents'!M40)</f>
        <v/>
      </c>
    </row>
    <row r="30" customFormat="false" ht="15" hidden="false" customHeight="false" outlineLevel="0" collapsed="false">
      <c r="A30" s="0" t="str">
        <f aca="false">IF('K5. Témoignages &amp; Incidents'!C41="","",'K5. Témoignages &amp; Incidents'!C41)</f>
        <v/>
      </c>
      <c r="B30" s="173" t="str">
        <f aca="false">IF('K5. Témoignages &amp; Incidents'!C41="","",'K5. Témoignages &amp; Incidents'!D41)</f>
        <v/>
      </c>
      <c r="C30" s="0" t="str">
        <f aca="false">IF('K5. Témoignages &amp; Incidents'!C41="","",'K5. Témoignages &amp; Incidents'!E41)</f>
        <v/>
      </c>
      <c r="D30" s="0" t="str">
        <f aca="false">IF('K5. Témoignages &amp; Incidents'!C41="","",'K5. Témoignages &amp; Incidents'!F41)</f>
        <v/>
      </c>
      <c r="E30" s="0" t="str">
        <f aca="false">IF('K5. Témoignages &amp; Incidents'!C41="","",'K5. Témoignages &amp; Incidents'!G41)</f>
        <v/>
      </c>
      <c r="F30" s="0" t="str">
        <f aca="false">IF('K5. Témoignages &amp; Incidents'!C41="","",'K5. Témoignages &amp; Incidents'!H41)</f>
        <v/>
      </c>
      <c r="G30" s="0" t="str">
        <f aca="false">IF('K5. Témoignages &amp; Incidents'!C41="","",'K5. Témoignages &amp; Incidents'!I41)</f>
        <v/>
      </c>
      <c r="H30" s="0" t="str">
        <f aca="false">IF('K5. Témoignages &amp; Incidents'!C41="","",'K5. Témoignages &amp; Incidents'!J41)</f>
        <v/>
      </c>
      <c r="I30" s="0" t="str">
        <f aca="false">IF('K5. Témoignages &amp; Incidents'!C41="","",'K5. Témoignages &amp; Incidents'!K41)</f>
        <v/>
      </c>
      <c r="J30" s="0" t="str">
        <f aca="false">IF('K5. Témoignages &amp; Incidents'!C41="","",'K5. Témoignages &amp; Incidents'!L41)</f>
        <v/>
      </c>
      <c r="K30" s="0" t="str">
        <f aca="false">IF('K5. Témoignages &amp; Incidents'!C41="","",'K5. Témoignages &amp; Incidents'!M41)</f>
        <v/>
      </c>
    </row>
    <row r="31" customFormat="false" ht="15" hidden="false" customHeight="false" outlineLevel="0" collapsed="false">
      <c r="A31" s="0" t="str">
        <f aca="false">IF('K5. Témoignages &amp; Incidents'!C42="","",'K5. Témoignages &amp; Incidents'!C42)</f>
        <v/>
      </c>
      <c r="B31" s="173" t="str">
        <f aca="false">IF('K5. Témoignages &amp; Incidents'!C42="","",'K5. Témoignages &amp; Incidents'!D42)</f>
        <v/>
      </c>
      <c r="C31" s="0" t="str">
        <f aca="false">IF('K5. Témoignages &amp; Incidents'!C42="","",'K5. Témoignages &amp; Incidents'!E42)</f>
        <v/>
      </c>
      <c r="D31" s="0" t="str">
        <f aca="false">IF('K5. Témoignages &amp; Incidents'!C42="","",'K5. Témoignages &amp; Incidents'!F42)</f>
        <v/>
      </c>
      <c r="E31" s="0" t="str">
        <f aca="false">IF('K5. Témoignages &amp; Incidents'!C42="","",'K5. Témoignages &amp; Incidents'!G42)</f>
        <v/>
      </c>
      <c r="F31" s="0" t="str">
        <f aca="false">IF('K5. Témoignages &amp; Incidents'!C42="","",'K5. Témoignages &amp; Incidents'!H42)</f>
        <v/>
      </c>
      <c r="G31" s="0" t="str">
        <f aca="false">IF('K5. Témoignages &amp; Incidents'!C42="","",'K5. Témoignages &amp; Incidents'!I42)</f>
        <v/>
      </c>
      <c r="H31" s="0" t="str">
        <f aca="false">IF('K5. Témoignages &amp; Incidents'!C42="","",'K5. Témoignages &amp; Incidents'!J42)</f>
        <v/>
      </c>
      <c r="I31" s="0" t="str">
        <f aca="false">IF('K5. Témoignages &amp; Incidents'!C42="","",'K5. Témoignages &amp; Incidents'!K42)</f>
        <v/>
      </c>
      <c r="J31" s="0" t="str">
        <f aca="false">IF('K5. Témoignages &amp; Incidents'!C42="","",'K5. Témoignages &amp; Incidents'!L42)</f>
        <v/>
      </c>
      <c r="K31" s="0" t="str">
        <f aca="false">IF('K5. Témoignages &amp; Incidents'!C42="","",'K5. Témoignages &amp; Incidents'!M42)</f>
        <v/>
      </c>
    </row>
    <row r="32" customFormat="false" ht="15" hidden="false" customHeight="false" outlineLevel="0" collapsed="false">
      <c r="A32" s="0" t="str">
        <f aca="false">IF('K5. Témoignages &amp; Incidents'!C43="","",'K5. Témoignages &amp; Incidents'!C43)</f>
        <v/>
      </c>
      <c r="B32" s="173" t="str">
        <f aca="false">IF('K5. Témoignages &amp; Incidents'!C43="","",'K5. Témoignages &amp; Incidents'!D43)</f>
        <v/>
      </c>
      <c r="C32" s="0" t="str">
        <f aca="false">IF('K5. Témoignages &amp; Incidents'!C43="","",'K5. Témoignages &amp; Incidents'!E43)</f>
        <v/>
      </c>
      <c r="D32" s="0" t="str">
        <f aca="false">IF('K5. Témoignages &amp; Incidents'!C43="","",'K5. Témoignages &amp; Incidents'!F43)</f>
        <v/>
      </c>
      <c r="E32" s="0" t="str">
        <f aca="false">IF('K5. Témoignages &amp; Incidents'!C43="","",'K5. Témoignages &amp; Incidents'!G43)</f>
        <v/>
      </c>
      <c r="F32" s="0" t="str">
        <f aca="false">IF('K5. Témoignages &amp; Incidents'!C43="","",'K5. Témoignages &amp; Incidents'!H43)</f>
        <v/>
      </c>
      <c r="G32" s="0" t="str">
        <f aca="false">IF('K5. Témoignages &amp; Incidents'!C43="","",'K5. Témoignages &amp; Incidents'!I43)</f>
        <v/>
      </c>
      <c r="H32" s="0" t="str">
        <f aca="false">IF('K5. Témoignages &amp; Incidents'!C43="","",'K5. Témoignages &amp; Incidents'!J43)</f>
        <v/>
      </c>
      <c r="I32" s="0" t="str">
        <f aca="false">IF('K5. Témoignages &amp; Incidents'!C43="","",'K5. Témoignages &amp; Incidents'!K43)</f>
        <v/>
      </c>
      <c r="J32" s="0" t="str">
        <f aca="false">IF('K5. Témoignages &amp; Incidents'!C43="","",'K5. Témoignages &amp; Incidents'!L43)</f>
        <v/>
      </c>
      <c r="K32" s="0" t="str">
        <f aca="false">IF('K5. Témoignages &amp; Incidents'!C43="","",'K5. Témoignages &amp; Incidents'!M43)</f>
        <v/>
      </c>
    </row>
    <row r="33" customFormat="false" ht="15" hidden="false" customHeight="false" outlineLevel="0" collapsed="false">
      <c r="A33" s="0" t="str">
        <f aca="false">IF('K5. Témoignages &amp; Incidents'!C44="","",'K5. Témoignages &amp; Incidents'!C44)</f>
        <v/>
      </c>
      <c r="B33" s="173" t="str">
        <f aca="false">IF('K5. Témoignages &amp; Incidents'!C44="","",'K5. Témoignages &amp; Incidents'!D44)</f>
        <v/>
      </c>
      <c r="C33" s="0" t="str">
        <f aca="false">IF('K5. Témoignages &amp; Incidents'!C44="","",'K5. Témoignages &amp; Incidents'!E44)</f>
        <v/>
      </c>
      <c r="D33" s="0" t="str">
        <f aca="false">IF('K5. Témoignages &amp; Incidents'!C44="","",'K5. Témoignages &amp; Incidents'!F44)</f>
        <v/>
      </c>
      <c r="E33" s="0" t="str">
        <f aca="false">IF('K5. Témoignages &amp; Incidents'!C44="","",'K5. Témoignages &amp; Incidents'!G44)</f>
        <v/>
      </c>
      <c r="F33" s="0" t="str">
        <f aca="false">IF('K5. Témoignages &amp; Incidents'!C44="","",'K5. Témoignages &amp; Incidents'!H44)</f>
        <v/>
      </c>
      <c r="G33" s="0" t="str">
        <f aca="false">IF('K5. Témoignages &amp; Incidents'!C44="","",'K5. Témoignages &amp; Incidents'!I44)</f>
        <v/>
      </c>
      <c r="H33" s="0" t="str">
        <f aca="false">IF('K5. Témoignages &amp; Incidents'!C44="","",'K5. Témoignages &amp; Incidents'!J44)</f>
        <v/>
      </c>
      <c r="I33" s="0" t="str">
        <f aca="false">IF('K5. Témoignages &amp; Incidents'!C44="","",'K5. Témoignages &amp; Incidents'!K44)</f>
        <v/>
      </c>
      <c r="J33" s="0" t="str">
        <f aca="false">IF('K5. Témoignages &amp; Incidents'!C44="","",'K5. Témoignages &amp; Incidents'!L44)</f>
        <v/>
      </c>
      <c r="K33" s="0" t="str">
        <f aca="false">IF('K5. Témoignages &amp; Incidents'!C44="","",'K5. Témoignages &amp; Incidents'!M44)</f>
        <v/>
      </c>
    </row>
    <row r="34" customFormat="false" ht="15" hidden="false" customHeight="false" outlineLevel="0" collapsed="false">
      <c r="A34" s="0" t="str">
        <f aca="false">IF('K5. Témoignages &amp; Incidents'!C45="","",'K5. Témoignages &amp; Incidents'!C45)</f>
        <v/>
      </c>
      <c r="B34" s="173" t="str">
        <f aca="false">IF('K5. Témoignages &amp; Incidents'!C45="","",'K5. Témoignages &amp; Incidents'!D45)</f>
        <v/>
      </c>
      <c r="C34" s="0" t="str">
        <f aca="false">IF('K5. Témoignages &amp; Incidents'!C45="","",'K5. Témoignages &amp; Incidents'!E45)</f>
        <v/>
      </c>
      <c r="D34" s="0" t="str">
        <f aca="false">IF('K5. Témoignages &amp; Incidents'!C45="","",'K5. Témoignages &amp; Incidents'!F45)</f>
        <v/>
      </c>
      <c r="E34" s="0" t="str">
        <f aca="false">IF('K5. Témoignages &amp; Incidents'!C45="","",'K5. Témoignages &amp; Incidents'!G45)</f>
        <v/>
      </c>
      <c r="F34" s="0" t="str">
        <f aca="false">IF('K5. Témoignages &amp; Incidents'!C45="","",'K5. Témoignages &amp; Incidents'!H45)</f>
        <v/>
      </c>
      <c r="G34" s="0" t="str">
        <f aca="false">IF('K5. Témoignages &amp; Incidents'!C45="","",'K5. Témoignages &amp; Incidents'!I45)</f>
        <v/>
      </c>
      <c r="H34" s="0" t="str">
        <f aca="false">IF('K5. Témoignages &amp; Incidents'!C45="","",'K5. Témoignages &amp; Incidents'!J45)</f>
        <v/>
      </c>
      <c r="I34" s="0" t="str">
        <f aca="false">IF('K5. Témoignages &amp; Incidents'!C45="","",'K5. Témoignages &amp; Incidents'!K45)</f>
        <v/>
      </c>
      <c r="J34" s="0" t="str">
        <f aca="false">IF('K5. Témoignages &amp; Incidents'!C45="","",'K5. Témoignages &amp; Incidents'!L45)</f>
        <v/>
      </c>
      <c r="K34" s="0" t="str">
        <f aca="false">IF('K5. Témoignages &amp; Incidents'!C45="","",'K5. Témoignages &amp; Incidents'!M45)</f>
        <v/>
      </c>
    </row>
    <row r="35" customFormat="false" ht="15" hidden="false" customHeight="false" outlineLevel="0" collapsed="false">
      <c r="A35" s="0" t="str">
        <f aca="false">IF('K5. Témoignages &amp; Incidents'!C46="","",'K5. Témoignages &amp; Incidents'!C46)</f>
        <v/>
      </c>
      <c r="B35" s="173" t="str">
        <f aca="false">IF('K5. Témoignages &amp; Incidents'!C46="","",'K5. Témoignages &amp; Incidents'!D46)</f>
        <v/>
      </c>
      <c r="C35" s="0" t="str">
        <f aca="false">IF('K5. Témoignages &amp; Incidents'!C46="","",'K5. Témoignages &amp; Incidents'!E46)</f>
        <v/>
      </c>
      <c r="D35" s="0" t="str">
        <f aca="false">IF('K5. Témoignages &amp; Incidents'!C46="","",'K5. Témoignages &amp; Incidents'!F46)</f>
        <v/>
      </c>
      <c r="E35" s="0" t="str">
        <f aca="false">IF('K5. Témoignages &amp; Incidents'!C46="","",'K5. Témoignages &amp; Incidents'!G46)</f>
        <v/>
      </c>
      <c r="F35" s="0" t="str">
        <f aca="false">IF('K5. Témoignages &amp; Incidents'!C46="","",'K5. Témoignages &amp; Incidents'!H46)</f>
        <v/>
      </c>
      <c r="G35" s="0" t="str">
        <f aca="false">IF('K5. Témoignages &amp; Incidents'!C46="","",'K5. Témoignages &amp; Incidents'!I46)</f>
        <v/>
      </c>
      <c r="H35" s="0" t="str">
        <f aca="false">IF('K5. Témoignages &amp; Incidents'!C46="","",'K5. Témoignages &amp; Incidents'!J46)</f>
        <v/>
      </c>
      <c r="I35" s="0" t="str">
        <f aca="false">IF('K5. Témoignages &amp; Incidents'!C46="","",'K5. Témoignages &amp; Incidents'!K46)</f>
        <v/>
      </c>
      <c r="J35" s="0" t="str">
        <f aca="false">IF('K5. Témoignages &amp; Incidents'!C46="","",'K5. Témoignages &amp; Incidents'!L46)</f>
        <v/>
      </c>
      <c r="K35" s="0" t="str">
        <f aca="false">IF('K5. Témoignages &amp; Incidents'!C46="","",'K5. Témoignages &amp; Incidents'!M46)</f>
        <v/>
      </c>
    </row>
    <row r="36" customFormat="false" ht="15" hidden="false" customHeight="false" outlineLevel="0" collapsed="false">
      <c r="A36" s="0" t="str">
        <f aca="false">IF('K5. Témoignages &amp; Incidents'!C47="","",'K5. Témoignages &amp; Incidents'!C47)</f>
        <v/>
      </c>
      <c r="B36" s="173" t="str">
        <f aca="false">IF('K5. Témoignages &amp; Incidents'!C47="","",'K5. Témoignages &amp; Incidents'!D47)</f>
        <v/>
      </c>
      <c r="C36" s="0" t="str">
        <f aca="false">IF('K5. Témoignages &amp; Incidents'!C47="","",'K5. Témoignages &amp; Incidents'!E47)</f>
        <v/>
      </c>
      <c r="D36" s="0" t="str">
        <f aca="false">IF('K5. Témoignages &amp; Incidents'!C47="","",'K5. Témoignages &amp; Incidents'!F47)</f>
        <v/>
      </c>
      <c r="E36" s="0" t="str">
        <f aca="false">IF('K5. Témoignages &amp; Incidents'!C47="","",'K5. Témoignages &amp; Incidents'!G47)</f>
        <v/>
      </c>
      <c r="F36" s="0" t="str">
        <f aca="false">IF('K5. Témoignages &amp; Incidents'!C47="","",'K5. Témoignages &amp; Incidents'!H47)</f>
        <v/>
      </c>
      <c r="G36" s="0" t="str">
        <f aca="false">IF('K5. Témoignages &amp; Incidents'!C47="","",'K5. Témoignages &amp; Incidents'!I47)</f>
        <v/>
      </c>
      <c r="H36" s="0" t="str">
        <f aca="false">IF('K5. Témoignages &amp; Incidents'!C47="","",'K5. Témoignages &amp; Incidents'!J47)</f>
        <v/>
      </c>
      <c r="I36" s="0" t="str">
        <f aca="false">IF('K5. Témoignages &amp; Incidents'!C47="","",'K5. Témoignages &amp; Incidents'!K47)</f>
        <v/>
      </c>
      <c r="J36" s="0" t="str">
        <f aca="false">IF('K5. Témoignages &amp; Incidents'!C47="","",'K5. Témoignages &amp; Incidents'!L47)</f>
        <v/>
      </c>
      <c r="K36" s="0" t="str">
        <f aca="false">IF('K5. Témoignages &amp; Incidents'!C47="","",'K5. Témoignages &amp; Incidents'!M47)</f>
        <v/>
      </c>
    </row>
    <row r="37" customFormat="false" ht="15" hidden="false" customHeight="false" outlineLevel="0" collapsed="false">
      <c r="A37" s="0" t="str">
        <f aca="false">IF('K5. Témoignages &amp; Incidents'!C48="","",'K5. Témoignages &amp; Incidents'!C48)</f>
        <v/>
      </c>
      <c r="B37" s="173" t="str">
        <f aca="false">IF('K5. Témoignages &amp; Incidents'!C48="","",'K5. Témoignages &amp; Incidents'!D48)</f>
        <v/>
      </c>
      <c r="C37" s="0" t="str">
        <f aca="false">IF('K5. Témoignages &amp; Incidents'!C48="","",'K5. Témoignages &amp; Incidents'!E48)</f>
        <v/>
      </c>
      <c r="D37" s="0" t="str">
        <f aca="false">IF('K5. Témoignages &amp; Incidents'!C48="","",'K5. Témoignages &amp; Incidents'!F48)</f>
        <v/>
      </c>
      <c r="E37" s="0" t="str">
        <f aca="false">IF('K5. Témoignages &amp; Incidents'!C48="","",'K5. Témoignages &amp; Incidents'!G48)</f>
        <v/>
      </c>
      <c r="F37" s="0" t="str">
        <f aca="false">IF('K5. Témoignages &amp; Incidents'!C48="","",'K5. Témoignages &amp; Incidents'!H48)</f>
        <v/>
      </c>
      <c r="G37" s="0" t="str">
        <f aca="false">IF('K5. Témoignages &amp; Incidents'!C48="","",'K5. Témoignages &amp; Incidents'!I48)</f>
        <v/>
      </c>
      <c r="H37" s="0" t="str">
        <f aca="false">IF('K5. Témoignages &amp; Incidents'!C48="","",'K5. Témoignages &amp; Incidents'!J48)</f>
        <v/>
      </c>
      <c r="I37" s="0" t="str">
        <f aca="false">IF('K5. Témoignages &amp; Incidents'!C48="","",'K5. Témoignages &amp; Incidents'!K48)</f>
        <v/>
      </c>
      <c r="J37" s="0" t="str">
        <f aca="false">IF('K5. Témoignages &amp; Incidents'!C48="","",'K5. Témoignages &amp; Incidents'!L48)</f>
        <v/>
      </c>
      <c r="K37" s="0" t="str">
        <f aca="false">IF('K5. Témoignages &amp; Incidents'!C48="","",'K5. Témoignages &amp; Incidents'!M48)</f>
        <v/>
      </c>
    </row>
    <row r="38" customFormat="false" ht="15" hidden="false" customHeight="false" outlineLevel="0" collapsed="false">
      <c r="A38" s="0" t="str">
        <f aca="false">IF('K5. Témoignages &amp; Incidents'!C49="","",'K5. Témoignages &amp; Incidents'!C49)</f>
        <v/>
      </c>
      <c r="B38" s="173" t="str">
        <f aca="false">IF('K5. Témoignages &amp; Incidents'!C49="","",'K5. Témoignages &amp; Incidents'!D49)</f>
        <v/>
      </c>
      <c r="C38" s="0" t="str">
        <f aca="false">IF('K5. Témoignages &amp; Incidents'!C49="","",'K5. Témoignages &amp; Incidents'!E49)</f>
        <v/>
      </c>
      <c r="D38" s="0" t="str">
        <f aca="false">IF('K5. Témoignages &amp; Incidents'!C49="","",'K5. Témoignages &amp; Incidents'!F49)</f>
        <v/>
      </c>
      <c r="E38" s="0" t="str">
        <f aca="false">IF('K5. Témoignages &amp; Incidents'!C49="","",'K5. Témoignages &amp; Incidents'!G49)</f>
        <v/>
      </c>
      <c r="F38" s="0" t="str">
        <f aca="false">IF('K5. Témoignages &amp; Incidents'!C49="","",'K5. Témoignages &amp; Incidents'!H49)</f>
        <v/>
      </c>
      <c r="G38" s="0" t="str">
        <f aca="false">IF('K5. Témoignages &amp; Incidents'!C49="","",'K5. Témoignages &amp; Incidents'!I49)</f>
        <v/>
      </c>
      <c r="H38" s="0" t="str">
        <f aca="false">IF('K5. Témoignages &amp; Incidents'!C49="","",'K5. Témoignages &amp; Incidents'!J49)</f>
        <v/>
      </c>
      <c r="I38" s="0" t="str">
        <f aca="false">IF('K5. Témoignages &amp; Incidents'!C49="","",'K5. Témoignages &amp; Incidents'!K49)</f>
        <v/>
      </c>
      <c r="J38" s="0" t="str">
        <f aca="false">IF('K5. Témoignages &amp; Incidents'!C49="","",'K5. Témoignages &amp; Incidents'!L49)</f>
        <v/>
      </c>
      <c r="K38" s="0" t="str">
        <f aca="false">IF('K5. Témoignages &amp; Incidents'!C49="","",'K5. Témoignages &amp; Incidents'!M49)</f>
        <v/>
      </c>
    </row>
    <row r="39" customFormat="false" ht="15" hidden="false" customHeight="false" outlineLevel="0" collapsed="false">
      <c r="A39" s="0" t="str">
        <f aca="false">IF('K5. Témoignages &amp; Incidents'!C50="","",'K5. Témoignages &amp; Incidents'!C50)</f>
        <v/>
      </c>
      <c r="B39" s="173" t="str">
        <f aca="false">IF('K5. Témoignages &amp; Incidents'!C50="","",'K5. Témoignages &amp; Incidents'!D50)</f>
        <v/>
      </c>
      <c r="C39" s="0" t="str">
        <f aca="false">IF('K5. Témoignages &amp; Incidents'!C50="","",'K5. Témoignages &amp; Incidents'!E50)</f>
        <v/>
      </c>
      <c r="D39" s="0" t="str">
        <f aca="false">IF('K5. Témoignages &amp; Incidents'!C50="","",'K5. Témoignages &amp; Incidents'!F50)</f>
        <v/>
      </c>
      <c r="E39" s="0" t="str">
        <f aca="false">IF('K5. Témoignages &amp; Incidents'!C50="","",'K5. Témoignages &amp; Incidents'!G50)</f>
        <v/>
      </c>
      <c r="F39" s="0" t="str">
        <f aca="false">IF('K5. Témoignages &amp; Incidents'!C50="","",'K5. Témoignages &amp; Incidents'!H50)</f>
        <v/>
      </c>
      <c r="G39" s="0" t="str">
        <f aca="false">IF('K5. Témoignages &amp; Incidents'!C50="","",'K5. Témoignages &amp; Incidents'!I50)</f>
        <v/>
      </c>
      <c r="H39" s="0" t="str">
        <f aca="false">IF('K5. Témoignages &amp; Incidents'!C50="","",'K5. Témoignages &amp; Incidents'!J50)</f>
        <v/>
      </c>
      <c r="I39" s="0" t="str">
        <f aca="false">IF('K5. Témoignages &amp; Incidents'!C50="","",'K5. Témoignages &amp; Incidents'!K50)</f>
        <v/>
      </c>
      <c r="J39" s="0" t="str">
        <f aca="false">IF('K5. Témoignages &amp; Incidents'!C50="","",'K5. Témoignages &amp; Incidents'!L50)</f>
        <v/>
      </c>
      <c r="K39" s="0" t="str">
        <f aca="false">IF('K5. Témoignages &amp; Incidents'!C50="","",'K5. Témoignages &amp; Incidents'!M50)</f>
        <v/>
      </c>
    </row>
    <row r="40" customFormat="false" ht="15" hidden="false" customHeight="false" outlineLevel="0" collapsed="false">
      <c r="A40" s="0" t="str">
        <f aca="false">IF('K5. Témoignages &amp; Incidents'!C51="","",'K5. Témoignages &amp; Incidents'!C51)</f>
        <v/>
      </c>
      <c r="B40" s="173" t="str">
        <f aca="false">IF('K5. Témoignages &amp; Incidents'!C51="","",'K5. Témoignages &amp; Incidents'!D51)</f>
        <v/>
      </c>
      <c r="C40" s="0" t="str">
        <f aca="false">IF('K5. Témoignages &amp; Incidents'!C51="","",'K5. Témoignages &amp; Incidents'!E51)</f>
        <v/>
      </c>
      <c r="D40" s="0" t="str">
        <f aca="false">IF('K5. Témoignages &amp; Incidents'!C51="","",'K5. Témoignages &amp; Incidents'!F51)</f>
        <v/>
      </c>
      <c r="E40" s="0" t="str">
        <f aca="false">IF('K5. Témoignages &amp; Incidents'!C51="","",'K5. Témoignages &amp; Incidents'!G51)</f>
        <v/>
      </c>
      <c r="F40" s="0" t="str">
        <f aca="false">IF('K5. Témoignages &amp; Incidents'!C51="","",'K5. Témoignages &amp; Incidents'!H51)</f>
        <v/>
      </c>
      <c r="G40" s="0" t="str">
        <f aca="false">IF('K5. Témoignages &amp; Incidents'!C51="","",'K5. Témoignages &amp; Incidents'!I51)</f>
        <v/>
      </c>
      <c r="H40" s="0" t="str">
        <f aca="false">IF('K5. Témoignages &amp; Incidents'!C51="","",'K5. Témoignages &amp; Incidents'!J51)</f>
        <v/>
      </c>
      <c r="I40" s="0" t="str">
        <f aca="false">IF('K5. Témoignages &amp; Incidents'!C51="","",'K5. Témoignages &amp; Incidents'!K51)</f>
        <v/>
      </c>
      <c r="J40" s="0" t="str">
        <f aca="false">IF('K5. Témoignages &amp; Incidents'!C51="","",'K5. Témoignages &amp; Incidents'!L51)</f>
        <v/>
      </c>
      <c r="K40" s="0" t="str">
        <f aca="false">IF('K5. Témoignages &amp; Incidents'!C51="","",'K5. Témoignages &amp; Incidents'!M51)</f>
        <v/>
      </c>
    </row>
    <row r="41" customFormat="false" ht="15" hidden="false" customHeight="false" outlineLevel="0" collapsed="false">
      <c r="A41" s="0" t="str">
        <f aca="false">IF('K5. Témoignages &amp; Incidents'!C52="","",'K5. Témoignages &amp; Incidents'!C52)</f>
        <v/>
      </c>
      <c r="B41" s="173" t="str">
        <f aca="false">IF('K5. Témoignages &amp; Incidents'!C52="","",'K5. Témoignages &amp; Incidents'!D52)</f>
        <v/>
      </c>
      <c r="C41" s="0" t="str">
        <f aca="false">IF('K5. Témoignages &amp; Incidents'!C52="","",'K5. Témoignages &amp; Incidents'!E52)</f>
        <v/>
      </c>
      <c r="D41" s="0" t="str">
        <f aca="false">IF('K5. Témoignages &amp; Incidents'!C52="","",'K5. Témoignages &amp; Incidents'!F52)</f>
        <v/>
      </c>
      <c r="E41" s="0" t="str">
        <f aca="false">IF('K5. Témoignages &amp; Incidents'!C52="","",'K5. Témoignages &amp; Incidents'!G52)</f>
        <v/>
      </c>
      <c r="F41" s="0" t="str">
        <f aca="false">IF('K5. Témoignages &amp; Incidents'!C52="","",'K5. Témoignages &amp; Incidents'!H52)</f>
        <v/>
      </c>
      <c r="G41" s="0" t="str">
        <f aca="false">IF('K5. Témoignages &amp; Incidents'!C52="","",'K5. Témoignages &amp; Incidents'!I52)</f>
        <v/>
      </c>
      <c r="H41" s="0" t="str">
        <f aca="false">IF('K5. Témoignages &amp; Incidents'!C52="","",'K5. Témoignages &amp; Incidents'!J52)</f>
        <v/>
      </c>
      <c r="I41" s="0" t="str">
        <f aca="false">IF('K5. Témoignages &amp; Incidents'!C52="","",'K5. Témoignages &amp; Incidents'!K52)</f>
        <v/>
      </c>
      <c r="J41" s="0" t="str">
        <f aca="false">IF('K5. Témoignages &amp; Incidents'!C52="","",'K5. Témoignages &amp; Incidents'!L52)</f>
        <v/>
      </c>
      <c r="K41" s="0" t="str">
        <f aca="false">IF('K5. Témoignages &amp; Incidents'!C52="","",'K5. Témoignages &amp; Incidents'!M52)</f>
        <v/>
      </c>
    </row>
    <row r="42" customFormat="false" ht="15" hidden="false" customHeight="false" outlineLevel="0" collapsed="false">
      <c r="A42" s="0" t="str">
        <f aca="false">IF('K5. Témoignages &amp; Incidents'!C53="","",'K5. Témoignages &amp; Incidents'!C53)</f>
        <v/>
      </c>
      <c r="B42" s="173" t="str">
        <f aca="false">IF('K5. Témoignages &amp; Incidents'!C53="","",'K5. Témoignages &amp; Incidents'!D53)</f>
        <v/>
      </c>
      <c r="C42" s="0" t="str">
        <f aca="false">IF('K5. Témoignages &amp; Incidents'!C53="","",'K5. Témoignages &amp; Incidents'!E53)</f>
        <v/>
      </c>
      <c r="D42" s="0" t="str">
        <f aca="false">IF('K5. Témoignages &amp; Incidents'!C53="","",'K5. Témoignages &amp; Incidents'!F53)</f>
        <v/>
      </c>
      <c r="E42" s="0" t="str">
        <f aca="false">IF('K5. Témoignages &amp; Incidents'!C53="","",'K5. Témoignages &amp; Incidents'!G53)</f>
        <v/>
      </c>
      <c r="F42" s="0" t="str">
        <f aca="false">IF('K5. Témoignages &amp; Incidents'!C53="","",'K5. Témoignages &amp; Incidents'!H53)</f>
        <v/>
      </c>
      <c r="G42" s="0" t="str">
        <f aca="false">IF('K5. Témoignages &amp; Incidents'!C53="","",'K5. Témoignages &amp; Incidents'!I53)</f>
        <v/>
      </c>
      <c r="H42" s="0" t="str">
        <f aca="false">IF('K5. Témoignages &amp; Incidents'!C53="","",'K5. Témoignages &amp; Incidents'!J53)</f>
        <v/>
      </c>
      <c r="I42" s="0" t="str">
        <f aca="false">IF('K5. Témoignages &amp; Incidents'!C53="","",'K5. Témoignages &amp; Incidents'!K53)</f>
        <v/>
      </c>
      <c r="J42" s="0" t="str">
        <f aca="false">IF('K5. Témoignages &amp; Incidents'!C53="","",'K5. Témoignages &amp; Incidents'!L53)</f>
        <v/>
      </c>
      <c r="K42" s="0" t="str">
        <f aca="false">IF('K5. Témoignages &amp; Incidents'!C53="","",'K5. Témoignages &amp; Incidents'!M53)</f>
        <v/>
      </c>
    </row>
    <row r="43" customFormat="false" ht="15" hidden="false" customHeight="false" outlineLevel="0" collapsed="false">
      <c r="A43" s="0" t="str">
        <f aca="false">IF('K5. Témoignages &amp; Incidents'!C54="","",'K5. Témoignages &amp; Incidents'!C54)</f>
        <v/>
      </c>
      <c r="B43" s="173" t="str">
        <f aca="false">IF('K5. Témoignages &amp; Incidents'!C54="","",'K5. Témoignages &amp; Incidents'!D54)</f>
        <v/>
      </c>
      <c r="C43" s="0" t="str">
        <f aca="false">IF('K5. Témoignages &amp; Incidents'!C54="","",'K5. Témoignages &amp; Incidents'!E54)</f>
        <v/>
      </c>
      <c r="D43" s="0" t="str">
        <f aca="false">IF('K5. Témoignages &amp; Incidents'!C54="","",'K5. Témoignages &amp; Incidents'!F54)</f>
        <v/>
      </c>
      <c r="E43" s="0" t="str">
        <f aca="false">IF('K5. Témoignages &amp; Incidents'!C54="","",'K5. Témoignages &amp; Incidents'!G54)</f>
        <v/>
      </c>
      <c r="F43" s="0" t="str">
        <f aca="false">IF('K5. Témoignages &amp; Incidents'!C54="","",'K5. Témoignages &amp; Incidents'!H54)</f>
        <v/>
      </c>
      <c r="G43" s="0" t="str">
        <f aca="false">IF('K5. Témoignages &amp; Incidents'!C54="","",'K5. Témoignages &amp; Incidents'!I54)</f>
        <v/>
      </c>
      <c r="H43" s="0" t="str">
        <f aca="false">IF('K5. Témoignages &amp; Incidents'!C54="","",'K5. Témoignages &amp; Incidents'!J54)</f>
        <v/>
      </c>
      <c r="I43" s="0" t="str">
        <f aca="false">IF('K5. Témoignages &amp; Incidents'!C54="","",'K5. Témoignages &amp; Incidents'!K54)</f>
        <v/>
      </c>
      <c r="J43" s="0" t="str">
        <f aca="false">IF('K5. Témoignages &amp; Incidents'!C54="","",'K5. Témoignages &amp; Incidents'!L54)</f>
        <v/>
      </c>
      <c r="K43" s="0" t="str">
        <f aca="false">IF('K5. Témoignages &amp; Incidents'!C54="","",'K5. Témoignages &amp; Incidents'!M54)</f>
        <v/>
      </c>
    </row>
    <row r="44" customFormat="false" ht="15" hidden="false" customHeight="false" outlineLevel="0" collapsed="false">
      <c r="A44" s="0" t="str">
        <f aca="false">IF('K5. Témoignages &amp; Incidents'!C55="","",'K5. Témoignages &amp; Incidents'!C55)</f>
        <v/>
      </c>
      <c r="B44" s="173" t="str">
        <f aca="false">IF('K5. Témoignages &amp; Incidents'!C55="","",'K5. Témoignages &amp; Incidents'!D55)</f>
        <v/>
      </c>
      <c r="C44" s="0" t="str">
        <f aca="false">IF('K5. Témoignages &amp; Incidents'!C55="","",'K5. Témoignages &amp; Incidents'!E55)</f>
        <v/>
      </c>
      <c r="D44" s="0" t="str">
        <f aca="false">IF('K5. Témoignages &amp; Incidents'!C55="","",'K5. Témoignages &amp; Incidents'!F55)</f>
        <v/>
      </c>
      <c r="E44" s="0" t="str">
        <f aca="false">IF('K5. Témoignages &amp; Incidents'!C55="","",'K5. Témoignages &amp; Incidents'!G55)</f>
        <v/>
      </c>
      <c r="F44" s="0" t="str">
        <f aca="false">IF('K5. Témoignages &amp; Incidents'!C55="","",'K5. Témoignages &amp; Incidents'!H55)</f>
        <v/>
      </c>
      <c r="G44" s="0" t="str">
        <f aca="false">IF('K5. Témoignages &amp; Incidents'!C55="","",'K5. Témoignages &amp; Incidents'!I55)</f>
        <v/>
      </c>
      <c r="H44" s="0" t="str">
        <f aca="false">IF('K5. Témoignages &amp; Incidents'!C55="","",'K5. Témoignages &amp; Incidents'!J55)</f>
        <v/>
      </c>
      <c r="I44" s="0" t="str">
        <f aca="false">IF('K5. Témoignages &amp; Incidents'!C55="","",'K5. Témoignages &amp; Incidents'!K55)</f>
        <v/>
      </c>
      <c r="J44" s="0" t="str">
        <f aca="false">IF('K5. Témoignages &amp; Incidents'!C55="","",'K5. Témoignages &amp; Incidents'!L55)</f>
        <v/>
      </c>
      <c r="K44" s="0" t="str">
        <f aca="false">IF('K5. Témoignages &amp; Incidents'!C55="","",'K5. Témoignages &amp; Incidents'!M55)</f>
        <v/>
      </c>
    </row>
    <row r="45" customFormat="false" ht="15" hidden="false" customHeight="false" outlineLevel="0" collapsed="false">
      <c r="A45" s="0" t="str">
        <f aca="false">IF('K5. Témoignages &amp; Incidents'!C56="","",'K5. Témoignages &amp; Incidents'!C56)</f>
        <v/>
      </c>
      <c r="B45" s="173" t="str">
        <f aca="false">IF('K5. Témoignages &amp; Incidents'!C56="","",'K5. Témoignages &amp; Incidents'!D56)</f>
        <v/>
      </c>
      <c r="C45" s="0" t="str">
        <f aca="false">IF('K5. Témoignages &amp; Incidents'!C56="","",'K5. Témoignages &amp; Incidents'!E56)</f>
        <v/>
      </c>
      <c r="D45" s="0" t="str">
        <f aca="false">IF('K5. Témoignages &amp; Incidents'!C56="","",'K5. Témoignages &amp; Incidents'!F56)</f>
        <v/>
      </c>
      <c r="E45" s="0" t="str">
        <f aca="false">IF('K5. Témoignages &amp; Incidents'!C56="","",'K5. Témoignages &amp; Incidents'!G56)</f>
        <v/>
      </c>
      <c r="F45" s="0" t="str">
        <f aca="false">IF('K5. Témoignages &amp; Incidents'!C56="","",'K5. Témoignages &amp; Incidents'!H56)</f>
        <v/>
      </c>
      <c r="G45" s="0" t="str">
        <f aca="false">IF('K5. Témoignages &amp; Incidents'!C56="","",'K5. Témoignages &amp; Incidents'!I56)</f>
        <v/>
      </c>
      <c r="H45" s="0" t="str">
        <f aca="false">IF('K5. Témoignages &amp; Incidents'!C56="","",'K5. Témoignages &amp; Incidents'!J56)</f>
        <v/>
      </c>
      <c r="I45" s="0" t="str">
        <f aca="false">IF('K5. Témoignages &amp; Incidents'!C56="","",'K5. Témoignages &amp; Incidents'!K56)</f>
        <v/>
      </c>
      <c r="J45" s="0" t="str">
        <f aca="false">IF('K5. Témoignages &amp; Incidents'!C56="","",'K5. Témoignages &amp; Incidents'!L56)</f>
        <v/>
      </c>
      <c r="K45" s="0" t="str">
        <f aca="false">IF('K5. Témoignages &amp; Incidents'!C56="","",'K5. Témoignages &amp; Incidents'!M56)</f>
        <v/>
      </c>
    </row>
    <row r="46" customFormat="false" ht="15" hidden="false" customHeight="false" outlineLevel="0" collapsed="false">
      <c r="A46" s="0" t="str">
        <f aca="false">IF('K5. Témoignages &amp; Incidents'!C57="","",'K5. Témoignages &amp; Incidents'!C57)</f>
        <v/>
      </c>
      <c r="B46" s="173" t="str">
        <f aca="false">IF('K5. Témoignages &amp; Incidents'!C57="","",'K5. Témoignages &amp; Incidents'!D57)</f>
        <v/>
      </c>
      <c r="C46" s="0" t="str">
        <f aca="false">IF('K5. Témoignages &amp; Incidents'!C57="","",'K5. Témoignages &amp; Incidents'!E57)</f>
        <v/>
      </c>
      <c r="D46" s="0" t="str">
        <f aca="false">IF('K5. Témoignages &amp; Incidents'!C57="","",'K5. Témoignages &amp; Incidents'!F57)</f>
        <v/>
      </c>
      <c r="E46" s="0" t="str">
        <f aca="false">IF('K5. Témoignages &amp; Incidents'!C57="","",'K5. Témoignages &amp; Incidents'!G57)</f>
        <v/>
      </c>
      <c r="F46" s="0" t="str">
        <f aca="false">IF('K5. Témoignages &amp; Incidents'!C57="","",'K5. Témoignages &amp; Incidents'!H57)</f>
        <v/>
      </c>
      <c r="G46" s="0" t="str">
        <f aca="false">IF('K5. Témoignages &amp; Incidents'!C57="","",'K5. Témoignages &amp; Incidents'!I57)</f>
        <v/>
      </c>
      <c r="H46" s="0" t="str">
        <f aca="false">IF('K5. Témoignages &amp; Incidents'!C57="","",'K5. Témoignages &amp; Incidents'!J57)</f>
        <v/>
      </c>
      <c r="I46" s="0" t="str">
        <f aca="false">IF('K5. Témoignages &amp; Incidents'!C57="","",'K5. Témoignages &amp; Incidents'!K57)</f>
        <v/>
      </c>
      <c r="J46" s="0" t="str">
        <f aca="false">IF('K5. Témoignages &amp; Incidents'!C57="","",'K5. Témoignages &amp; Incidents'!L57)</f>
        <v/>
      </c>
      <c r="K46" s="0" t="str">
        <f aca="false">IF('K5. Témoignages &amp; Incidents'!C57="","",'K5. Témoignages &amp; Incidents'!M57)</f>
        <v/>
      </c>
    </row>
    <row r="47" customFormat="false" ht="15" hidden="false" customHeight="false" outlineLevel="0" collapsed="false">
      <c r="A47" s="0" t="str">
        <f aca="false">IF('K5. Témoignages &amp; Incidents'!C58="","",'K5. Témoignages &amp; Incidents'!C58)</f>
        <v/>
      </c>
      <c r="B47" s="173" t="str">
        <f aca="false">IF('K5. Témoignages &amp; Incidents'!C58="","",'K5. Témoignages &amp; Incidents'!D58)</f>
        <v/>
      </c>
      <c r="C47" s="0" t="str">
        <f aca="false">IF('K5. Témoignages &amp; Incidents'!C58="","",'K5. Témoignages &amp; Incidents'!E58)</f>
        <v/>
      </c>
      <c r="D47" s="0" t="str">
        <f aca="false">IF('K5. Témoignages &amp; Incidents'!C58="","",'K5. Témoignages &amp; Incidents'!F58)</f>
        <v/>
      </c>
      <c r="E47" s="0" t="str">
        <f aca="false">IF('K5. Témoignages &amp; Incidents'!C58="","",'K5. Témoignages &amp; Incidents'!G58)</f>
        <v/>
      </c>
      <c r="F47" s="0" t="str">
        <f aca="false">IF('K5. Témoignages &amp; Incidents'!C58="","",'K5. Témoignages &amp; Incidents'!H58)</f>
        <v/>
      </c>
      <c r="G47" s="0" t="str">
        <f aca="false">IF('K5. Témoignages &amp; Incidents'!C58="","",'K5. Témoignages &amp; Incidents'!I58)</f>
        <v/>
      </c>
      <c r="H47" s="0" t="str">
        <f aca="false">IF('K5. Témoignages &amp; Incidents'!C58="","",'K5. Témoignages &amp; Incidents'!J58)</f>
        <v/>
      </c>
      <c r="I47" s="0" t="str">
        <f aca="false">IF('K5. Témoignages &amp; Incidents'!C58="","",'K5. Témoignages &amp; Incidents'!K58)</f>
        <v/>
      </c>
      <c r="J47" s="0" t="str">
        <f aca="false">IF('K5. Témoignages &amp; Incidents'!C58="","",'K5. Témoignages &amp; Incidents'!L58)</f>
        <v/>
      </c>
      <c r="K47" s="0" t="str">
        <f aca="false">IF('K5. Témoignages &amp; Incidents'!C58="","",'K5. Témoignages &amp; Incidents'!M58)</f>
        <v/>
      </c>
    </row>
    <row r="48" customFormat="false" ht="15" hidden="false" customHeight="false" outlineLevel="0" collapsed="false">
      <c r="A48" s="0" t="str">
        <f aca="false">IF('K5. Témoignages &amp; Incidents'!C59="","",'K5. Témoignages &amp; Incidents'!C59)</f>
        <v/>
      </c>
      <c r="B48" s="173" t="str">
        <f aca="false">IF('K5. Témoignages &amp; Incidents'!C59="","",'K5. Témoignages &amp; Incidents'!D59)</f>
        <v/>
      </c>
      <c r="C48" s="0" t="str">
        <f aca="false">IF('K5. Témoignages &amp; Incidents'!C59="","",'K5. Témoignages &amp; Incidents'!E59)</f>
        <v/>
      </c>
      <c r="D48" s="0" t="str">
        <f aca="false">IF('K5. Témoignages &amp; Incidents'!C59="","",'K5. Témoignages &amp; Incidents'!F59)</f>
        <v/>
      </c>
      <c r="E48" s="0" t="str">
        <f aca="false">IF('K5. Témoignages &amp; Incidents'!C59="","",'K5. Témoignages &amp; Incidents'!G59)</f>
        <v/>
      </c>
      <c r="F48" s="0" t="str">
        <f aca="false">IF('K5. Témoignages &amp; Incidents'!C59="","",'K5. Témoignages &amp; Incidents'!H59)</f>
        <v/>
      </c>
      <c r="G48" s="0" t="str">
        <f aca="false">IF('K5. Témoignages &amp; Incidents'!C59="","",'K5. Témoignages &amp; Incidents'!I59)</f>
        <v/>
      </c>
      <c r="H48" s="0" t="str">
        <f aca="false">IF('K5. Témoignages &amp; Incidents'!C59="","",'K5. Témoignages &amp; Incidents'!J59)</f>
        <v/>
      </c>
      <c r="I48" s="0" t="str">
        <f aca="false">IF('K5. Témoignages &amp; Incidents'!C59="","",'K5. Témoignages &amp; Incidents'!K59)</f>
        <v/>
      </c>
      <c r="J48" s="0" t="str">
        <f aca="false">IF('K5. Témoignages &amp; Incidents'!C59="","",'K5. Témoignages &amp; Incidents'!L59)</f>
        <v/>
      </c>
      <c r="K48" s="0" t="str">
        <f aca="false">IF('K5. Témoignages &amp; Incidents'!C59="","",'K5. Témoignages &amp; Incidents'!M59)</f>
        <v/>
      </c>
    </row>
    <row r="49" customFormat="false" ht="15" hidden="false" customHeight="false" outlineLevel="0" collapsed="false">
      <c r="A49" s="0" t="str">
        <f aca="false">IF('K5. Témoignages &amp; Incidents'!C60="","",'K5. Témoignages &amp; Incidents'!C60)</f>
        <v/>
      </c>
      <c r="B49" s="173" t="str">
        <f aca="false">IF('K5. Témoignages &amp; Incidents'!C60="","",'K5. Témoignages &amp; Incidents'!D60)</f>
        <v/>
      </c>
      <c r="C49" s="0" t="str">
        <f aca="false">IF('K5. Témoignages &amp; Incidents'!C60="","",'K5. Témoignages &amp; Incidents'!E60)</f>
        <v/>
      </c>
      <c r="D49" s="0" t="str">
        <f aca="false">IF('K5. Témoignages &amp; Incidents'!C60="","",'K5. Témoignages &amp; Incidents'!F60)</f>
        <v/>
      </c>
      <c r="E49" s="0" t="str">
        <f aca="false">IF('K5. Témoignages &amp; Incidents'!C60="","",'K5. Témoignages &amp; Incidents'!G60)</f>
        <v/>
      </c>
      <c r="F49" s="0" t="str">
        <f aca="false">IF('K5. Témoignages &amp; Incidents'!C60="","",'K5. Témoignages &amp; Incidents'!H60)</f>
        <v/>
      </c>
      <c r="G49" s="0" t="str">
        <f aca="false">IF('K5. Témoignages &amp; Incidents'!C60="","",'K5. Témoignages &amp; Incidents'!I60)</f>
        <v/>
      </c>
      <c r="H49" s="0" t="str">
        <f aca="false">IF('K5. Témoignages &amp; Incidents'!C60="","",'K5. Témoignages &amp; Incidents'!J60)</f>
        <v/>
      </c>
      <c r="I49" s="0" t="str">
        <f aca="false">IF('K5. Témoignages &amp; Incidents'!C60="","",'K5. Témoignages &amp; Incidents'!K60)</f>
        <v/>
      </c>
      <c r="J49" s="0" t="str">
        <f aca="false">IF('K5. Témoignages &amp; Incidents'!C60="","",'K5. Témoignages &amp; Incidents'!L60)</f>
        <v/>
      </c>
      <c r="K49" s="0" t="str">
        <f aca="false">IF('K5. Témoignages &amp; Incidents'!C60="","",'K5. Témoignages &amp; Incidents'!M60)</f>
        <v/>
      </c>
    </row>
    <row r="50" customFormat="false" ht="15" hidden="false" customHeight="false" outlineLevel="0" collapsed="false">
      <c r="A50" s="0" t="str">
        <f aca="false">IF('K5. Témoignages &amp; Incidents'!C61="","",'K5. Témoignages &amp; Incidents'!C61)</f>
        <v/>
      </c>
      <c r="B50" s="173" t="str">
        <f aca="false">IF('K5. Témoignages &amp; Incidents'!C61="","",'K5. Témoignages &amp; Incidents'!D61)</f>
        <v/>
      </c>
      <c r="C50" s="0" t="str">
        <f aca="false">IF('K5. Témoignages &amp; Incidents'!C61="","",'K5. Témoignages &amp; Incidents'!E61)</f>
        <v/>
      </c>
      <c r="D50" s="0" t="str">
        <f aca="false">IF('K5. Témoignages &amp; Incidents'!C61="","",'K5. Témoignages &amp; Incidents'!F61)</f>
        <v/>
      </c>
      <c r="E50" s="0" t="str">
        <f aca="false">IF('K5. Témoignages &amp; Incidents'!C61="","",'K5. Témoignages &amp; Incidents'!G61)</f>
        <v/>
      </c>
      <c r="F50" s="0" t="str">
        <f aca="false">IF('K5. Témoignages &amp; Incidents'!C61="","",'K5. Témoignages &amp; Incidents'!H61)</f>
        <v/>
      </c>
      <c r="G50" s="0" t="str">
        <f aca="false">IF('K5. Témoignages &amp; Incidents'!C61="","",'K5. Témoignages &amp; Incidents'!I61)</f>
        <v/>
      </c>
      <c r="H50" s="0" t="str">
        <f aca="false">IF('K5. Témoignages &amp; Incidents'!C61="","",'K5. Témoignages &amp; Incidents'!J61)</f>
        <v/>
      </c>
      <c r="I50" s="0" t="str">
        <f aca="false">IF('K5. Témoignages &amp; Incidents'!C61="","",'K5. Témoignages &amp; Incidents'!K61)</f>
        <v/>
      </c>
      <c r="J50" s="0" t="str">
        <f aca="false">IF('K5. Témoignages &amp; Incidents'!C61="","",'K5. Témoignages &amp; Incidents'!L61)</f>
        <v/>
      </c>
      <c r="K50" s="0" t="str">
        <f aca="false">IF('K5. Témoignages &amp; Incidents'!C61="","",'K5. Témoignages &amp; Incidents'!M61)</f>
        <v/>
      </c>
    </row>
    <row r="51" customFormat="false" ht="15" hidden="false" customHeight="false" outlineLevel="0" collapsed="false">
      <c r="A51" s="0" t="str">
        <f aca="false">IF('K5. Témoignages &amp; Incidents'!C62="","",'K5. Témoignages &amp; Incidents'!C62)</f>
        <v/>
      </c>
      <c r="B51" s="173" t="str">
        <f aca="false">IF('K5. Témoignages &amp; Incidents'!C62="","",'K5. Témoignages &amp; Incidents'!D62)</f>
        <v/>
      </c>
      <c r="C51" s="0" t="str">
        <f aca="false">IF('K5. Témoignages &amp; Incidents'!C62="","",'K5. Témoignages &amp; Incidents'!E62)</f>
        <v/>
      </c>
      <c r="D51" s="0" t="str">
        <f aca="false">IF('K5. Témoignages &amp; Incidents'!C62="","",'K5. Témoignages &amp; Incidents'!F62)</f>
        <v/>
      </c>
      <c r="E51" s="0" t="str">
        <f aca="false">IF('K5. Témoignages &amp; Incidents'!C62="","",'K5. Témoignages &amp; Incidents'!G62)</f>
        <v/>
      </c>
      <c r="F51" s="0" t="str">
        <f aca="false">IF('K5. Témoignages &amp; Incidents'!C62="","",'K5. Témoignages &amp; Incidents'!H62)</f>
        <v/>
      </c>
      <c r="G51" s="0" t="str">
        <f aca="false">IF('K5. Témoignages &amp; Incidents'!C62="","",'K5. Témoignages &amp; Incidents'!I62)</f>
        <v/>
      </c>
      <c r="H51" s="0" t="str">
        <f aca="false">IF('K5. Témoignages &amp; Incidents'!C62="","",'K5. Témoignages &amp; Incidents'!J62)</f>
        <v/>
      </c>
      <c r="I51" s="0" t="str">
        <f aca="false">IF('K5. Témoignages &amp; Incidents'!C62="","",'K5. Témoignages &amp; Incidents'!K62)</f>
        <v/>
      </c>
      <c r="J51" s="0" t="str">
        <f aca="false">IF('K5. Témoignages &amp; Incidents'!C62="","",'K5. Témoignages &amp; Incidents'!L62)</f>
        <v/>
      </c>
      <c r="K51" s="0" t="str">
        <f aca="false">IF('K5. Témoignages &amp; Incidents'!C62="","",'K5. Témoignages &amp; Incidents'!M62)</f>
        <v/>
      </c>
    </row>
    <row r="52" customFormat="false" ht="15" hidden="false" customHeight="false" outlineLevel="0" collapsed="false">
      <c r="A52" s="0" t="str">
        <f aca="false">IF('K5. Témoignages &amp; Incidents'!C63="","",'K5. Témoignages &amp; Incidents'!C63)</f>
        <v/>
      </c>
      <c r="B52" s="173" t="str">
        <f aca="false">IF('K5. Témoignages &amp; Incidents'!C63="","",'K5. Témoignages &amp; Incidents'!D63)</f>
        <v/>
      </c>
      <c r="C52" s="0" t="str">
        <f aca="false">IF('K5. Témoignages &amp; Incidents'!C63="","",'K5. Témoignages &amp; Incidents'!E63)</f>
        <v/>
      </c>
      <c r="D52" s="0" t="str">
        <f aca="false">IF('K5. Témoignages &amp; Incidents'!C63="","",'K5. Témoignages &amp; Incidents'!F63)</f>
        <v/>
      </c>
      <c r="E52" s="0" t="str">
        <f aca="false">IF('K5. Témoignages &amp; Incidents'!C63="","",'K5. Témoignages &amp; Incidents'!G63)</f>
        <v/>
      </c>
      <c r="F52" s="0" t="str">
        <f aca="false">IF('K5. Témoignages &amp; Incidents'!C63="","",'K5. Témoignages &amp; Incidents'!H63)</f>
        <v/>
      </c>
      <c r="G52" s="0" t="str">
        <f aca="false">IF('K5. Témoignages &amp; Incidents'!C63="","",'K5. Témoignages &amp; Incidents'!I63)</f>
        <v/>
      </c>
      <c r="H52" s="0" t="str">
        <f aca="false">IF('K5. Témoignages &amp; Incidents'!C63="","",'K5. Témoignages &amp; Incidents'!J63)</f>
        <v/>
      </c>
      <c r="I52" s="0" t="str">
        <f aca="false">IF('K5. Témoignages &amp; Incidents'!C63="","",'K5. Témoignages &amp; Incidents'!K63)</f>
        <v/>
      </c>
      <c r="J52" s="0" t="str">
        <f aca="false">IF('K5. Témoignages &amp; Incidents'!C63="","",'K5. Témoignages &amp; Incidents'!L63)</f>
        <v/>
      </c>
      <c r="K52" s="0" t="str">
        <f aca="false">IF('K5. Témoignages &amp; Incidents'!C63="","",'K5. Témoignages &amp; Incidents'!M63)</f>
        <v/>
      </c>
    </row>
    <row r="53" customFormat="false" ht="15" hidden="false" customHeight="false" outlineLevel="0" collapsed="false">
      <c r="A53" s="0" t="str">
        <f aca="false">IF('K5. Témoignages &amp; Incidents'!C64="","",'K5. Témoignages &amp; Incidents'!C64)</f>
        <v/>
      </c>
      <c r="B53" s="173" t="str">
        <f aca="false">IF('K5. Témoignages &amp; Incidents'!C64="","",'K5. Témoignages &amp; Incidents'!D64)</f>
        <v/>
      </c>
      <c r="C53" s="0" t="str">
        <f aca="false">IF('K5. Témoignages &amp; Incidents'!C64="","",'K5. Témoignages &amp; Incidents'!E64)</f>
        <v/>
      </c>
      <c r="D53" s="0" t="str">
        <f aca="false">IF('K5. Témoignages &amp; Incidents'!C64="","",'K5. Témoignages &amp; Incidents'!F64)</f>
        <v/>
      </c>
      <c r="E53" s="0" t="str">
        <f aca="false">IF('K5. Témoignages &amp; Incidents'!C64="","",'K5. Témoignages &amp; Incidents'!G64)</f>
        <v/>
      </c>
      <c r="F53" s="0" t="str">
        <f aca="false">IF('K5. Témoignages &amp; Incidents'!C64="","",'K5. Témoignages &amp; Incidents'!H64)</f>
        <v/>
      </c>
      <c r="G53" s="0" t="str">
        <f aca="false">IF('K5. Témoignages &amp; Incidents'!C64="","",'K5. Témoignages &amp; Incidents'!I64)</f>
        <v/>
      </c>
      <c r="H53" s="0" t="str">
        <f aca="false">IF('K5. Témoignages &amp; Incidents'!C64="","",'K5. Témoignages &amp; Incidents'!J64)</f>
        <v/>
      </c>
      <c r="I53" s="0" t="str">
        <f aca="false">IF('K5. Témoignages &amp; Incidents'!C64="","",'K5. Témoignages &amp; Incidents'!K64)</f>
        <v/>
      </c>
      <c r="J53" s="0" t="str">
        <f aca="false">IF('K5. Témoignages &amp; Incidents'!C64="","",'K5. Témoignages &amp; Incidents'!L64)</f>
        <v/>
      </c>
      <c r="K53" s="0" t="str">
        <f aca="false">IF('K5. Témoignages &amp; Incidents'!C64="","",'K5. Témoignages &amp; Incidents'!M64)</f>
        <v/>
      </c>
    </row>
    <row r="54" customFormat="false" ht="15" hidden="false" customHeight="false" outlineLevel="0" collapsed="false">
      <c r="A54" s="0" t="str">
        <f aca="false">IF('K5. Témoignages &amp; Incidents'!C65="","",'K5. Témoignages &amp; Incidents'!C65)</f>
        <v/>
      </c>
      <c r="B54" s="173" t="str">
        <f aca="false">IF('K5. Témoignages &amp; Incidents'!C65="","",'K5. Témoignages &amp; Incidents'!D65)</f>
        <v/>
      </c>
      <c r="C54" s="0" t="str">
        <f aca="false">IF('K5. Témoignages &amp; Incidents'!C65="","",'K5. Témoignages &amp; Incidents'!E65)</f>
        <v/>
      </c>
      <c r="D54" s="0" t="str">
        <f aca="false">IF('K5. Témoignages &amp; Incidents'!C65="","",'K5. Témoignages &amp; Incidents'!F65)</f>
        <v/>
      </c>
      <c r="E54" s="0" t="str">
        <f aca="false">IF('K5. Témoignages &amp; Incidents'!C65="","",'K5. Témoignages &amp; Incidents'!G65)</f>
        <v/>
      </c>
      <c r="F54" s="0" t="str">
        <f aca="false">IF('K5. Témoignages &amp; Incidents'!C65="","",'K5. Témoignages &amp; Incidents'!H65)</f>
        <v/>
      </c>
      <c r="G54" s="0" t="str">
        <f aca="false">IF('K5. Témoignages &amp; Incidents'!C65="","",'K5. Témoignages &amp; Incidents'!I65)</f>
        <v/>
      </c>
      <c r="H54" s="0" t="str">
        <f aca="false">IF('K5. Témoignages &amp; Incidents'!C65="","",'K5. Témoignages &amp; Incidents'!J65)</f>
        <v/>
      </c>
      <c r="I54" s="0" t="str">
        <f aca="false">IF('K5. Témoignages &amp; Incidents'!C65="","",'K5. Témoignages &amp; Incidents'!K65)</f>
        <v/>
      </c>
      <c r="J54" s="0" t="str">
        <f aca="false">IF('K5. Témoignages &amp; Incidents'!C65="","",'K5. Témoignages &amp; Incidents'!L65)</f>
        <v/>
      </c>
      <c r="K54" s="0" t="str">
        <f aca="false">IF('K5. Témoignages &amp; Incidents'!C65="","",'K5. Témoignages &amp; Incidents'!M65)</f>
        <v/>
      </c>
    </row>
    <row r="55" customFormat="false" ht="15" hidden="false" customHeight="false" outlineLevel="0" collapsed="false">
      <c r="A55" s="0" t="str">
        <f aca="false">IF('K5. Témoignages &amp; Incidents'!C66="","",'K5. Témoignages &amp; Incidents'!C66)</f>
        <v/>
      </c>
      <c r="B55" s="173" t="str">
        <f aca="false">IF('K5. Témoignages &amp; Incidents'!C66="","",'K5. Témoignages &amp; Incidents'!D66)</f>
        <v/>
      </c>
      <c r="C55" s="0" t="str">
        <f aca="false">IF('K5. Témoignages &amp; Incidents'!C66="","",'K5. Témoignages &amp; Incidents'!E66)</f>
        <v/>
      </c>
      <c r="D55" s="0" t="str">
        <f aca="false">IF('K5. Témoignages &amp; Incidents'!C66="","",'K5. Témoignages &amp; Incidents'!F66)</f>
        <v/>
      </c>
      <c r="E55" s="0" t="str">
        <f aca="false">IF('K5. Témoignages &amp; Incidents'!C66="","",'K5. Témoignages &amp; Incidents'!G66)</f>
        <v/>
      </c>
      <c r="F55" s="0" t="str">
        <f aca="false">IF('K5. Témoignages &amp; Incidents'!C66="","",'K5. Témoignages &amp; Incidents'!H66)</f>
        <v/>
      </c>
      <c r="G55" s="0" t="str">
        <f aca="false">IF('K5. Témoignages &amp; Incidents'!C66="","",'K5. Témoignages &amp; Incidents'!I66)</f>
        <v/>
      </c>
      <c r="H55" s="0" t="str">
        <f aca="false">IF('K5. Témoignages &amp; Incidents'!C66="","",'K5. Témoignages &amp; Incidents'!J66)</f>
        <v/>
      </c>
      <c r="I55" s="0" t="str">
        <f aca="false">IF('K5. Témoignages &amp; Incidents'!C66="","",'K5. Témoignages &amp; Incidents'!K66)</f>
        <v/>
      </c>
      <c r="J55" s="0" t="str">
        <f aca="false">IF('K5. Témoignages &amp; Incidents'!C66="","",'K5. Témoignages &amp; Incidents'!L66)</f>
        <v/>
      </c>
      <c r="K55" s="0" t="str">
        <f aca="false">IF('K5. Témoignages &amp; Incidents'!C66="","",'K5. Témoignages &amp; Incidents'!M66)</f>
        <v/>
      </c>
    </row>
    <row r="56" customFormat="false" ht="15" hidden="false" customHeight="false" outlineLevel="0" collapsed="false">
      <c r="A56" s="0" t="str">
        <f aca="false">IF('K5. Témoignages &amp; Incidents'!C67="","",'K5. Témoignages &amp; Incidents'!C67)</f>
        <v/>
      </c>
      <c r="B56" s="173" t="str">
        <f aca="false">IF('K5. Témoignages &amp; Incidents'!C67="","",'K5. Témoignages &amp; Incidents'!D67)</f>
        <v/>
      </c>
      <c r="C56" s="0" t="str">
        <f aca="false">IF('K5. Témoignages &amp; Incidents'!C67="","",'K5. Témoignages &amp; Incidents'!E67)</f>
        <v/>
      </c>
      <c r="D56" s="0" t="str">
        <f aca="false">IF('K5. Témoignages &amp; Incidents'!C67="","",'K5. Témoignages &amp; Incidents'!F67)</f>
        <v/>
      </c>
      <c r="E56" s="0" t="str">
        <f aca="false">IF('K5. Témoignages &amp; Incidents'!C67="","",'K5. Témoignages &amp; Incidents'!G67)</f>
        <v/>
      </c>
      <c r="F56" s="0" t="str">
        <f aca="false">IF('K5. Témoignages &amp; Incidents'!C67="","",'K5. Témoignages &amp; Incidents'!H67)</f>
        <v/>
      </c>
      <c r="G56" s="0" t="str">
        <f aca="false">IF('K5. Témoignages &amp; Incidents'!C67="","",'K5. Témoignages &amp; Incidents'!I67)</f>
        <v/>
      </c>
      <c r="H56" s="0" t="str">
        <f aca="false">IF('K5. Témoignages &amp; Incidents'!C67="","",'K5. Témoignages &amp; Incidents'!J67)</f>
        <v/>
      </c>
      <c r="I56" s="0" t="str">
        <f aca="false">IF('K5. Témoignages &amp; Incidents'!C67="","",'K5. Témoignages &amp; Incidents'!K67)</f>
        <v/>
      </c>
      <c r="J56" s="0" t="str">
        <f aca="false">IF('K5. Témoignages &amp; Incidents'!C67="","",'K5. Témoignages &amp; Incidents'!L67)</f>
        <v/>
      </c>
      <c r="K56" s="0" t="str">
        <f aca="false">IF('K5. Témoignages &amp; Incidents'!C67="","",'K5. Témoignages &amp; Incidents'!M67)</f>
        <v/>
      </c>
    </row>
    <row r="57" customFormat="false" ht="15" hidden="false" customHeight="false" outlineLevel="0" collapsed="false">
      <c r="A57" s="0" t="str">
        <f aca="false">IF('K5. Témoignages &amp; Incidents'!C68="","",'K5. Témoignages &amp; Incidents'!C68)</f>
        <v/>
      </c>
      <c r="B57" s="173" t="str">
        <f aca="false">IF('K5. Témoignages &amp; Incidents'!C68="","",'K5. Témoignages &amp; Incidents'!D68)</f>
        <v/>
      </c>
      <c r="C57" s="0" t="str">
        <f aca="false">IF('K5. Témoignages &amp; Incidents'!C68="","",'K5. Témoignages &amp; Incidents'!E68)</f>
        <v/>
      </c>
      <c r="D57" s="0" t="str">
        <f aca="false">IF('K5. Témoignages &amp; Incidents'!C68="","",'K5. Témoignages &amp; Incidents'!F68)</f>
        <v/>
      </c>
      <c r="E57" s="0" t="str">
        <f aca="false">IF('K5. Témoignages &amp; Incidents'!C68="","",'K5. Témoignages &amp; Incidents'!G68)</f>
        <v/>
      </c>
      <c r="F57" s="0" t="str">
        <f aca="false">IF('K5. Témoignages &amp; Incidents'!C68="","",'K5. Témoignages &amp; Incidents'!H68)</f>
        <v/>
      </c>
      <c r="G57" s="0" t="str">
        <f aca="false">IF('K5. Témoignages &amp; Incidents'!C68="","",'K5. Témoignages &amp; Incidents'!I68)</f>
        <v/>
      </c>
      <c r="H57" s="0" t="str">
        <f aca="false">IF('K5. Témoignages &amp; Incidents'!C68="","",'K5. Témoignages &amp; Incidents'!J68)</f>
        <v/>
      </c>
      <c r="I57" s="0" t="str">
        <f aca="false">IF('K5. Témoignages &amp; Incidents'!C68="","",'K5. Témoignages &amp; Incidents'!K68)</f>
        <v/>
      </c>
      <c r="J57" s="0" t="str">
        <f aca="false">IF('K5. Témoignages &amp; Incidents'!C68="","",'K5. Témoignages &amp; Incidents'!L68)</f>
        <v/>
      </c>
      <c r="K57" s="0" t="str">
        <f aca="false">IF('K5. Témoignages &amp; Incidents'!C68="","",'K5. Témoignages &amp; Incidents'!M68)</f>
        <v/>
      </c>
    </row>
    <row r="58" customFormat="false" ht="15" hidden="false" customHeight="false" outlineLevel="0" collapsed="false">
      <c r="A58" s="0" t="str">
        <f aca="false">IF('K5. Témoignages &amp; Incidents'!C69="","",'K5. Témoignages &amp; Incidents'!C69)</f>
        <v/>
      </c>
      <c r="B58" s="173" t="str">
        <f aca="false">IF('K5. Témoignages &amp; Incidents'!C69="","",'K5. Témoignages &amp; Incidents'!D69)</f>
        <v/>
      </c>
      <c r="C58" s="0" t="str">
        <f aca="false">IF('K5. Témoignages &amp; Incidents'!C69="","",'K5. Témoignages &amp; Incidents'!E69)</f>
        <v/>
      </c>
      <c r="D58" s="0" t="str">
        <f aca="false">IF('K5. Témoignages &amp; Incidents'!C69="","",'K5. Témoignages &amp; Incidents'!F69)</f>
        <v/>
      </c>
      <c r="E58" s="0" t="str">
        <f aca="false">IF('K5. Témoignages &amp; Incidents'!C69="","",'K5. Témoignages &amp; Incidents'!G69)</f>
        <v/>
      </c>
      <c r="F58" s="0" t="str">
        <f aca="false">IF('K5. Témoignages &amp; Incidents'!C69="","",'K5. Témoignages &amp; Incidents'!H69)</f>
        <v/>
      </c>
      <c r="G58" s="0" t="str">
        <f aca="false">IF('K5. Témoignages &amp; Incidents'!C69="","",'K5. Témoignages &amp; Incidents'!I69)</f>
        <v/>
      </c>
      <c r="H58" s="0" t="str">
        <f aca="false">IF('K5. Témoignages &amp; Incidents'!C69="","",'K5. Témoignages &amp; Incidents'!J69)</f>
        <v/>
      </c>
      <c r="I58" s="0" t="str">
        <f aca="false">IF('K5. Témoignages &amp; Incidents'!C69="","",'K5. Témoignages &amp; Incidents'!K69)</f>
        <v/>
      </c>
      <c r="J58" s="0" t="str">
        <f aca="false">IF('K5. Témoignages &amp; Incidents'!C69="","",'K5. Témoignages &amp; Incidents'!L69)</f>
        <v/>
      </c>
      <c r="K58" s="0" t="str">
        <f aca="false">IF('K5. Témoignages &amp; Incidents'!C69="","",'K5. Témoignages &amp; Incidents'!M69)</f>
        <v/>
      </c>
    </row>
    <row r="59" customFormat="false" ht="15" hidden="false" customHeight="false" outlineLevel="0" collapsed="false">
      <c r="A59" s="0" t="str">
        <f aca="false">IF('K5. Témoignages &amp; Incidents'!C70="","",'K5. Témoignages &amp; Incidents'!C70)</f>
        <v/>
      </c>
      <c r="B59" s="173" t="str">
        <f aca="false">IF('K5. Témoignages &amp; Incidents'!C70="","",'K5. Témoignages &amp; Incidents'!D70)</f>
        <v/>
      </c>
      <c r="C59" s="0" t="str">
        <f aca="false">IF('K5. Témoignages &amp; Incidents'!C70="","",'K5. Témoignages &amp; Incidents'!E70)</f>
        <v/>
      </c>
      <c r="D59" s="0" t="str">
        <f aca="false">IF('K5. Témoignages &amp; Incidents'!C70="","",'K5. Témoignages &amp; Incidents'!F70)</f>
        <v/>
      </c>
      <c r="E59" s="0" t="str">
        <f aca="false">IF('K5. Témoignages &amp; Incidents'!C70="","",'K5. Témoignages &amp; Incidents'!G70)</f>
        <v/>
      </c>
      <c r="F59" s="0" t="str">
        <f aca="false">IF('K5. Témoignages &amp; Incidents'!C70="","",'K5. Témoignages &amp; Incidents'!H70)</f>
        <v/>
      </c>
      <c r="G59" s="0" t="str">
        <f aca="false">IF('K5. Témoignages &amp; Incidents'!C70="","",'K5. Témoignages &amp; Incidents'!I70)</f>
        <v/>
      </c>
      <c r="H59" s="0" t="str">
        <f aca="false">IF('K5. Témoignages &amp; Incidents'!C70="","",'K5. Témoignages &amp; Incidents'!J70)</f>
        <v/>
      </c>
      <c r="I59" s="0" t="str">
        <f aca="false">IF('K5. Témoignages &amp; Incidents'!C70="","",'K5. Témoignages &amp; Incidents'!K70)</f>
        <v/>
      </c>
      <c r="J59" s="0" t="str">
        <f aca="false">IF('K5. Témoignages &amp; Incidents'!C70="","",'K5. Témoignages &amp; Incidents'!L70)</f>
        <v/>
      </c>
      <c r="K59" s="0" t="str">
        <f aca="false">IF('K5. Témoignages &amp; Incidents'!C70="","",'K5. Témoignages &amp; Incidents'!M70)</f>
        <v/>
      </c>
    </row>
    <row r="60" customFormat="false" ht="15" hidden="false" customHeight="false" outlineLevel="0" collapsed="false">
      <c r="A60" s="0" t="str">
        <f aca="false">IF('K5. Témoignages &amp; Incidents'!C71="","",'K5. Témoignages &amp; Incidents'!C71)</f>
        <v/>
      </c>
      <c r="B60" s="173" t="str">
        <f aca="false">IF('K5. Témoignages &amp; Incidents'!C71="","",'K5. Témoignages &amp; Incidents'!D71)</f>
        <v/>
      </c>
      <c r="C60" s="0" t="str">
        <f aca="false">IF('K5. Témoignages &amp; Incidents'!C71="","",'K5. Témoignages &amp; Incidents'!E71)</f>
        <v/>
      </c>
      <c r="D60" s="0" t="str">
        <f aca="false">IF('K5. Témoignages &amp; Incidents'!C71="","",'K5. Témoignages &amp; Incidents'!F71)</f>
        <v/>
      </c>
      <c r="E60" s="0" t="str">
        <f aca="false">IF('K5. Témoignages &amp; Incidents'!C71="","",'K5. Témoignages &amp; Incidents'!G71)</f>
        <v/>
      </c>
      <c r="F60" s="0" t="str">
        <f aca="false">IF('K5. Témoignages &amp; Incidents'!C71="","",'K5. Témoignages &amp; Incidents'!H71)</f>
        <v/>
      </c>
      <c r="G60" s="0" t="str">
        <f aca="false">IF('K5. Témoignages &amp; Incidents'!C71="","",'K5. Témoignages &amp; Incidents'!I71)</f>
        <v/>
      </c>
      <c r="H60" s="0" t="str">
        <f aca="false">IF('K5. Témoignages &amp; Incidents'!C71="","",'K5. Témoignages &amp; Incidents'!J71)</f>
        <v/>
      </c>
      <c r="I60" s="0" t="str">
        <f aca="false">IF('K5. Témoignages &amp; Incidents'!C71="","",'K5. Témoignages &amp; Incidents'!K71)</f>
        <v/>
      </c>
      <c r="J60" s="0" t="str">
        <f aca="false">IF('K5. Témoignages &amp; Incidents'!C71="","",'K5. Témoignages &amp; Incidents'!L71)</f>
        <v/>
      </c>
      <c r="K60" s="0" t="str">
        <f aca="false">IF('K5. Témoignages &amp; Incidents'!C71="","",'K5. Témoignages &amp; Incidents'!M71)</f>
        <v/>
      </c>
    </row>
    <row r="61" customFormat="false" ht="15" hidden="false" customHeight="false" outlineLevel="0" collapsed="false">
      <c r="A61" s="0" t="str">
        <f aca="false">IF('K5. Témoignages &amp; Incidents'!C72="","",'K5. Témoignages &amp; Incidents'!C72)</f>
        <v/>
      </c>
      <c r="B61" s="173" t="str">
        <f aca="false">IF('K5. Témoignages &amp; Incidents'!C72="","",'K5. Témoignages &amp; Incidents'!D72)</f>
        <v/>
      </c>
      <c r="C61" s="0" t="str">
        <f aca="false">IF('K5. Témoignages &amp; Incidents'!C72="","",'K5. Témoignages &amp; Incidents'!E72)</f>
        <v/>
      </c>
      <c r="D61" s="0" t="str">
        <f aca="false">IF('K5. Témoignages &amp; Incidents'!C72="","",'K5. Témoignages &amp; Incidents'!F72)</f>
        <v/>
      </c>
      <c r="E61" s="0" t="str">
        <f aca="false">IF('K5. Témoignages &amp; Incidents'!C72="","",'K5. Témoignages &amp; Incidents'!G72)</f>
        <v/>
      </c>
      <c r="F61" s="0" t="str">
        <f aca="false">IF('K5. Témoignages &amp; Incidents'!C72="","",'K5. Témoignages &amp; Incidents'!H72)</f>
        <v/>
      </c>
      <c r="G61" s="0" t="str">
        <f aca="false">IF('K5. Témoignages &amp; Incidents'!C72="","",'K5. Témoignages &amp; Incidents'!I72)</f>
        <v/>
      </c>
      <c r="H61" s="0" t="str">
        <f aca="false">IF('K5. Témoignages &amp; Incidents'!C72="","",'K5. Témoignages &amp; Incidents'!J72)</f>
        <v/>
      </c>
      <c r="I61" s="0" t="str">
        <f aca="false">IF('K5. Témoignages &amp; Incidents'!C72="","",'K5. Témoignages &amp; Incidents'!K72)</f>
        <v/>
      </c>
      <c r="J61" s="0" t="str">
        <f aca="false">IF('K5. Témoignages &amp; Incidents'!C72="","",'K5. Témoignages &amp; Incidents'!L72)</f>
        <v/>
      </c>
      <c r="K61" s="0" t="str">
        <f aca="false">IF('K5. Témoignages &amp; Incidents'!C72="","",'K5. Témoignages &amp; Incidents'!M72)</f>
        <v/>
      </c>
    </row>
    <row r="62" customFormat="false" ht="15" hidden="false" customHeight="false" outlineLevel="0" collapsed="false">
      <c r="A62" s="0" t="str">
        <f aca="false">IF('K5. Témoignages &amp; Incidents'!C73="","",'K5. Témoignages &amp; Incidents'!C73)</f>
        <v/>
      </c>
      <c r="B62" s="173" t="str">
        <f aca="false">IF('K5. Témoignages &amp; Incidents'!C73="","",'K5. Témoignages &amp; Incidents'!D73)</f>
        <v/>
      </c>
      <c r="C62" s="0" t="str">
        <f aca="false">IF('K5. Témoignages &amp; Incidents'!C73="","",'K5. Témoignages &amp; Incidents'!E73)</f>
        <v/>
      </c>
      <c r="D62" s="0" t="str">
        <f aca="false">IF('K5. Témoignages &amp; Incidents'!C73="","",'K5. Témoignages &amp; Incidents'!F73)</f>
        <v/>
      </c>
      <c r="E62" s="0" t="str">
        <f aca="false">IF('K5. Témoignages &amp; Incidents'!C73="","",'K5. Témoignages &amp; Incidents'!G73)</f>
        <v/>
      </c>
      <c r="F62" s="0" t="str">
        <f aca="false">IF('K5. Témoignages &amp; Incidents'!C73="","",'K5. Témoignages &amp; Incidents'!H73)</f>
        <v/>
      </c>
      <c r="G62" s="0" t="str">
        <f aca="false">IF('K5. Témoignages &amp; Incidents'!C73="","",'K5. Témoignages &amp; Incidents'!I73)</f>
        <v/>
      </c>
      <c r="H62" s="0" t="str">
        <f aca="false">IF('K5. Témoignages &amp; Incidents'!C73="","",'K5. Témoignages &amp; Incidents'!J73)</f>
        <v/>
      </c>
      <c r="I62" s="0" t="str">
        <f aca="false">IF('K5. Témoignages &amp; Incidents'!C73="","",'K5. Témoignages &amp; Incidents'!K73)</f>
        <v/>
      </c>
      <c r="J62" s="0" t="str">
        <f aca="false">IF('K5. Témoignages &amp; Incidents'!C73="","",'K5. Témoignages &amp; Incidents'!L73)</f>
        <v/>
      </c>
      <c r="K62" s="0" t="str">
        <f aca="false">IF('K5. Témoignages &amp; Incidents'!C73="","",'K5. Témoignages &amp; Incidents'!M73)</f>
        <v/>
      </c>
    </row>
    <row r="63" customFormat="false" ht="15" hidden="false" customHeight="false" outlineLevel="0" collapsed="false">
      <c r="A63" s="0" t="str">
        <f aca="false">IF('K5. Témoignages &amp; Incidents'!C74="","",'K5. Témoignages &amp; Incidents'!C74)</f>
        <v/>
      </c>
      <c r="B63" s="173" t="str">
        <f aca="false">IF('K5. Témoignages &amp; Incidents'!C74="","",'K5. Témoignages &amp; Incidents'!D74)</f>
        <v/>
      </c>
      <c r="C63" s="0" t="str">
        <f aca="false">IF('K5. Témoignages &amp; Incidents'!C74="","",'K5. Témoignages &amp; Incidents'!E74)</f>
        <v/>
      </c>
      <c r="D63" s="0" t="str">
        <f aca="false">IF('K5. Témoignages &amp; Incidents'!C74="","",'K5. Témoignages &amp; Incidents'!F74)</f>
        <v/>
      </c>
      <c r="E63" s="0" t="str">
        <f aca="false">IF('K5. Témoignages &amp; Incidents'!C74="","",'K5. Témoignages &amp; Incidents'!G74)</f>
        <v/>
      </c>
      <c r="F63" s="0" t="str">
        <f aca="false">IF('K5. Témoignages &amp; Incidents'!C74="","",'K5. Témoignages &amp; Incidents'!H74)</f>
        <v/>
      </c>
      <c r="G63" s="0" t="str">
        <f aca="false">IF('K5. Témoignages &amp; Incidents'!C74="","",'K5. Témoignages &amp; Incidents'!I74)</f>
        <v/>
      </c>
      <c r="H63" s="0" t="str">
        <f aca="false">IF('K5. Témoignages &amp; Incidents'!C74="","",'K5. Témoignages &amp; Incidents'!J74)</f>
        <v/>
      </c>
      <c r="I63" s="0" t="str">
        <f aca="false">IF('K5. Témoignages &amp; Incidents'!C74="","",'K5. Témoignages &amp; Incidents'!K74)</f>
        <v/>
      </c>
      <c r="J63" s="0" t="str">
        <f aca="false">IF('K5. Témoignages &amp; Incidents'!C74="","",'K5. Témoignages &amp; Incidents'!L74)</f>
        <v/>
      </c>
      <c r="K63" s="0" t="str">
        <f aca="false">IF('K5. Témoignages &amp; Incidents'!C74="","",'K5. Témoignages &amp; Incidents'!M74)</f>
        <v/>
      </c>
    </row>
    <row r="64" customFormat="false" ht="15" hidden="false" customHeight="false" outlineLevel="0" collapsed="false">
      <c r="A64" s="0" t="str">
        <f aca="false">IF('K5. Témoignages &amp; Incidents'!C75="","",'K5. Témoignages &amp; Incidents'!C75)</f>
        <v/>
      </c>
      <c r="B64" s="173" t="str">
        <f aca="false">IF('K5. Témoignages &amp; Incidents'!C75="","",'K5. Témoignages &amp; Incidents'!D75)</f>
        <v/>
      </c>
      <c r="C64" s="0" t="str">
        <f aca="false">IF('K5. Témoignages &amp; Incidents'!C75="","",'K5. Témoignages &amp; Incidents'!E75)</f>
        <v/>
      </c>
      <c r="D64" s="0" t="str">
        <f aca="false">IF('K5. Témoignages &amp; Incidents'!C75="","",'K5. Témoignages &amp; Incidents'!F75)</f>
        <v/>
      </c>
      <c r="E64" s="0" t="str">
        <f aca="false">IF('K5. Témoignages &amp; Incidents'!C75="","",'K5. Témoignages &amp; Incidents'!G75)</f>
        <v/>
      </c>
      <c r="F64" s="0" t="str">
        <f aca="false">IF('K5. Témoignages &amp; Incidents'!C75="","",'K5. Témoignages &amp; Incidents'!H75)</f>
        <v/>
      </c>
      <c r="G64" s="0" t="str">
        <f aca="false">IF('K5. Témoignages &amp; Incidents'!C75="","",'K5. Témoignages &amp; Incidents'!I75)</f>
        <v/>
      </c>
      <c r="H64" s="0" t="str">
        <f aca="false">IF('K5. Témoignages &amp; Incidents'!C75="","",'K5. Témoignages &amp; Incidents'!J75)</f>
        <v/>
      </c>
      <c r="I64" s="0" t="str">
        <f aca="false">IF('K5. Témoignages &amp; Incidents'!C75="","",'K5. Témoignages &amp; Incidents'!K75)</f>
        <v/>
      </c>
      <c r="J64" s="0" t="str">
        <f aca="false">IF('K5. Témoignages &amp; Incidents'!C75="","",'K5. Témoignages &amp; Incidents'!L75)</f>
        <v/>
      </c>
      <c r="K64" s="0" t="str">
        <f aca="false">IF('K5. Témoignages &amp; Incidents'!C75="","",'K5. Témoignages &amp; Incidents'!M75)</f>
        <v/>
      </c>
    </row>
    <row r="65" customFormat="false" ht="15" hidden="false" customHeight="false" outlineLevel="0" collapsed="false">
      <c r="A65" s="0" t="str">
        <f aca="false">IF('K5. Témoignages &amp; Incidents'!C76="","",'K5. Témoignages &amp; Incidents'!C76)</f>
        <v/>
      </c>
      <c r="B65" s="173" t="str">
        <f aca="false">IF('K5. Témoignages &amp; Incidents'!C76="","",'K5. Témoignages &amp; Incidents'!D76)</f>
        <v/>
      </c>
      <c r="C65" s="0" t="str">
        <f aca="false">IF('K5. Témoignages &amp; Incidents'!C76="","",'K5. Témoignages &amp; Incidents'!E76)</f>
        <v/>
      </c>
      <c r="D65" s="0" t="str">
        <f aca="false">IF('K5. Témoignages &amp; Incidents'!C76="","",'K5. Témoignages &amp; Incidents'!F76)</f>
        <v/>
      </c>
      <c r="E65" s="0" t="str">
        <f aca="false">IF('K5. Témoignages &amp; Incidents'!C76="","",'K5. Témoignages &amp; Incidents'!G76)</f>
        <v/>
      </c>
      <c r="F65" s="0" t="str">
        <f aca="false">IF('K5. Témoignages &amp; Incidents'!C76="","",'K5. Témoignages &amp; Incidents'!H76)</f>
        <v/>
      </c>
      <c r="G65" s="0" t="str">
        <f aca="false">IF('K5. Témoignages &amp; Incidents'!C76="","",'K5. Témoignages &amp; Incidents'!I76)</f>
        <v/>
      </c>
      <c r="H65" s="0" t="str">
        <f aca="false">IF('K5. Témoignages &amp; Incidents'!C76="","",'K5. Témoignages &amp; Incidents'!J76)</f>
        <v/>
      </c>
      <c r="I65" s="0" t="str">
        <f aca="false">IF('K5. Témoignages &amp; Incidents'!C76="","",'K5. Témoignages &amp; Incidents'!K76)</f>
        <v/>
      </c>
      <c r="J65" s="0" t="str">
        <f aca="false">IF('K5. Témoignages &amp; Incidents'!C76="","",'K5. Témoignages &amp; Incidents'!L76)</f>
        <v/>
      </c>
      <c r="K65" s="0" t="str">
        <f aca="false">IF('K5. Témoignages &amp; Incidents'!C76="","",'K5. Témoignages &amp; Incidents'!M76)</f>
        <v/>
      </c>
    </row>
    <row r="66" customFormat="false" ht="15" hidden="false" customHeight="false" outlineLevel="0" collapsed="false">
      <c r="A66" s="0" t="str">
        <f aca="false">IF('K5. Témoignages &amp; Incidents'!C77="","",'K5. Témoignages &amp; Incidents'!C77)</f>
        <v/>
      </c>
      <c r="B66" s="173" t="str">
        <f aca="false">IF('K5. Témoignages &amp; Incidents'!C77="","",'K5. Témoignages &amp; Incidents'!D77)</f>
        <v/>
      </c>
      <c r="C66" s="0" t="str">
        <f aca="false">IF('K5. Témoignages &amp; Incidents'!C77="","",'K5. Témoignages &amp; Incidents'!E77)</f>
        <v/>
      </c>
      <c r="D66" s="0" t="str">
        <f aca="false">IF('K5. Témoignages &amp; Incidents'!C77="","",'K5. Témoignages &amp; Incidents'!F77)</f>
        <v/>
      </c>
      <c r="E66" s="0" t="str">
        <f aca="false">IF('K5. Témoignages &amp; Incidents'!C77="","",'K5. Témoignages &amp; Incidents'!G77)</f>
        <v/>
      </c>
      <c r="F66" s="0" t="str">
        <f aca="false">IF('K5. Témoignages &amp; Incidents'!C77="","",'K5. Témoignages &amp; Incidents'!H77)</f>
        <v/>
      </c>
      <c r="G66" s="0" t="str">
        <f aca="false">IF('K5. Témoignages &amp; Incidents'!C77="","",'K5. Témoignages &amp; Incidents'!I77)</f>
        <v/>
      </c>
      <c r="H66" s="0" t="str">
        <f aca="false">IF('K5. Témoignages &amp; Incidents'!C77="","",'K5. Témoignages &amp; Incidents'!J77)</f>
        <v/>
      </c>
      <c r="I66" s="0" t="str">
        <f aca="false">IF('K5. Témoignages &amp; Incidents'!C77="","",'K5. Témoignages &amp; Incidents'!K77)</f>
        <v/>
      </c>
      <c r="J66" s="0" t="str">
        <f aca="false">IF('K5. Témoignages &amp; Incidents'!C77="","",'K5. Témoignages &amp; Incidents'!L77)</f>
        <v/>
      </c>
      <c r="K66" s="0" t="str">
        <f aca="false">IF('K5. Témoignages &amp; Incidents'!C77="","",'K5. Témoignages &amp; Incidents'!M77)</f>
        <v/>
      </c>
    </row>
    <row r="67" customFormat="false" ht="15" hidden="false" customHeight="false" outlineLevel="0" collapsed="false">
      <c r="A67" s="0" t="str">
        <f aca="false">IF('K5. Témoignages &amp; Incidents'!C78="","",'K5. Témoignages &amp; Incidents'!C78)</f>
        <v/>
      </c>
      <c r="B67" s="173" t="str">
        <f aca="false">IF('K5. Témoignages &amp; Incidents'!C78="","",'K5. Témoignages &amp; Incidents'!D78)</f>
        <v/>
      </c>
      <c r="C67" s="0" t="str">
        <f aca="false">IF('K5. Témoignages &amp; Incidents'!C78="","",'K5. Témoignages &amp; Incidents'!E78)</f>
        <v/>
      </c>
      <c r="D67" s="0" t="str">
        <f aca="false">IF('K5. Témoignages &amp; Incidents'!C78="","",'K5. Témoignages &amp; Incidents'!F78)</f>
        <v/>
      </c>
      <c r="E67" s="0" t="str">
        <f aca="false">IF('K5. Témoignages &amp; Incidents'!C78="","",'K5. Témoignages &amp; Incidents'!G78)</f>
        <v/>
      </c>
      <c r="F67" s="0" t="str">
        <f aca="false">IF('K5. Témoignages &amp; Incidents'!C78="","",'K5. Témoignages &amp; Incidents'!H78)</f>
        <v/>
      </c>
      <c r="G67" s="0" t="str">
        <f aca="false">IF('K5. Témoignages &amp; Incidents'!C78="","",'K5. Témoignages &amp; Incidents'!I78)</f>
        <v/>
      </c>
      <c r="H67" s="0" t="str">
        <f aca="false">IF('K5. Témoignages &amp; Incidents'!C78="","",'K5. Témoignages &amp; Incidents'!J78)</f>
        <v/>
      </c>
      <c r="I67" s="0" t="str">
        <f aca="false">IF('K5. Témoignages &amp; Incidents'!C78="","",'K5. Témoignages &amp; Incidents'!K78)</f>
        <v/>
      </c>
      <c r="J67" s="0" t="str">
        <f aca="false">IF('K5. Témoignages &amp; Incidents'!C78="","",'K5. Témoignages &amp; Incidents'!L78)</f>
        <v/>
      </c>
      <c r="K67" s="0" t="str">
        <f aca="false">IF('K5. Témoignages &amp; Incidents'!C78="","",'K5. Témoignages &amp; Incidents'!M78)</f>
        <v/>
      </c>
    </row>
    <row r="68" customFormat="false" ht="15" hidden="false" customHeight="false" outlineLevel="0" collapsed="false">
      <c r="A68" s="0" t="str">
        <f aca="false">IF('K5. Témoignages &amp; Incidents'!C79="","",'K5. Témoignages &amp; Incidents'!C79)</f>
        <v/>
      </c>
      <c r="B68" s="173" t="str">
        <f aca="false">IF('K5. Témoignages &amp; Incidents'!C79="","",'K5. Témoignages &amp; Incidents'!D79)</f>
        <v/>
      </c>
      <c r="C68" s="0" t="str">
        <f aca="false">IF('K5. Témoignages &amp; Incidents'!C79="","",'K5. Témoignages &amp; Incidents'!E79)</f>
        <v/>
      </c>
      <c r="D68" s="0" t="str">
        <f aca="false">IF('K5. Témoignages &amp; Incidents'!C79="","",'K5. Témoignages &amp; Incidents'!F79)</f>
        <v/>
      </c>
      <c r="E68" s="0" t="str">
        <f aca="false">IF('K5. Témoignages &amp; Incidents'!C79="","",'K5. Témoignages &amp; Incidents'!G79)</f>
        <v/>
      </c>
      <c r="F68" s="0" t="str">
        <f aca="false">IF('K5. Témoignages &amp; Incidents'!C79="","",'K5. Témoignages &amp; Incidents'!H79)</f>
        <v/>
      </c>
      <c r="G68" s="0" t="str">
        <f aca="false">IF('K5. Témoignages &amp; Incidents'!C79="","",'K5. Témoignages &amp; Incidents'!I79)</f>
        <v/>
      </c>
      <c r="H68" s="0" t="str">
        <f aca="false">IF('K5. Témoignages &amp; Incidents'!C79="","",'K5. Témoignages &amp; Incidents'!J79)</f>
        <v/>
      </c>
      <c r="I68" s="0" t="str">
        <f aca="false">IF('K5. Témoignages &amp; Incidents'!C79="","",'K5. Témoignages &amp; Incidents'!K79)</f>
        <v/>
      </c>
      <c r="J68" s="0" t="str">
        <f aca="false">IF('K5. Témoignages &amp; Incidents'!C79="","",'K5. Témoignages &amp; Incidents'!L79)</f>
        <v/>
      </c>
      <c r="K68" s="0" t="str">
        <f aca="false">IF('K5. Témoignages &amp; Incidents'!C79="","",'K5. Témoignages &amp; Incidents'!M79)</f>
        <v/>
      </c>
    </row>
    <row r="69" customFormat="false" ht="15" hidden="false" customHeight="false" outlineLevel="0" collapsed="false">
      <c r="A69" s="0" t="str">
        <f aca="false">IF('K5. Témoignages &amp; Incidents'!C80="","",'K5. Témoignages &amp; Incidents'!C80)</f>
        <v/>
      </c>
      <c r="B69" s="173" t="str">
        <f aca="false">IF('K5. Témoignages &amp; Incidents'!C80="","",'K5. Témoignages &amp; Incidents'!D80)</f>
        <v/>
      </c>
      <c r="C69" s="0" t="str">
        <f aca="false">IF('K5. Témoignages &amp; Incidents'!C80="","",'K5. Témoignages &amp; Incidents'!E80)</f>
        <v/>
      </c>
      <c r="D69" s="0" t="str">
        <f aca="false">IF('K5. Témoignages &amp; Incidents'!C80="","",'K5. Témoignages &amp; Incidents'!F80)</f>
        <v/>
      </c>
      <c r="E69" s="0" t="str">
        <f aca="false">IF('K5. Témoignages &amp; Incidents'!C80="","",'K5. Témoignages &amp; Incidents'!G80)</f>
        <v/>
      </c>
      <c r="F69" s="0" t="str">
        <f aca="false">IF('K5. Témoignages &amp; Incidents'!C80="","",'K5. Témoignages &amp; Incidents'!H80)</f>
        <v/>
      </c>
      <c r="G69" s="0" t="str">
        <f aca="false">IF('K5. Témoignages &amp; Incidents'!C80="","",'K5. Témoignages &amp; Incidents'!I80)</f>
        <v/>
      </c>
      <c r="H69" s="0" t="str">
        <f aca="false">IF('K5. Témoignages &amp; Incidents'!C80="","",'K5. Témoignages &amp; Incidents'!J80)</f>
        <v/>
      </c>
      <c r="I69" s="0" t="str">
        <f aca="false">IF('K5. Témoignages &amp; Incidents'!C80="","",'K5. Témoignages &amp; Incidents'!K80)</f>
        <v/>
      </c>
      <c r="J69" s="0" t="str">
        <f aca="false">IF('K5. Témoignages &amp; Incidents'!C80="","",'K5. Témoignages &amp; Incidents'!L80)</f>
        <v/>
      </c>
      <c r="K69" s="0" t="str">
        <f aca="false">IF('K5. Témoignages &amp; Incidents'!C80="","",'K5. Témoignages &amp; Incidents'!M80)</f>
        <v/>
      </c>
    </row>
    <row r="70" customFormat="false" ht="15" hidden="false" customHeight="false" outlineLevel="0" collapsed="false">
      <c r="A70" s="0" t="str">
        <f aca="false">IF('K5. Témoignages &amp; Incidents'!C81="","",'K5. Témoignages &amp; Incidents'!C81)</f>
        <v/>
      </c>
      <c r="B70" s="173" t="str">
        <f aca="false">IF('K5. Témoignages &amp; Incidents'!C81="","",'K5. Témoignages &amp; Incidents'!D81)</f>
        <v/>
      </c>
      <c r="C70" s="0" t="str">
        <f aca="false">IF('K5. Témoignages &amp; Incidents'!C81="","",'K5. Témoignages &amp; Incidents'!E81)</f>
        <v/>
      </c>
      <c r="D70" s="0" t="str">
        <f aca="false">IF('K5. Témoignages &amp; Incidents'!C81="","",'K5. Témoignages &amp; Incidents'!F81)</f>
        <v/>
      </c>
      <c r="E70" s="0" t="str">
        <f aca="false">IF('K5. Témoignages &amp; Incidents'!C81="","",'K5. Témoignages &amp; Incidents'!G81)</f>
        <v/>
      </c>
      <c r="F70" s="0" t="str">
        <f aca="false">IF('K5. Témoignages &amp; Incidents'!C81="","",'K5. Témoignages &amp; Incidents'!H81)</f>
        <v/>
      </c>
      <c r="G70" s="0" t="str">
        <f aca="false">IF('K5. Témoignages &amp; Incidents'!C81="","",'K5. Témoignages &amp; Incidents'!I81)</f>
        <v/>
      </c>
      <c r="H70" s="0" t="str">
        <f aca="false">IF('K5. Témoignages &amp; Incidents'!C81="","",'K5. Témoignages &amp; Incidents'!J81)</f>
        <v/>
      </c>
      <c r="I70" s="0" t="str">
        <f aca="false">IF('K5. Témoignages &amp; Incidents'!C81="","",'K5. Témoignages &amp; Incidents'!K81)</f>
        <v/>
      </c>
      <c r="J70" s="0" t="str">
        <f aca="false">IF('K5. Témoignages &amp; Incidents'!C81="","",'K5. Témoignages &amp; Incidents'!L81)</f>
        <v/>
      </c>
      <c r="K70" s="0" t="str">
        <f aca="false">IF('K5. Témoignages &amp; Incidents'!C81="","",'K5. Témoignages &amp; Incidents'!M81)</f>
        <v/>
      </c>
    </row>
    <row r="71" customFormat="false" ht="15" hidden="false" customHeight="false" outlineLevel="0" collapsed="false">
      <c r="A71" s="0" t="str">
        <f aca="false">IF('K5. Témoignages &amp; Incidents'!C82="","",'K5. Témoignages &amp; Incidents'!C82)</f>
        <v/>
      </c>
      <c r="B71" s="173" t="str">
        <f aca="false">IF('K5. Témoignages &amp; Incidents'!C82="","",'K5. Témoignages &amp; Incidents'!D82)</f>
        <v/>
      </c>
      <c r="C71" s="0" t="str">
        <f aca="false">IF('K5. Témoignages &amp; Incidents'!C82="","",'K5. Témoignages &amp; Incidents'!E82)</f>
        <v/>
      </c>
      <c r="D71" s="0" t="str">
        <f aca="false">IF('K5. Témoignages &amp; Incidents'!C82="","",'K5. Témoignages &amp; Incidents'!F82)</f>
        <v/>
      </c>
      <c r="E71" s="0" t="str">
        <f aca="false">IF('K5. Témoignages &amp; Incidents'!C82="","",'K5. Témoignages &amp; Incidents'!G82)</f>
        <v/>
      </c>
      <c r="F71" s="0" t="str">
        <f aca="false">IF('K5. Témoignages &amp; Incidents'!C82="","",'K5. Témoignages &amp; Incidents'!H82)</f>
        <v/>
      </c>
      <c r="G71" s="0" t="str">
        <f aca="false">IF('K5. Témoignages &amp; Incidents'!C82="","",'K5. Témoignages &amp; Incidents'!I82)</f>
        <v/>
      </c>
      <c r="H71" s="0" t="str">
        <f aca="false">IF('K5. Témoignages &amp; Incidents'!C82="","",'K5. Témoignages &amp; Incidents'!J82)</f>
        <v/>
      </c>
      <c r="I71" s="0" t="str">
        <f aca="false">IF('K5. Témoignages &amp; Incidents'!C82="","",'K5. Témoignages &amp; Incidents'!K82)</f>
        <v/>
      </c>
      <c r="J71" s="0" t="str">
        <f aca="false">IF('K5. Témoignages &amp; Incidents'!C82="","",'K5. Témoignages &amp; Incidents'!L82)</f>
        <v/>
      </c>
      <c r="K71" s="0" t="str">
        <f aca="false">IF('K5. Témoignages &amp; Incidents'!C82="","",'K5. Témoignages &amp; Incidents'!M82)</f>
        <v/>
      </c>
    </row>
    <row r="72" customFormat="false" ht="15" hidden="false" customHeight="false" outlineLevel="0" collapsed="false">
      <c r="A72" s="0" t="str">
        <f aca="false">IF('K5. Témoignages &amp; Incidents'!C83="","",'K5. Témoignages &amp; Incidents'!C83)</f>
        <v/>
      </c>
      <c r="B72" s="173" t="str">
        <f aca="false">IF('K5. Témoignages &amp; Incidents'!C83="","",'K5. Témoignages &amp; Incidents'!D83)</f>
        <v/>
      </c>
      <c r="C72" s="0" t="str">
        <f aca="false">IF('K5. Témoignages &amp; Incidents'!C83="","",'K5. Témoignages &amp; Incidents'!E83)</f>
        <v/>
      </c>
      <c r="D72" s="0" t="str">
        <f aca="false">IF('K5. Témoignages &amp; Incidents'!C83="","",'K5. Témoignages &amp; Incidents'!F83)</f>
        <v/>
      </c>
      <c r="E72" s="0" t="str">
        <f aca="false">IF('K5. Témoignages &amp; Incidents'!C83="","",'K5. Témoignages &amp; Incidents'!G83)</f>
        <v/>
      </c>
      <c r="F72" s="0" t="str">
        <f aca="false">IF('K5. Témoignages &amp; Incidents'!C83="","",'K5. Témoignages &amp; Incidents'!H83)</f>
        <v/>
      </c>
      <c r="G72" s="0" t="str">
        <f aca="false">IF('K5. Témoignages &amp; Incidents'!C83="","",'K5. Témoignages &amp; Incidents'!I83)</f>
        <v/>
      </c>
      <c r="H72" s="0" t="str">
        <f aca="false">IF('K5. Témoignages &amp; Incidents'!C83="","",'K5. Témoignages &amp; Incidents'!J83)</f>
        <v/>
      </c>
      <c r="I72" s="0" t="str">
        <f aca="false">IF('K5. Témoignages &amp; Incidents'!C83="","",'K5. Témoignages &amp; Incidents'!K83)</f>
        <v/>
      </c>
      <c r="J72" s="0" t="str">
        <f aca="false">IF('K5. Témoignages &amp; Incidents'!C83="","",'K5. Témoignages &amp; Incidents'!L83)</f>
        <v/>
      </c>
      <c r="K72" s="0" t="str">
        <f aca="false">IF('K5. Témoignages &amp; Incidents'!C83="","",'K5. Témoignages &amp; Incidents'!M83)</f>
        <v/>
      </c>
    </row>
    <row r="73" customFormat="false" ht="15" hidden="false" customHeight="false" outlineLevel="0" collapsed="false">
      <c r="A73" s="0" t="str">
        <f aca="false">IF('K5. Témoignages &amp; Incidents'!C84="","",'K5. Témoignages &amp; Incidents'!C84)</f>
        <v/>
      </c>
      <c r="B73" s="173" t="str">
        <f aca="false">IF('K5. Témoignages &amp; Incidents'!C84="","",'K5. Témoignages &amp; Incidents'!D84)</f>
        <v/>
      </c>
      <c r="C73" s="0" t="str">
        <f aca="false">IF('K5. Témoignages &amp; Incidents'!C84="","",'K5. Témoignages &amp; Incidents'!E84)</f>
        <v/>
      </c>
      <c r="D73" s="0" t="str">
        <f aca="false">IF('K5. Témoignages &amp; Incidents'!C84="","",'K5. Témoignages &amp; Incidents'!F84)</f>
        <v/>
      </c>
      <c r="E73" s="0" t="str">
        <f aca="false">IF('K5. Témoignages &amp; Incidents'!C84="","",'K5. Témoignages &amp; Incidents'!G84)</f>
        <v/>
      </c>
      <c r="F73" s="0" t="str">
        <f aca="false">IF('K5. Témoignages &amp; Incidents'!C84="","",'K5. Témoignages &amp; Incidents'!H84)</f>
        <v/>
      </c>
      <c r="G73" s="0" t="str">
        <f aca="false">IF('K5. Témoignages &amp; Incidents'!C84="","",'K5. Témoignages &amp; Incidents'!I84)</f>
        <v/>
      </c>
      <c r="H73" s="0" t="str">
        <f aca="false">IF('K5. Témoignages &amp; Incidents'!C84="","",'K5. Témoignages &amp; Incidents'!J84)</f>
        <v/>
      </c>
      <c r="I73" s="0" t="str">
        <f aca="false">IF('K5. Témoignages &amp; Incidents'!C84="","",'K5. Témoignages &amp; Incidents'!K84)</f>
        <v/>
      </c>
      <c r="J73" s="0" t="str">
        <f aca="false">IF('K5. Témoignages &amp; Incidents'!C84="","",'K5. Témoignages &amp; Incidents'!L84)</f>
        <v/>
      </c>
      <c r="K73" s="0" t="str">
        <f aca="false">IF('K5. Témoignages &amp; Incidents'!C84="","",'K5. Témoignages &amp; Incidents'!M84)</f>
        <v/>
      </c>
    </row>
    <row r="74" customFormat="false" ht="15" hidden="false" customHeight="false" outlineLevel="0" collapsed="false">
      <c r="A74" s="0" t="str">
        <f aca="false">IF('K5. Témoignages &amp; Incidents'!C85="","",'K5. Témoignages &amp; Incidents'!C85)</f>
        <v/>
      </c>
      <c r="B74" s="173" t="str">
        <f aca="false">IF('K5. Témoignages &amp; Incidents'!C85="","",'K5. Témoignages &amp; Incidents'!D85)</f>
        <v/>
      </c>
      <c r="C74" s="0" t="str">
        <f aca="false">IF('K5. Témoignages &amp; Incidents'!C85="","",'K5. Témoignages &amp; Incidents'!E85)</f>
        <v/>
      </c>
      <c r="D74" s="0" t="str">
        <f aca="false">IF('K5. Témoignages &amp; Incidents'!C85="","",'K5. Témoignages &amp; Incidents'!F85)</f>
        <v/>
      </c>
      <c r="E74" s="0" t="str">
        <f aca="false">IF('K5. Témoignages &amp; Incidents'!C85="","",'K5. Témoignages &amp; Incidents'!G85)</f>
        <v/>
      </c>
      <c r="F74" s="0" t="str">
        <f aca="false">IF('K5. Témoignages &amp; Incidents'!C85="","",'K5. Témoignages &amp; Incidents'!H85)</f>
        <v/>
      </c>
      <c r="G74" s="0" t="str">
        <f aca="false">IF('K5. Témoignages &amp; Incidents'!C85="","",'K5. Témoignages &amp; Incidents'!I85)</f>
        <v/>
      </c>
      <c r="H74" s="0" t="str">
        <f aca="false">IF('K5. Témoignages &amp; Incidents'!C85="","",'K5. Témoignages &amp; Incidents'!J85)</f>
        <v/>
      </c>
      <c r="I74" s="0" t="str">
        <f aca="false">IF('K5. Témoignages &amp; Incidents'!C85="","",'K5. Témoignages &amp; Incidents'!K85)</f>
        <v/>
      </c>
      <c r="J74" s="0" t="str">
        <f aca="false">IF('K5. Témoignages &amp; Incidents'!C85="","",'K5. Témoignages &amp; Incidents'!L85)</f>
        <v/>
      </c>
      <c r="K74" s="0" t="str">
        <f aca="false">IF('K5. Témoignages &amp; Incidents'!C85="","",'K5. Témoignages &amp; Incidents'!M85)</f>
        <v/>
      </c>
    </row>
    <row r="75" customFormat="false" ht="15" hidden="false" customHeight="false" outlineLevel="0" collapsed="false">
      <c r="A75" s="0" t="str">
        <f aca="false">IF('K5. Témoignages &amp; Incidents'!C86="","",'K5. Témoignages &amp; Incidents'!C86)</f>
        <v/>
      </c>
      <c r="B75" s="173" t="str">
        <f aca="false">IF('K5. Témoignages &amp; Incidents'!C86="","",'K5. Témoignages &amp; Incidents'!D86)</f>
        <v/>
      </c>
      <c r="C75" s="0" t="str">
        <f aca="false">IF('K5. Témoignages &amp; Incidents'!C86="","",'K5. Témoignages &amp; Incidents'!E86)</f>
        <v/>
      </c>
      <c r="D75" s="0" t="str">
        <f aca="false">IF('K5. Témoignages &amp; Incidents'!C86="","",'K5. Témoignages &amp; Incidents'!F86)</f>
        <v/>
      </c>
      <c r="E75" s="0" t="str">
        <f aca="false">IF('K5. Témoignages &amp; Incidents'!C86="","",'K5. Témoignages &amp; Incidents'!G86)</f>
        <v/>
      </c>
      <c r="F75" s="0" t="str">
        <f aca="false">IF('K5. Témoignages &amp; Incidents'!C86="","",'K5. Témoignages &amp; Incidents'!H86)</f>
        <v/>
      </c>
      <c r="G75" s="0" t="str">
        <f aca="false">IF('K5. Témoignages &amp; Incidents'!C86="","",'K5. Témoignages &amp; Incidents'!I86)</f>
        <v/>
      </c>
      <c r="H75" s="0" t="str">
        <f aca="false">IF('K5. Témoignages &amp; Incidents'!C86="","",'K5. Témoignages &amp; Incidents'!J86)</f>
        <v/>
      </c>
      <c r="I75" s="0" t="str">
        <f aca="false">IF('K5. Témoignages &amp; Incidents'!C86="","",'K5. Témoignages &amp; Incidents'!K86)</f>
        <v/>
      </c>
      <c r="J75" s="0" t="str">
        <f aca="false">IF('K5. Témoignages &amp; Incidents'!C86="","",'K5. Témoignages &amp; Incidents'!L86)</f>
        <v/>
      </c>
      <c r="K75" s="0" t="str">
        <f aca="false">IF('K5. Témoignages &amp; Incidents'!C86="","",'K5. Témoignages &amp; Incidents'!M86)</f>
        <v/>
      </c>
    </row>
    <row r="76" customFormat="false" ht="15" hidden="false" customHeight="false" outlineLevel="0" collapsed="false">
      <c r="A76" s="0" t="str">
        <f aca="false">IF('K5. Témoignages &amp; Incidents'!C87="","",'K5. Témoignages &amp; Incidents'!C87)</f>
        <v/>
      </c>
      <c r="B76" s="173" t="str">
        <f aca="false">IF('K5. Témoignages &amp; Incidents'!C87="","",'K5. Témoignages &amp; Incidents'!D87)</f>
        <v/>
      </c>
      <c r="C76" s="0" t="str">
        <f aca="false">IF('K5. Témoignages &amp; Incidents'!C87="","",'K5. Témoignages &amp; Incidents'!E87)</f>
        <v/>
      </c>
      <c r="D76" s="0" t="str">
        <f aca="false">IF('K5. Témoignages &amp; Incidents'!C87="","",'K5. Témoignages &amp; Incidents'!F87)</f>
        <v/>
      </c>
      <c r="E76" s="0" t="str">
        <f aca="false">IF('K5. Témoignages &amp; Incidents'!C87="","",'K5. Témoignages &amp; Incidents'!G87)</f>
        <v/>
      </c>
      <c r="F76" s="0" t="str">
        <f aca="false">IF('K5. Témoignages &amp; Incidents'!C87="","",'K5. Témoignages &amp; Incidents'!H87)</f>
        <v/>
      </c>
      <c r="G76" s="0" t="str">
        <f aca="false">IF('K5. Témoignages &amp; Incidents'!C87="","",'K5. Témoignages &amp; Incidents'!I87)</f>
        <v/>
      </c>
      <c r="H76" s="0" t="str">
        <f aca="false">IF('K5. Témoignages &amp; Incidents'!C87="","",'K5. Témoignages &amp; Incidents'!J87)</f>
        <v/>
      </c>
      <c r="I76" s="0" t="str">
        <f aca="false">IF('K5. Témoignages &amp; Incidents'!C87="","",'K5. Témoignages &amp; Incidents'!K87)</f>
        <v/>
      </c>
      <c r="J76" s="0" t="str">
        <f aca="false">IF('K5. Témoignages &amp; Incidents'!C87="","",'K5. Témoignages &amp; Incidents'!L87)</f>
        <v/>
      </c>
      <c r="K76" s="0" t="str">
        <f aca="false">IF('K5. Témoignages &amp; Incidents'!C87="","",'K5. Témoignages &amp; Incidents'!M87)</f>
        <v/>
      </c>
    </row>
    <row r="77" customFormat="false" ht="15" hidden="false" customHeight="false" outlineLevel="0" collapsed="false">
      <c r="A77" s="0" t="str">
        <f aca="false">IF('K5. Témoignages &amp; Incidents'!C88="","",'K5. Témoignages &amp; Incidents'!C88)</f>
        <v/>
      </c>
      <c r="B77" s="173" t="str">
        <f aca="false">IF('K5. Témoignages &amp; Incidents'!C88="","",'K5. Témoignages &amp; Incidents'!D88)</f>
        <v/>
      </c>
      <c r="C77" s="0" t="str">
        <f aca="false">IF('K5. Témoignages &amp; Incidents'!C88="","",'K5. Témoignages &amp; Incidents'!E88)</f>
        <v/>
      </c>
      <c r="D77" s="0" t="str">
        <f aca="false">IF('K5. Témoignages &amp; Incidents'!C88="","",'K5. Témoignages &amp; Incidents'!F88)</f>
        <v/>
      </c>
      <c r="E77" s="0" t="str">
        <f aca="false">IF('K5. Témoignages &amp; Incidents'!C88="","",'K5. Témoignages &amp; Incidents'!G88)</f>
        <v/>
      </c>
      <c r="F77" s="0" t="str">
        <f aca="false">IF('K5. Témoignages &amp; Incidents'!C88="","",'K5. Témoignages &amp; Incidents'!H88)</f>
        <v/>
      </c>
      <c r="G77" s="0" t="str">
        <f aca="false">IF('K5. Témoignages &amp; Incidents'!C88="","",'K5. Témoignages &amp; Incidents'!I88)</f>
        <v/>
      </c>
      <c r="H77" s="0" t="str">
        <f aca="false">IF('K5. Témoignages &amp; Incidents'!C88="","",'K5. Témoignages &amp; Incidents'!J88)</f>
        <v/>
      </c>
      <c r="I77" s="0" t="str">
        <f aca="false">IF('K5. Témoignages &amp; Incidents'!C88="","",'K5. Témoignages &amp; Incidents'!K88)</f>
        <v/>
      </c>
      <c r="J77" s="0" t="str">
        <f aca="false">IF('K5. Témoignages &amp; Incidents'!C88="","",'K5. Témoignages &amp; Incidents'!L88)</f>
        <v/>
      </c>
      <c r="K77" s="0" t="str">
        <f aca="false">IF('K5. Témoignages &amp; Incidents'!C88="","",'K5. Témoignages &amp; Incidents'!M88)</f>
        <v/>
      </c>
    </row>
    <row r="78" customFormat="false" ht="15" hidden="false" customHeight="false" outlineLevel="0" collapsed="false">
      <c r="A78" s="0" t="str">
        <f aca="false">IF('K5. Témoignages &amp; Incidents'!C89="","",'K5. Témoignages &amp; Incidents'!C89)</f>
        <v/>
      </c>
      <c r="B78" s="173" t="str">
        <f aca="false">IF('K5. Témoignages &amp; Incidents'!C89="","",'K5. Témoignages &amp; Incidents'!D89)</f>
        <v/>
      </c>
      <c r="C78" s="0" t="str">
        <f aca="false">IF('K5. Témoignages &amp; Incidents'!C89="","",'K5. Témoignages &amp; Incidents'!E89)</f>
        <v/>
      </c>
      <c r="D78" s="0" t="str">
        <f aca="false">IF('K5. Témoignages &amp; Incidents'!C89="","",'K5. Témoignages &amp; Incidents'!F89)</f>
        <v/>
      </c>
      <c r="E78" s="0" t="str">
        <f aca="false">IF('K5. Témoignages &amp; Incidents'!C89="","",'K5. Témoignages &amp; Incidents'!G89)</f>
        <v/>
      </c>
      <c r="F78" s="0" t="str">
        <f aca="false">IF('K5. Témoignages &amp; Incidents'!C89="","",'K5. Témoignages &amp; Incidents'!H89)</f>
        <v/>
      </c>
      <c r="G78" s="0" t="str">
        <f aca="false">IF('K5. Témoignages &amp; Incidents'!C89="","",'K5. Témoignages &amp; Incidents'!I89)</f>
        <v/>
      </c>
      <c r="H78" s="0" t="str">
        <f aca="false">IF('K5. Témoignages &amp; Incidents'!C89="","",'K5. Témoignages &amp; Incidents'!J89)</f>
        <v/>
      </c>
      <c r="I78" s="0" t="str">
        <f aca="false">IF('K5. Témoignages &amp; Incidents'!C89="","",'K5. Témoignages &amp; Incidents'!K89)</f>
        <v/>
      </c>
      <c r="J78" s="0" t="str">
        <f aca="false">IF('K5. Témoignages &amp; Incidents'!C89="","",'K5. Témoignages &amp; Incidents'!L89)</f>
        <v/>
      </c>
      <c r="K78" s="0" t="str">
        <f aca="false">IF('K5. Témoignages &amp; Incidents'!C89="","",'K5. Témoignages &amp; Incidents'!M89)</f>
        <v/>
      </c>
    </row>
    <row r="79" customFormat="false" ht="15" hidden="false" customHeight="false" outlineLevel="0" collapsed="false">
      <c r="A79" s="0" t="str">
        <f aca="false">IF('K5. Témoignages &amp; Incidents'!C90="","",'K5. Témoignages &amp; Incidents'!C90)</f>
        <v/>
      </c>
      <c r="B79" s="173" t="str">
        <f aca="false">IF('K5. Témoignages &amp; Incidents'!C90="","",'K5. Témoignages &amp; Incidents'!D90)</f>
        <v/>
      </c>
      <c r="C79" s="0" t="str">
        <f aca="false">IF('K5. Témoignages &amp; Incidents'!C90="","",'K5. Témoignages &amp; Incidents'!E90)</f>
        <v/>
      </c>
      <c r="D79" s="0" t="str">
        <f aca="false">IF('K5. Témoignages &amp; Incidents'!C90="","",'K5. Témoignages &amp; Incidents'!F90)</f>
        <v/>
      </c>
      <c r="E79" s="0" t="str">
        <f aca="false">IF('K5. Témoignages &amp; Incidents'!C90="","",'K5. Témoignages &amp; Incidents'!G90)</f>
        <v/>
      </c>
      <c r="F79" s="0" t="str">
        <f aca="false">IF('K5. Témoignages &amp; Incidents'!C90="","",'K5. Témoignages &amp; Incidents'!H90)</f>
        <v/>
      </c>
      <c r="G79" s="0" t="str">
        <f aca="false">IF('K5. Témoignages &amp; Incidents'!C90="","",'K5. Témoignages &amp; Incidents'!I90)</f>
        <v/>
      </c>
      <c r="H79" s="0" t="str">
        <f aca="false">IF('K5. Témoignages &amp; Incidents'!C90="","",'K5. Témoignages &amp; Incidents'!J90)</f>
        <v/>
      </c>
      <c r="I79" s="0" t="str">
        <f aca="false">IF('K5. Témoignages &amp; Incidents'!C90="","",'K5. Témoignages &amp; Incidents'!K90)</f>
        <v/>
      </c>
      <c r="J79" s="0" t="str">
        <f aca="false">IF('K5. Témoignages &amp; Incidents'!C90="","",'K5. Témoignages &amp; Incidents'!L90)</f>
        <v/>
      </c>
      <c r="K79" s="0" t="str">
        <f aca="false">IF('K5. Témoignages &amp; Incidents'!C90="","",'K5. Témoignages &amp; Incidents'!M90)</f>
        <v/>
      </c>
    </row>
    <row r="80" customFormat="false" ht="15" hidden="false" customHeight="false" outlineLevel="0" collapsed="false">
      <c r="A80" s="0" t="str">
        <f aca="false">IF('K5. Témoignages &amp; Incidents'!C91="","",'K5. Témoignages &amp; Incidents'!C91)</f>
        <v/>
      </c>
      <c r="B80" s="173" t="str">
        <f aca="false">IF('K5. Témoignages &amp; Incidents'!C91="","",'K5. Témoignages &amp; Incidents'!D91)</f>
        <v/>
      </c>
      <c r="C80" s="0" t="str">
        <f aca="false">IF('K5. Témoignages &amp; Incidents'!C91="","",'K5. Témoignages &amp; Incidents'!E91)</f>
        <v/>
      </c>
      <c r="D80" s="0" t="str">
        <f aca="false">IF('K5. Témoignages &amp; Incidents'!C91="","",'K5. Témoignages &amp; Incidents'!F91)</f>
        <v/>
      </c>
      <c r="E80" s="0" t="str">
        <f aca="false">IF('K5. Témoignages &amp; Incidents'!C91="","",'K5. Témoignages &amp; Incidents'!G91)</f>
        <v/>
      </c>
      <c r="F80" s="0" t="str">
        <f aca="false">IF('K5. Témoignages &amp; Incidents'!C91="","",'K5. Témoignages &amp; Incidents'!H91)</f>
        <v/>
      </c>
      <c r="G80" s="0" t="str">
        <f aca="false">IF('K5. Témoignages &amp; Incidents'!C91="","",'K5. Témoignages &amp; Incidents'!I91)</f>
        <v/>
      </c>
      <c r="H80" s="0" t="str">
        <f aca="false">IF('K5. Témoignages &amp; Incidents'!C91="","",'K5. Témoignages &amp; Incidents'!J91)</f>
        <v/>
      </c>
      <c r="I80" s="0" t="str">
        <f aca="false">IF('K5. Témoignages &amp; Incidents'!C91="","",'K5. Témoignages &amp; Incidents'!K91)</f>
        <v/>
      </c>
      <c r="J80" s="0" t="str">
        <f aca="false">IF('K5. Témoignages &amp; Incidents'!C91="","",'K5. Témoignages &amp; Incidents'!L91)</f>
        <v/>
      </c>
      <c r="K80" s="0" t="str">
        <f aca="false">IF('K5. Témoignages &amp; Incidents'!C91="","",'K5. Témoignages &amp; Incidents'!M91)</f>
        <v/>
      </c>
    </row>
    <row r="81" customFormat="false" ht="15" hidden="false" customHeight="false" outlineLevel="0" collapsed="false">
      <c r="A81" s="0" t="str">
        <f aca="false">IF('K5. Témoignages &amp; Incidents'!C92="","",'K5. Témoignages &amp; Incidents'!C92)</f>
        <v/>
      </c>
      <c r="B81" s="173" t="str">
        <f aca="false">IF('K5. Témoignages &amp; Incidents'!C92="","",'K5. Témoignages &amp; Incidents'!D92)</f>
        <v/>
      </c>
      <c r="C81" s="0" t="str">
        <f aca="false">IF('K5. Témoignages &amp; Incidents'!C92="","",'K5. Témoignages &amp; Incidents'!E92)</f>
        <v/>
      </c>
      <c r="D81" s="0" t="str">
        <f aca="false">IF('K5. Témoignages &amp; Incidents'!C92="","",'K5. Témoignages &amp; Incidents'!F92)</f>
        <v/>
      </c>
      <c r="E81" s="0" t="str">
        <f aca="false">IF('K5. Témoignages &amp; Incidents'!C92="","",'K5. Témoignages &amp; Incidents'!G92)</f>
        <v/>
      </c>
      <c r="F81" s="0" t="str">
        <f aca="false">IF('K5. Témoignages &amp; Incidents'!C92="","",'K5. Témoignages &amp; Incidents'!H92)</f>
        <v/>
      </c>
      <c r="G81" s="0" t="str">
        <f aca="false">IF('K5. Témoignages &amp; Incidents'!C92="","",'K5. Témoignages &amp; Incidents'!I92)</f>
        <v/>
      </c>
      <c r="H81" s="0" t="str">
        <f aca="false">IF('K5. Témoignages &amp; Incidents'!C92="","",'K5. Témoignages &amp; Incidents'!J92)</f>
        <v/>
      </c>
      <c r="I81" s="0" t="str">
        <f aca="false">IF('K5. Témoignages &amp; Incidents'!C92="","",'K5. Témoignages &amp; Incidents'!K92)</f>
        <v/>
      </c>
      <c r="J81" s="0" t="str">
        <f aca="false">IF('K5. Témoignages &amp; Incidents'!C92="","",'K5. Témoignages &amp; Incidents'!L92)</f>
        <v/>
      </c>
      <c r="K81" s="0" t="str">
        <f aca="false">IF('K5. Témoignages &amp; Incidents'!C92="","",'K5. Témoignages &amp; Incidents'!M92)</f>
        <v/>
      </c>
    </row>
    <row r="82" customFormat="false" ht="15" hidden="false" customHeight="false" outlineLevel="0" collapsed="false">
      <c r="A82" s="0" t="str">
        <f aca="false">IF('K5. Témoignages &amp; Incidents'!C93="","",'K5. Témoignages &amp; Incidents'!C93)</f>
        <v/>
      </c>
      <c r="B82" s="173" t="str">
        <f aca="false">IF('K5. Témoignages &amp; Incidents'!C93="","",'K5. Témoignages &amp; Incidents'!D93)</f>
        <v/>
      </c>
      <c r="C82" s="0" t="str">
        <f aca="false">IF('K5. Témoignages &amp; Incidents'!C93="","",'K5. Témoignages &amp; Incidents'!E93)</f>
        <v/>
      </c>
      <c r="D82" s="0" t="str">
        <f aca="false">IF('K5. Témoignages &amp; Incidents'!C93="","",'K5. Témoignages &amp; Incidents'!F93)</f>
        <v/>
      </c>
      <c r="E82" s="0" t="str">
        <f aca="false">IF('K5. Témoignages &amp; Incidents'!C93="","",'K5. Témoignages &amp; Incidents'!G93)</f>
        <v/>
      </c>
      <c r="F82" s="0" t="str">
        <f aca="false">IF('K5. Témoignages &amp; Incidents'!C93="","",'K5. Témoignages &amp; Incidents'!H93)</f>
        <v/>
      </c>
      <c r="G82" s="0" t="str">
        <f aca="false">IF('K5. Témoignages &amp; Incidents'!C93="","",'K5. Témoignages &amp; Incidents'!I93)</f>
        <v/>
      </c>
      <c r="H82" s="0" t="str">
        <f aca="false">IF('K5. Témoignages &amp; Incidents'!C93="","",'K5. Témoignages &amp; Incidents'!J93)</f>
        <v/>
      </c>
      <c r="I82" s="0" t="str">
        <f aca="false">IF('K5. Témoignages &amp; Incidents'!C93="","",'K5. Témoignages &amp; Incidents'!K93)</f>
        <v/>
      </c>
      <c r="J82" s="0" t="str">
        <f aca="false">IF('K5. Témoignages &amp; Incidents'!C93="","",'K5. Témoignages &amp; Incidents'!L93)</f>
        <v/>
      </c>
      <c r="K82" s="0" t="str">
        <f aca="false">IF('K5. Témoignages &amp; Incidents'!C93="","",'K5. Témoignages &amp; Incidents'!M93)</f>
        <v/>
      </c>
    </row>
    <row r="83" customFormat="false" ht="15" hidden="false" customHeight="false" outlineLevel="0" collapsed="false">
      <c r="A83" s="0" t="str">
        <f aca="false">IF('K5. Témoignages &amp; Incidents'!C94="","",'K5. Témoignages &amp; Incidents'!C94)</f>
        <v/>
      </c>
      <c r="B83" s="173" t="str">
        <f aca="false">IF('K5. Témoignages &amp; Incidents'!C94="","",'K5. Témoignages &amp; Incidents'!D94)</f>
        <v/>
      </c>
      <c r="C83" s="0" t="str">
        <f aca="false">IF('K5. Témoignages &amp; Incidents'!C94="","",'K5. Témoignages &amp; Incidents'!E94)</f>
        <v/>
      </c>
      <c r="D83" s="0" t="str">
        <f aca="false">IF('K5. Témoignages &amp; Incidents'!C94="","",'K5. Témoignages &amp; Incidents'!F94)</f>
        <v/>
      </c>
      <c r="E83" s="0" t="str">
        <f aca="false">IF('K5. Témoignages &amp; Incidents'!C94="","",'K5. Témoignages &amp; Incidents'!G94)</f>
        <v/>
      </c>
      <c r="F83" s="0" t="str">
        <f aca="false">IF('K5. Témoignages &amp; Incidents'!C94="","",'K5. Témoignages &amp; Incidents'!H94)</f>
        <v/>
      </c>
      <c r="G83" s="0" t="str">
        <f aca="false">IF('K5. Témoignages &amp; Incidents'!C94="","",'K5. Témoignages &amp; Incidents'!I94)</f>
        <v/>
      </c>
      <c r="H83" s="0" t="str">
        <f aca="false">IF('K5. Témoignages &amp; Incidents'!C94="","",'K5. Témoignages &amp; Incidents'!J94)</f>
        <v/>
      </c>
      <c r="I83" s="0" t="str">
        <f aca="false">IF('K5. Témoignages &amp; Incidents'!C94="","",'K5. Témoignages &amp; Incidents'!K94)</f>
        <v/>
      </c>
      <c r="J83" s="0" t="str">
        <f aca="false">IF('K5. Témoignages &amp; Incidents'!C94="","",'K5. Témoignages &amp; Incidents'!L94)</f>
        <v/>
      </c>
      <c r="K83" s="0" t="str">
        <f aca="false">IF('K5. Témoignages &amp; Incidents'!C94="","",'K5. Témoignages &amp; Incidents'!M94)</f>
        <v/>
      </c>
    </row>
    <row r="84" customFormat="false" ht="15" hidden="false" customHeight="false" outlineLevel="0" collapsed="false">
      <c r="A84" s="0" t="str">
        <f aca="false">IF('K5. Témoignages &amp; Incidents'!C95="","",'K5. Témoignages &amp; Incidents'!C95)</f>
        <v/>
      </c>
      <c r="B84" s="173" t="str">
        <f aca="false">IF('K5. Témoignages &amp; Incidents'!C95="","",'K5. Témoignages &amp; Incidents'!D95)</f>
        <v/>
      </c>
      <c r="C84" s="0" t="str">
        <f aca="false">IF('K5. Témoignages &amp; Incidents'!C95="","",'K5. Témoignages &amp; Incidents'!E95)</f>
        <v/>
      </c>
      <c r="D84" s="0" t="str">
        <f aca="false">IF('K5. Témoignages &amp; Incidents'!C95="","",'K5. Témoignages &amp; Incidents'!F95)</f>
        <v/>
      </c>
      <c r="E84" s="0" t="str">
        <f aca="false">IF('K5. Témoignages &amp; Incidents'!C95="","",'K5. Témoignages &amp; Incidents'!G95)</f>
        <v/>
      </c>
      <c r="F84" s="0" t="str">
        <f aca="false">IF('K5. Témoignages &amp; Incidents'!C95="","",'K5. Témoignages &amp; Incidents'!H95)</f>
        <v/>
      </c>
      <c r="G84" s="0" t="str">
        <f aca="false">IF('K5. Témoignages &amp; Incidents'!C95="","",'K5. Témoignages &amp; Incidents'!I95)</f>
        <v/>
      </c>
      <c r="H84" s="0" t="str">
        <f aca="false">IF('K5. Témoignages &amp; Incidents'!C95="","",'K5. Témoignages &amp; Incidents'!J95)</f>
        <v/>
      </c>
      <c r="I84" s="0" t="str">
        <f aca="false">IF('K5. Témoignages &amp; Incidents'!C95="","",'K5. Témoignages &amp; Incidents'!K95)</f>
        <v/>
      </c>
      <c r="J84" s="0" t="str">
        <f aca="false">IF('K5. Témoignages &amp; Incidents'!C95="","",'K5. Témoignages &amp; Incidents'!L95)</f>
        <v/>
      </c>
      <c r="K84" s="0" t="str">
        <f aca="false">IF('K5. Témoignages &amp; Incidents'!C95="","",'K5. Témoignages &amp; Incidents'!M95)</f>
        <v/>
      </c>
    </row>
    <row r="85" customFormat="false" ht="15" hidden="false" customHeight="false" outlineLevel="0" collapsed="false">
      <c r="A85" s="0" t="str">
        <f aca="false">IF('K5. Témoignages &amp; Incidents'!C96="","",'K5. Témoignages &amp; Incidents'!C96)</f>
        <v/>
      </c>
      <c r="B85" s="173" t="str">
        <f aca="false">IF('K5. Témoignages &amp; Incidents'!C96="","",'K5. Témoignages &amp; Incidents'!D96)</f>
        <v/>
      </c>
      <c r="C85" s="0" t="str">
        <f aca="false">IF('K5. Témoignages &amp; Incidents'!C96="","",'K5. Témoignages &amp; Incidents'!E96)</f>
        <v/>
      </c>
      <c r="D85" s="0" t="str">
        <f aca="false">IF('K5. Témoignages &amp; Incidents'!C96="","",'K5. Témoignages &amp; Incidents'!F96)</f>
        <v/>
      </c>
      <c r="E85" s="0" t="str">
        <f aca="false">IF('K5. Témoignages &amp; Incidents'!C96="","",'K5. Témoignages &amp; Incidents'!G96)</f>
        <v/>
      </c>
      <c r="F85" s="0" t="str">
        <f aca="false">IF('K5. Témoignages &amp; Incidents'!C96="","",'K5. Témoignages &amp; Incidents'!H96)</f>
        <v/>
      </c>
      <c r="G85" s="0" t="str">
        <f aca="false">IF('K5. Témoignages &amp; Incidents'!C96="","",'K5. Témoignages &amp; Incidents'!I96)</f>
        <v/>
      </c>
      <c r="H85" s="0" t="str">
        <f aca="false">IF('K5. Témoignages &amp; Incidents'!C96="","",'K5. Témoignages &amp; Incidents'!J96)</f>
        <v/>
      </c>
      <c r="I85" s="0" t="str">
        <f aca="false">IF('K5. Témoignages &amp; Incidents'!C96="","",'K5. Témoignages &amp; Incidents'!K96)</f>
        <v/>
      </c>
      <c r="J85" s="0" t="str">
        <f aca="false">IF('K5. Témoignages &amp; Incidents'!C96="","",'K5. Témoignages &amp; Incidents'!L96)</f>
        <v/>
      </c>
      <c r="K85" s="0" t="str">
        <f aca="false">IF('K5. Témoignages &amp; Incidents'!C96="","",'K5. Témoignages &amp; Incidents'!M96)</f>
        <v/>
      </c>
    </row>
    <row r="86" customFormat="false" ht="15" hidden="false" customHeight="false" outlineLevel="0" collapsed="false">
      <c r="A86" s="0" t="str">
        <f aca="false">IF('K5. Témoignages &amp; Incidents'!C97="","",'K5. Témoignages &amp; Incidents'!C97)</f>
        <v/>
      </c>
      <c r="B86" s="173" t="str">
        <f aca="false">IF('K5. Témoignages &amp; Incidents'!C97="","",'K5. Témoignages &amp; Incidents'!D97)</f>
        <v/>
      </c>
      <c r="C86" s="0" t="str">
        <f aca="false">IF('K5. Témoignages &amp; Incidents'!C97="","",'K5. Témoignages &amp; Incidents'!E97)</f>
        <v/>
      </c>
      <c r="D86" s="0" t="str">
        <f aca="false">IF('K5. Témoignages &amp; Incidents'!C97="","",'K5. Témoignages &amp; Incidents'!F97)</f>
        <v/>
      </c>
      <c r="E86" s="0" t="str">
        <f aca="false">IF('K5. Témoignages &amp; Incidents'!C97="","",'K5. Témoignages &amp; Incidents'!G97)</f>
        <v/>
      </c>
      <c r="F86" s="0" t="str">
        <f aca="false">IF('K5. Témoignages &amp; Incidents'!C97="","",'K5. Témoignages &amp; Incidents'!H97)</f>
        <v/>
      </c>
      <c r="G86" s="0" t="str">
        <f aca="false">IF('K5. Témoignages &amp; Incidents'!C97="","",'K5. Témoignages &amp; Incidents'!I97)</f>
        <v/>
      </c>
      <c r="H86" s="0" t="str">
        <f aca="false">IF('K5. Témoignages &amp; Incidents'!C97="","",'K5. Témoignages &amp; Incidents'!J97)</f>
        <v/>
      </c>
      <c r="I86" s="0" t="str">
        <f aca="false">IF('K5. Témoignages &amp; Incidents'!C97="","",'K5. Témoignages &amp; Incidents'!K97)</f>
        <v/>
      </c>
      <c r="J86" s="0" t="str">
        <f aca="false">IF('K5. Témoignages &amp; Incidents'!C97="","",'K5. Témoignages &amp; Incidents'!L97)</f>
        <v/>
      </c>
      <c r="K86" s="0" t="str">
        <f aca="false">IF('K5. Témoignages &amp; Incidents'!C97="","",'K5. Témoignages &amp; Incidents'!M97)</f>
        <v/>
      </c>
    </row>
    <row r="87" customFormat="false" ht="15" hidden="false" customHeight="false" outlineLevel="0" collapsed="false">
      <c r="A87" s="0" t="str">
        <f aca="false">IF('K5. Témoignages &amp; Incidents'!C98="","",'K5. Témoignages &amp; Incidents'!C98)</f>
        <v/>
      </c>
      <c r="B87" s="173" t="str">
        <f aca="false">IF('K5. Témoignages &amp; Incidents'!C98="","",'K5. Témoignages &amp; Incidents'!D98)</f>
        <v/>
      </c>
      <c r="C87" s="0" t="str">
        <f aca="false">IF('K5. Témoignages &amp; Incidents'!C98="","",'K5. Témoignages &amp; Incidents'!E98)</f>
        <v/>
      </c>
      <c r="D87" s="0" t="str">
        <f aca="false">IF('K5. Témoignages &amp; Incidents'!C98="","",'K5. Témoignages &amp; Incidents'!F98)</f>
        <v/>
      </c>
      <c r="E87" s="0" t="str">
        <f aca="false">IF('K5. Témoignages &amp; Incidents'!C98="","",'K5. Témoignages &amp; Incidents'!G98)</f>
        <v/>
      </c>
      <c r="F87" s="0" t="str">
        <f aca="false">IF('K5. Témoignages &amp; Incidents'!C98="","",'K5. Témoignages &amp; Incidents'!H98)</f>
        <v/>
      </c>
      <c r="G87" s="0" t="str">
        <f aca="false">IF('K5. Témoignages &amp; Incidents'!C98="","",'K5. Témoignages &amp; Incidents'!I98)</f>
        <v/>
      </c>
      <c r="H87" s="0" t="str">
        <f aca="false">IF('K5. Témoignages &amp; Incidents'!C98="","",'K5. Témoignages &amp; Incidents'!J98)</f>
        <v/>
      </c>
      <c r="I87" s="0" t="str">
        <f aca="false">IF('K5. Témoignages &amp; Incidents'!C98="","",'K5. Témoignages &amp; Incidents'!K98)</f>
        <v/>
      </c>
      <c r="J87" s="0" t="str">
        <f aca="false">IF('K5. Témoignages &amp; Incidents'!C98="","",'K5. Témoignages &amp; Incidents'!L98)</f>
        <v/>
      </c>
      <c r="K87" s="0" t="str">
        <f aca="false">IF('K5. Témoignages &amp; Incidents'!C98="","",'K5. Témoignages &amp; Incidents'!M98)</f>
        <v/>
      </c>
    </row>
    <row r="88" customFormat="false" ht="15" hidden="false" customHeight="false" outlineLevel="0" collapsed="false">
      <c r="A88" s="0" t="str">
        <f aca="false">IF('K5. Témoignages &amp; Incidents'!C99="","",'K5. Témoignages &amp; Incidents'!C99)</f>
        <v/>
      </c>
      <c r="B88" s="173" t="str">
        <f aca="false">IF('K5. Témoignages &amp; Incidents'!C99="","",'K5. Témoignages &amp; Incidents'!D99)</f>
        <v/>
      </c>
      <c r="C88" s="0" t="str">
        <f aca="false">IF('K5. Témoignages &amp; Incidents'!C99="","",'K5. Témoignages &amp; Incidents'!E99)</f>
        <v/>
      </c>
      <c r="D88" s="0" t="str">
        <f aca="false">IF('K5. Témoignages &amp; Incidents'!C99="","",'K5. Témoignages &amp; Incidents'!F99)</f>
        <v/>
      </c>
      <c r="E88" s="0" t="str">
        <f aca="false">IF('K5. Témoignages &amp; Incidents'!C99="","",'K5. Témoignages &amp; Incidents'!G99)</f>
        <v/>
      </c>
      <c r="F88" s="0" t="str">
        <f aca="false">IF('K5. Témoignages &amp; Incidents'!C99="","",'K5. Témoignages &amp; Incidents'!H99)</f>
        <v/>
      </c>
      <c r="G88" s="0" t="str">
        <f aca="false">IF('K5. Témoignages &amp; Incidents'!C99="","",'K5. Témoignages &amp; Incidents'!I99)</f>
        <v/>
      </c>
      <c r="H88" s="0" t="str">
        <f aca="false">IF('K5. Témoignages &amp; Incidents'!C99="","",'K5. Témoignages &amp; Incidents'!J99)</f>
        <v/>
      </c>
      <c r="I88" s="0" t="str">
        <f aca="false">IF('K5. Témoignages &amp; Incidents'!C99="","",'K5. Témoignages &amp; Incidents'!K99)</f>
        <v/>
      </c>
      <c r="J88" s="0" t="str">
        <f aca="false">IF('K5. Témoignages &amp; Incidents'!C99="","",'K5. Témoignages &amp; Incidents'!L99)</f>
        <v/>
      </c>
      <c r="K88" s="0" t="str">
        <f aca="false">IF('K5. Témoignages &amp; Incidents'!C99="","",'K5. Témoignages &amp; Incidents'!M99)</f>
        <v/>
      </c>
    </row>
    <row r="89" customFormat="false" ht="15" hidden="false" customHeight="false" outlineLevel="0" collapsed="false">
      <c r="A89" s="0" t="str">
        <f aca="false">IF('K5. Témoignages &amp; Incidents'!C100="","",'K5. Témoignages &amp; Incidents'!C100)</f>
        <v/>
      </c>
      <c r="B89" s="173" t="str">
        <f aca="false">IF('K5. Témoignages &amp; Incidents'!C100="","",'K5. Témoignages &amp; Incidents'!D100)</f>
        <v/>
      </c>
      <c r="C89" s="0" t="str">
        <f aca="false">IF('K5. Témoignages &amp; Incidents'!C100="","",'K5. Témoignages &amp; Incidents'!E100)</f>
        <v/>
      </c>
      <c r="D89" s="0" t="str">
        <f aca="false">IF('K5. Témoignages &amp; Incidents'!C100="","",'K5. Témoignages &amp; Incidents'!F100)</f>
        <v/>
      </c>
      <c r="E89" s="0" t="str">
        <f aca="false">IF('K5. Témoignages &amp; Incidents'!C100="","",'K5. Témoignages &amp; Incidents'!G100)</f>
        <v/>
      </c>
      <c r="F89" s="0" t="str">
        <f aca="false">IF('K5. Témoignages &amp; Incidents'!C100="","",'K5. Témoignages &amp; Incidents'!H100)</f>
        <v/>
      </c>
      <c r="G89" s="0" t="str">
        <f aca="false">IF('K5. Témoignages &amp; Incidents'!C100="","",'K5. Témoignages &amp; Incidents'!I100)</f>
        <v/>
      </c>
      <c r="H89" s="0" t="str">
        <f aca="false">IF('K5. Témoignages &amp; Incidents'!C100="","",'K5. Témoignages &amp; Incidents'!J100)</f>
        <v/>
      </c>
      <c r="I89" s="0" t="str">
        <f aca="false">IF('K5. Témoignages &amp; Incidents'!C100="","",'K5. Témoignages &amp; Incidents'!K100)</f>
        <v/>
      </c>
      <c r="J89" s="0" t="str">
        <f aca="false">IF('K5. Témoignages &amp; Incidents'!C100="","",'K5. Témoignages &amp; Incidents'!L100)</f>
        <v/>
      </c>
      <c r="K89" s="0" t="str">
        <f aca="false">IF('K5. Témoignages &amp; Incidents'!C100="","",'K5. Témoignages &amp; Incidents'!M100)</f>
        <v/>
      </c>
    </row>
    <row r="90" customFormat="false" ht="15" hidden="false" customHeight="false" outlineLevel="0" collapsed="false">
      <c r="A90" s="0" t="str">
        <f aca="false">IF('K5. Témoignages &amp; Incidents'!C101="","",'K5. Témoignages &amp; Incidents'!C101)</f>
        <v/>
      </c>
      <c r="B90" s="173" t="str">
        <f aca="false">IF('K5. Témoignages &amp; Incidents'!C101="","",'K5. Témoignages &amp; Incidents'!D101)</f>
        <v/>
      </c>
      <c r="C90" s="0" t="str">
        <f aca="false">IF('K5. Témoignages &amp; Incidents'!C101="","",'K5. Témoignages &amp; Incidents'!E101)</f>
        <v/>
      </c>
      <c r="D90" s="0" t="str">
        <f aca="false">IF('K5. Témoignages &amp; Incidents'!C101="","",'K5. Témoignages &amp; Incidents'!F101)</f>
        <v/>
      </c>
      <c r="E90" s="0" t="str">
        <f aca="false">IF('K5. Témoignages &amp; Incidents'!C101="","",'K5. Témoignages &amp; Incidents'!G101)</f>
        <v/>
      </c>
      <c r="F90" s="0" t="str">
        <f aca="false">IF('K5. Témoignages &amp; Incidents'!C101="","",'K5. Témoignages &amp; Incidents'!H101)</f>
        <v/>
      </c>
      <c r="G90" s="0" t="str">
        <f aca="false">IF('K5. Témoignages &amp; Incidents'!C101="","",'K5. Témoignages &amp; Incidents'!I101)</f>
        <v/>
      </c>
      <c r="H90" s="0" t="str">
        <f aca="false">IF('K5. Témoignages &amp; Incidents'!C101="","",'K5. Témoignages &amp; Incidents'!J101)</f>
        <v/>
      </c>
      <c r="I90" s="0" t="str">
        <f aca="false">IF('K5. Témoignages &amp; Incidents'!C101="","",'K5. Témoignages &amp; Incidents'!K101)</f>
        <v/>
      </c>
      <c r="J90" s="0" t="str">
        <f aca="false">IF('K5. Témoignages &amp; Incidents'!C101="","",'K5. Témoignages &amp; Incidents'!L101)</f>
        <v/>
      </c>
      <c r="K90" s="0" t="str">
        <f aca="false">IF('K5. Témoignages &amp; Incidents'!C101="","",'K5. Témoignages &amp; Incidents'!M101)</f>
        <v/>
      </c>
    </row>
    <row r="91" customFormat="false" ht="15" hidden="false" customHeight="false" outlineLevel="0" collapsed="false">
      <c r="A91" s="0" t="str">
        <f aca="false">IF('K5. Témoignages &amp; Incidents'!C102="","",'K5. Témoignages &amp; Incidents'!C102)</f>
        <v/>
      </c>
      <c r="B91" s="173" t="str">
        <f aca="false">IF('K5. Témoignages &amp; Incidents'!C102="","",'K5. Témoignages &amp; Incidents'!D102)</f>
        <v/>
      </c>
      <c r="C91" s="0" t="str">
        <f aca="false">IF('K5. Témoignages &amp; Incidents'!C102="","",'K5. Témoignages &amp; Incidents'!E102)</f>
        <v/>
      </c>
      <c r="D91" s="0" t="str">
        <f aca="false">IF('K5. Témoignages &amp; Incidents'!C102="","",'K5. Témoignages &amp; Incidents'!F102)</f>
        <v/>
      </c>
      <c r="E91" s="0" t="str">
        <f aca="false">IF('K5. Témoignages &amp; Incidents'!C102="","",'K5. Témoignages &amp; Incidents'!G102)</f>
        <v/>
      </c>
      <c r="F91" s="0" t="str">
        <f aca="false">IF('K5. Témoignages &amp; Incidents'!C102="","",'K5. Témoignages &amp; Incidents'!H102)</f>
        <v/>
      </c>
      <c r="G91" s="0" t="str">
        <f aca="false">IF('K5. Témoignages &amp; Incidents'!C102="","",'K5. Témoignages &amp; Incidents'!I102)</f>
        <v/>
      </c>
      <c r="H91" s="0" t="str">
        <f aca="false">IF('K5. Témoignages &amp; Incidents'!C102="","",'K5. Témoignages &amp; Incidents'!J102)</f>
        <v/>
      </c>
      <c r="I91" s="0" t="str">
        <f aca="false">IF('K5. Témoignages &amp; Incidents'!C102="","",'K5. Témoignages &amp; Incidents'!K102)</f>
        <v/>
      </c>
      <c r="J91" s="0" t="str">
        <f aca="false">IF('K5. Témoignages &amp; Incidents'!C102="","",'K5. Témoignages &amp; Incidents'!L102)</f>
        <v/>
      </c>
      <c r="K91" s="0" t="str">
        <f aca="false">IF('K5. Témoignages &amp; Incidents'!C102="","",'K5. Témoignages &amp; Incidents'!M102)</f>
        <v/>
      </c>
    </row>
    <row r="92" customFormat="false" ht="15" hidden="false" customHeight="false" outlineLevel="0" collapsed="false">
      <c r="A92" s="0" t="str">
        <f aca="false">IF('K5. Témoignages &amp; Incidents'!C103="","",'K5. Témoignages &amp; Incidents'!C103)</f>
        <v/>
      </c>
      <c r="B92" s="173" t="str">
        <f aca="false">IF('K5. Témoignages &amp; Incidents'!C103="","",'K5. Témoignages &amp; Incidents'!D103)</f>
        <v/>
      </c>
      <c r="C92" s="0" t="str">
        <f aca="false">IF('K5. Témoignages &amp; Incidents'!C103="","",'K5. Témoignages &amp; Incidents'!E103)</f>
        <v/>
      </c>
      <c r="D92" s="0" t="str">
        <f aca="false">IF('K5. Témoignages &amp; Incidents'!C103="","",'K5. Témoignages &amp; Incidents'!F103)</f>
        <v/>
      </c>
      <c r="E92" s="0" t="str">
        <f aca="false">IF('K5. Témoignages &amp; Incidents'!C103="","",'K5. Témoignages &amp; Incidents'!G103)</f>
        <v/>
      </c>
      <c r="F92" s="0" t="str">
        <f aca="false">IF('K5. Témoignages &amp; Incidents'!C103="","",'K5. Témoignages &amp; Incidents'!H103)</f>
        <v/>
      </c>
      <c r="G92" s="0" t="str">
        <f aca="false">IF('K5. Témoignages &amp; Incidents'!C103="","",'K5. Témoignages &amp; Incidents'!I103)</f>
        <v/>
      </c>
      <c r="H92" s="0" t="str">
        <f aca="false">IF('K5. Témoignages &amp; Incidents'!C103="","",'K5. Témoignages &amp; Incidents'!J103)</f>
        <v/>
      </c>
      <c r="I92" s="0" t="str">
        <f aca="false">IF('K5. Témoignages &amp; Incidents'!C103="","",'K5. Témoignages &amp; Incidents'!K103)</f>
        <v/>
      </c>
      <c r="J92" s="0" t="str">
        <f aca="false">IF('K5. Témoignages &amp; Incidents'!C103="","",'K5. Témoignages &amp; Incidents'!L103)</f>
        <v/>
      </c>
      <c r="K92" s="0" t="str">
        <f aca="false">IF('K5. Témoignages &amp; Incidents'!C103="","",'K5. Témoignages &amp; Incidents'!M103)</f>
        <v/>
      </c>
    </row>
    <row r="93" customFormat="false" ht="15" hidden="false" customHeight="false" outlineLevel="0" collapsed="false">
      <c r="A93" s="0" t="str">
        <f aca="false">IF('K5. Témoignages &amp; Incidents'!C104="","",'K5. Témoignages &amp; Incidents'!C104)</f>
        <v/>
      </c>
      <c r="B93" s="173" t="str">
        <f aca="false">IF('K5. Témoignages &amp; Incidents'!C104="","",'K5. Témoignages &amp; Incidents'!D104)</f>
        <v/>
      </c>
      <c r="C93" s="0" t="str">
        <f aca="false">IF('K5. Témoignages &amp; Incidents'!C104="","",'K5. Témoignages &amp; Incidents'!E104)</f>
        <v/>
      </c>
      <c r="D93" s="0" t="str">
        <f aca="false">IF('K5. Témoignages &amp; Incidents'!C104="","",'K5. Témoignages &amp; Incidents'!F104)</f>
        <v/>
      </c>
      <c r="E93" s="0" t="str">
        <f aca="false">IF('K5. Témoignages &amp; Incidents'!C104="","",'K5. Témoignages &amp; Incidents'!G104)</f>
        <v/>
      </c>
      <c r="F93" s="0" t="str">
        <f aca="false">IF('K5. Témoignages &amp; Incidents'!C104="","",'K5. Témoignages &amp; Incidents'!H104)</f>
        <v/>
      </c>
      <c r="G93" s="0" t="str">
        <f aca="false">IF('K5. Témoignages &amp; Incidents'!C104="","",'K5. Témoignages &amp; Incidents'!I104)</f>
        <v/>
      </c>
      <c r="H93" s="0" t="str">
        <f aca="false">IF('K5. Témoignages &amp; Incidents'!C104="","",'K5. Témoignages &amp; Incidents'!J104)</f>
        <v/>
      </c>
      <c r="I93" s="0" t="str">
        <f aca="false">IF('K5. Témoignages &amp; Incidents'!C104="","",'K5. Témoignages &amp; Incidents'!K104)</f>
        <v/>
      </c>
      <c r="J93" s="0" t="str">
        <f aca="false">IF('K5. Témoignages &amp; Incidents'!C104="","",'K5. Témoignages &amp; Incidents'!L104)</f>
        <v/>
      </c>
      <c r="K93" s="0" t="str">
        <f aca="false">IF('K5. Témoignages &amp; Incidents'!C104="","",'K5. Témoignages &amp; Incidents'!M104)</f>
        <v/>
      </c>
    </row>
    <row r="94" customFormat="false" ht="15" hidden="false" customHeight="false" outlineLevel="0" collapsed="false">
      <c r="A94" s="0" t="str">
        <f aca="false">IF('K5. Témoignages &amp; Incidents'!C105="","",'K5. Témoignages &amp; Incidents'!C105)</f>
        <v/>
      </c>
      <c r="B94" s="173" t="str">
        <f aca="false">IF('K5. Témoignages &amp; Incidents'!C105="","",'K5. Témoignages &amp; Incidents'!D105)</f>
        <v/>
      </c>
      <c r="C94" s="0" t="str">
        <f aca="false">IF('K5. Témoignages &amp; Incidents'!C105="","",'K5. Témoignages &amp; Incidents'!E105)</f>
        <v/>
      </c>
      <c r="D94" s="0" t="str">
        <f aca="false">IF('K5. Témoignages &amp; Incidents'!C105="","",'K5. Témoignages &amp; Incidents'!F105)</f>
        <v/>
      </c>
      <c r="E94" s="0" t="str">
        <f aca="false">IF('K5. Témoignages &amp; Incidents'!C105="","",'K5. Témoignages &amp; Incidents'!G105)</f>
        <v/>
      </c>
      <c r="F94" s="0" t="str">
        <f aca="false">IF('K5. Témoignages &amp; Incidents'!C105="","",'K5. Témoignages &amp; Incidents'!H105)</f>
        <v/>
      </c>
      <c r="G94" s="0" t="str">
        <f aca="false">IF('K5. Témoignages &amp; Incidents'!C105="","",'K5. Témoignages &amp; Incidents'!I105)</f>
        <v/>
      </c>
      <c r="H94" s="0" t="str">
        <f aca="false">IF('K5. Témoignages &amp; Incidents'!C105="","",'K5. Témoignages &amp; Incidents'!J105)</f>
        <v/>
      </c>
      <c r="I94" s="0" t="str">
        <f aca="false">IF('K5. Témoignages &amp; Incidents'!C105="","",'K5. Témoignages &amp; Incidents'!K105)</f>
        <v/>
      </c>
      <c r="J94" s="0" t="str">
        <f aca="false">IF('K5. Témoignages &amp; Incidents'!C105="","",'K5. Témoignages &amp; Incidents'!L105)</f>
        <v/>
      </c>
      <c r="K94" s="0" t="str">
        <f aca="false">IF('K5. Témoignages &amp; Incidents'!C105="","",'K5. Témoignages &amp; Incidents'!M105)</f>
        <v/>
      </c>
    </row>
    <row r="95" customFormat="false" ht="15" hidden="false" customHeight="false" outlineLevel="0" collapsed="false">
      <c r="A95" s="0" t="str">
        <f aca="false">IF('K5. Témoignages &amp; Incidents'!C106="","",'K5. Témoignages &amp; Incidents'!C106)</f>
        <v/>
      </c>
      <c r="B95" s="173" t="str">
        <f aca="false">IF('K5. Témoignages &amp; Incidents'!C106="","",'K5. Témoignages &amp; Incidents'!D106)</f>
        <v/>
      </c>
      <c r="C95" s="0" t="str">
        <f aca="false">IF('K5. Témoignages &amp; Incidents'!C106="","",'K5. Témoignages &amp; Incidents'!E106)</f>
        <v/>
      </c>
      <c r="D95" s="0" t="str">
        <f aca="false">IF('K5. Témoignages &amp; Incidents'!C106="","",'K5. Témoignages &amp; Incidents'!F106)</f>
        <v/>
      </c>
      <c r="E95" s="0" t="str">
        <f aca="false">IF('K5. Témoignages &amp; Incidents'!C106="","",'K5. Témoignages &amp; Incidents'!G106)</f>
        <v/>
      </c>
      <c r="F95" s="0" t="str">
        <f aca="false">IF('K5. Témoignages &amp; Incidents'!C106="","",'K5. Témoignages &amp; Incidents'!H106)</f>
        <v/>
      </c>
      <c r="G95" s="0" t="str">
        <f aca="false">IF('K5. Témoignages &amp; Incidents'!C106="","",'K5. Témoignages &amp; Incidents'!I106)</f>
        <v/>
      </c>
      <c r="H95" s="0" t="str">
        <f aca="false">IF('K5. Témoignages &amp; Incidents'!C106="","",'K5. Témoignages &amp; Incidents'!J106)</f>
        <v/>
      </c>
      <c r="I95" s="0" t="str">
        <f aca="false">IF('K5. Témoignages &amp; Incidents'!C106="","",'K5. Témoignages &amp; Incidents'!K106)</f>
        <v/>
      </c>
      <c r="J95" s="0" t="str">
        <f aca="false">IF('K5. Témoignages &amp; Incidents'!C106="","",'K5. Témoignages &amp; Incidents'!L106)</f>
        <v/>
      </c>
      <c r="K95" s="0" t="str">
        <f aca="false">IF('K5. Témoignages &amp; Incidents'!C106="","",'K5. Témoignages &amp; Incidents'!M106)</f>
        <v/>
      </c>
    </row>
    <row r="96" customFormat="false" ht="15" hidden="false" customHeight="false" outlineLevel="0" collapsed="false">
      <c r="A96" s="0" t="str">
        <f aca="false">IF('K5. Témoignages &amp; Incidents'!C107="","",'K5. Témoignages &amp; Incidents'!C107)</f>
        <v/>
      </c>
      <c r="B96" s="173" t="str">
        <f aca="false">IF('K5. Témoignages &amp; Incidents'!C107="","",'K5. Témoignages &amp; Incidents'!D107)</f>
        <v/>
      </c>
      <c r="C96" s="0" t="str">
        <f aca="false">IF('K5. Témoignages &amp; Incidents'!C107="","",'K5. Témoignages &amp; Incidents'!E107)</f>
        <v/>
      </c>
      <c r="D96" s="0" t="str">
        <f aca="false">IF('K5. Témoignages &amp; Incidents'!C107="","",'K5. Témoignages &amp; Incidents'!F107)</f>
        <v/>
      </c>
      <c r="E96" s="0" t="str">
        <f aca="false">IF('K5. Témoignages &amp; Incidents'!C107="","",'K5. Témoignages &amp; Incidents'!G107)</f>
        <v/>
      </c>
      <c r="F96" s="0" t="str">
        <f aca="false">IF('K5. Témoignages &amp; Incidents'!C107="","",'K5. Témoignages &amp; Incidents'!H107)</f>
        <v/>
      </c>
      <c r="G96" s="0" t="str">
        <f aca="false">IF('K5. Témoignages &amp; Incidents'!C107="","",'K5. Témoignages &amp; Incidents'!I107)</f>
        <v/>
      </c>
      <c r="H96" s="0" t="str">
        <f aca="false">IF('K5. Témoignages &amp; Incidents'!C107="","",'K5. Témoignages &amp; Incidents'!J107)</f>
        <v/>
      </c>
      <c r="I96" s="0" t="str">
        <f aca="false">IF('K5. Témoignages &amp; Incidents'!C107="","",'K5. Témoignages &amp; Incidents'!K107)</f>
        <v/>
      </c>
      <c r="J96" s="0" t="str">
        <f aca="false">IF('K5. Témoignages &amp; Incidents'!C107="","",'K5. Témoignages &amp; Incidents'!L107)</f>
        <v/>
      </c>
      <c r="K96" s="0" t="str">
        <f aca="false">IF('K5. Témoignages &amp; Incidents'!C107="","",'K5. Témoignages &amp; Incidents'!M107)</f>
        <v/>
      </c>
    </row>
    <row r="97" customFormat="false" ht="15" hidden="false" customHeight="false" outlineLevel="0" collapsed="false">
      <c r="A97" s="0" t="str">
        <f aca="false">IF('K5. Témoignages &amp; Incidents'!C108="","",'K5. Témoignages &amp; Incidents'!C108)</f>
        <v/>
      </c>
      <c r="B97" s="173" t="str">
        <f aca="false">IF('K5. Témoignages &amp; Incidents'!C108="","",'K5. Témoignages &amp; Incidents'!D108)</f>
        <v/>
      </c>
      <c r="C97" s="0" t="str">
        <f aca="false">IF('K5. Témoignages &amp; Incidents'!C108="","",'K5. Témoignages &amp; Incidents'!E108)</f>
        <v/>
      </c>
      <c r="D97" s="0" t="str">
        <f aca="false">IF('K5. Témoignages &amp; Incidents'!C108="","",'K5. Témoignages &amp; Incidents'!F108)</f>
        <v/>
      </c>
      <c r="E97" s="0" t="str">
        <f aca="false">IF('K5. Témoignages &amp; Incidents'!C108="","",'K5. Témoignages &amp; Incidents'!G108)</f>
        <v/>
      </c>
      <c r="F97" s="0" t="str">
        <f aca="false">IF('K5. Témoignages &amp; Incidents'!C108="","",'K5. Témoignages &amp; Incidents'!H108)</f>
        <v/>
      </c>
      <c r="G97" s="0" t="str">
        <f aca="false">IF('K5. Témoignages &amp; Incidents'!C108="","",'K5. Témoignages &amp; Incidents'!I108)</f>
        <v/>
      </c>
      <c r="H97" s="0" t="str">
        <f aca="false">IF('K5. Témoignages &amp; Incidents'!C108="","",'K5. Témoignages &amp; Incidents'!J108)</f>
        <v/>
      </c>
      <c r="I97" s="0" t="str">
        <f aca="false">IF('K5. Témoignages &amp; Incidents'!C108="","",'K5. Témoignages &amp; Incidents'!K108)</f>
        <v/>
      </c>
      <c r="J97" s="0" t="str">
        <f aca="false">IF('K5. Témoignages &amp; Incidents'!C108="","",'K5. Témoignages &amp; Incidents'!L108)</f>
        <v/>
      </c>
      <c r="K97" s="0" t="str">
        <f aca="false">IF('K5. Témoignages &amp; Incidents'!C108="","",'K5. Témoignages &amp; Incidents'!M108)</f>
        <v/>
      </c>
    </row>
    <row r="98" customFormat="false" ht="15" hidden="false" customHeight="false" outlineLevel="0" collapsed="false">
      <c r="A98" s="0" t="str">
        <f aca="false">IF('K5. Témoignages &amp; Incidents'!C109="","",'K5. Témoignages &amp; Incidents'!C109)</f>
        <v/>
      </c>
      <c r="B98" s="173" t="str">
        <f aca="false">IF('K5. Témoignages &amp; Incidents'!C109="","",'K5. Témoignages &amp; Incidents'!D109)</f>
        <v/>
      </c>
      <c r="C98" s="0" t="str">
        <f aca="false">IF('K5. Témoignages &amp; Incidents'!C109="","",'K5. Témoignages &amp; Incidents'!E109)</f>
        <v/>
      </c>
      <c r="D98" s="0" t="str">
        <f aca="false">IF('K5. Témoignages &amp; Incidents'!C109="","",'K5. Témoignages &amp; Incidents'!F109)</f>
        <v/>
      </c>
      <c r="E98" s="0" t="str">
        <f aca="false">IF('K5. Témoignages &amp; Incidents'!C109="","",'K5. Témoignages &amp; Incidents'!G109)</f>
        <v/>
      </c>
      <c r="F98" s="0" t="str">
        <f aca="false">IF('K5. Témoignages &amp; Incidents'!C109="","",'K5. Témoignages &amp; Incidents'!H109)</f>
        <v/>
      </c>
      <c r="G98" s="0" t="str">
        <f aca="false">IF('K5. Témoignages &amp; Incidents'!C109="","",'K5. Témoignages &amp; Incidents'!I109)</f>
        <v/>
      </c>
      <c r="H98" s="0" t="str">
        <f aca="false">IF('K5. Témoignages &amp; Incidents'!C109="","",'K5. Témoignages &amp; Incidents'!J109)</f>
        <v/>
      </c>
      <c r="I98" s="0" t="str">
        <f aca="false">IF('K5. Témoignages &amp; Incidents'!C109="","",'K5. Témoignages &amp; Incidents'!K109)</f>
        <v/>
      </c>
      <c r="J98" s="0" t="str">
        <f aca="false">IF('K5. Témoignages &amp; Incidents'!C109="","",'K5. Témoignages &amp; Incidents'!L109)</f>
        <v/>
      </c>
      <c r="K98" s="0" t="str">
        <f aca="false">IF('K5. Témoignages &amp; Incidents'!C109="","",'K5. Témoignages &amp; Incidents'!M109)</f>
        <v/>
      </c>
    </row>
    <row r="99" customFormat="false" ht="15" hidden="false" customHeight="false" outlineLevel="0" collapsed="false">
      <c r="A99" s="0" t="str">
        <f aca="false">IF('K5. Témoignages &amp; Incidents'!C110="","",'K5. Témoignages &amp; Incidents'!C110)</f>
        <v/>
      </c>
      <c r="B99" s="173" t="str">
        <f aca="false">IF('K5. Témoignages &amp; Incidents'!C110="","",'K5. Témoignages &amp; Incidents'!D110)</f>
        <v/>
      </c>
      <c r="C99" s="0" t="str">
        <f aca="false">IF('K5. Témoignages &amp; Incidents'!C110="","",'K5. Témoignages &amp; Incidents'!E110)</f>
        <v/>
      </c>
      <c r="D99" s="0" t="str">
        <f aca="false">IF('K5. Témoignages &amp; Incidents'!C110="","",'K5. Témoignages &amp; Incidents'!F110)</f>
        <v/>
      </c>
      <c r="E99" s="0" t="str">
        <f aca="false">IF('K5. Témoignages &amp; Incidents'!C110="","",'K5. Témoignages &amp; Incidents'!G110)</f>
        <v/>
      </c>
      <c r="F99" s="0" t="str">
        <f aca="false">IF('K5. Témoignages &amp; Incidents'!C110="","",'K5. Témoignages &amp; Incidents'!H110)</f>
        <v/>
      </c>
      <c r="G99" s="0" t="str">
        <f aca="false">IF('K5. Témoignages &amp; Incidents'!C110="","",'K5. Témoignages &amp; Incidents'!I110)</f>
        <v/>
      </c>
      <c r="H99" s="0" t="str">
        <f aca="false">IF('K5. Témoignages &amp; Incidents'!C110="","",'K5. Témoignages &amp; Incidents'!J110)</f>
        <v/>
      </c>
      <c r="I99" s="0" t="str">
        <f aca="false">IF('K5. Témoignages &amp; Incidents'!C110="","",'K5. Témoignages &amp; Incidents'!K110)</f>
        <v/>
      </c>
      <c r="J99" s="0" t="str">
        <f aca="false">IF('K5. Témoignages &amp; Incidents'!C110="","",'K5. Témoignages &amp; Incidents'!L110)</f>
        <v/>
      </c>
      <c r="K99" s="0" t="str">
        <f aca="false">IF('K5. Témoignages &amp; Incidents'!C110="","",'K5. Témoignages &amp; Incidents'!M110)</f>
        <v/>
      </c>
    </row>
    <row r="100" customFormat="false" ht="15" hidden="false" customHeight="false" outlineLevel="0" collapsed="false">
      <c r="A100" s="0" t="str">
        <f aca="false">IF('K5. Témoignages &amp; Incidents'!C111="","",'K5. Témoignages &amp; Incidents'!C111)</f>
        <v/>
      </c>
      <c r="B100" s="173" t="str">
        <f aca="false">IF('K5. Témoignages &amp; Incidents'!C111="","",'K5. Témoignages &amp; Incidents'!D111)</f>
        <v/>
      </c>
      <c r="C100" s="0" t="str">
        <f aca="false">IF('K5. Témoignages &amp; Incidents'!C111="","",'K5. Témoignages &amp; Incidents'!E111)</f>
        <v/>
      </c>
      <c r="D100" s="0" t="str">
        <f aca="false">IF('K5. Témoignages &amp; Incidents'!C111="","",'K5. Témoignages &amp; Incidents'!F111)</f>
        <v/>
      </c>
      <c r="E100" s="0" t="str">
        <f aca="false">IF('K5. Témoignages &amp; Incidents'!C111="","",'K5. Témoignages &amp; Incidents'!G111)</f>
        <v/>
      </c>
      <c r="F100" s="0" t="str">
        <f aca="false">IF('K5. Témoignages &amp; Incidents'!C111="","",'K5. Témoignages &amp; Incidents'!H111)</f>
        <v/>
      </c>
      <c r="G100" s="0" t="str">
        <f aca="false">IF('K5. Témoignages &amp; Incidents'!C111="","",'K5. Témoignages &amp; Incidents'!I111)</f>
        <v/>
      </c>
      <c r="H100" s="0" t="str">
        <f aca="false">IF('K5. Témoignages &amp; Incidents'!C111="","",'K5. Témoignages &amp; Incidents'!J111)</f>
        <v/>
      </c>
      <c r="I100" s="0" t="str">
        <f aca="false">IF('K5. Témoignages &amp; Incidents'!C111="","",'K5. Témoignages &amp; Incidents'!K111)</f>
        <v/>
      </c>
      <c r="J100" s="0" t="str">
        <f aca="false">IF('K5. Témoignages &amp; Incidents'!C111="","",'K5. Témoignages &amp; Incidents'!L111)</f>
        <v/>
      </c>
      <c r="K100" s="0" t="str">
        <f aca="false">IF('K5. Témoignages &amp; Incidents'!C111="","",'K5. Témoignages &amp; Incidents'!M111)</f>
        <v/>
      </c>
    </row>
    <row r="101" customFormat="false" ht="15" hidden="false" customHeight="false" outlineLevel="0" collapsed="false">
      <c r="A101" s="0" t="str">
        <f aca="false">IF('K5. Témoignages &amp; Incidents'!C112="","",'K5. Témoignages &amp; Incidents'!C112)</f>
        <v/>
      </c>
      <c r="B101" s="173" t="str">
        <f aca="false">IF('K5. Témoignages &amp; Incidents'!C112="","",'K5. Témoignages &amp; Incidents'!D112)</f>
        <v/>
      </c>
      <c r="C101" s="0" t="str">
        <f aca="false">IF('K5. Témoignages &amp; Incidents'!C112="","",'K5. Témoignages &amp; Incidents'!E112)</f>
        <v/>
      </c>
      <c r="D101" s="0" t="str">
        <f aca="false">IF('K5. Témoignages &amp; Incidents'!C112="","",'K5. Témoignages &amp; Incidents'!F112)</f>
        <v/>
      </c>
      <c r="E101" s="0" t="str">
        <f aca="false">IF('K5. Témoignages &amp; Incidents'!C112="","",'K5. Témoignages &amp; Incidents'!G112)</f>
        <v/>
      </c>
      <c r="F101" s="0" t="str">
        <f aca="false">IF('K5. Témoignages &amp; Incidents'!C112="","",'K5. Témoignages &amp; Incidents'!H112)</f>
        <v/>
      </c>
      <c r="G101" s="0" t="str">
        <f aca="false">IF('K5. Témoignages &amp; Incidents'!C112="","",'K5. Témoignages &amp; Incidents'!I112)</f>
        <v/>
      </c>
      <c r="H101" s="0" t="str">
        <f aca="false">IF('K5. Témoignages &amp; Incidents'!C112="","",'K5. Témoignages &amp; Incidents'!J112)</f>
        <v/>
      </c>
      <c r="I101" s="0" t="str">
        <f aca="false">IF('K5. Témoignages &amp; Incidents'!C112="","",'K5. Témoignages &amp; Incidents'!K112)</f>
        <v/>
      </c>
      <c r="J101" s="0" t="str">
        <f aca="false">IF('K5. Témoignages &amp; Incidents'!C112="","",'K5. Témoignages &amp; Incidents'!L112)</f>
        <v/>
      </c>
      <c r="K101" s="0" t="str">
        <f aca="false">IF('K5. Témoignages &amp; Incidents'!C112="","",'K5. Témoignages &amp; Incidents'!M112)</f>
        <v/>
      </c>
    </row>
    <row r="102" customFormat="false" ht="15" hidden="false" customHeight="false" outlineLevel="0" collapsed="false">
      <c r="A102" s="0" t="str">
        <f aca="false">IF('K5. Témoignages &amp; Incidents'!C113="","",'K5. Témoignages &amp; Incidents'!C113)</f>
        <v/>
      </c>
      <c r="B102" s="173" t="str">
        <f aca="false">IF('K5. Témoignages &amp; Incidents'!C113="","",'K5. Témoignages &amp; Incidents'!D113)</f>
        <v/>
      </c>
      <c r="C102" s="0" t="str">
        <f aca="false">IF('K5. Témoignages &amp; Incidents'!C113="","",'K5. Témoignages &amp; Incidents'!E113)</f>
        <v/>
      </c>
      <c r="D102" s="0" t="str">
        <f aca="false">IF('K5. Témoignages &amp; Incidents'!C113="","",'K5. Témoignages &amp; Incidents'!F113)</f>
        <v/>
      </c>
      <c r="E102" s="0" t="str">
        <f aca="false">IF('K5. Témoignages &amp; Incidents'!C113="","",'K5. Témoignages &amp; Incidents'!G113)</f>
        <v/>
      </c>
      <c r="F102" s="0" t="str">
        <f aca="false">IF('K5. Témoignages &amp; Incidents'!C113="","",'K5. Témoignages &amp; Incidents'!H113)</f>
        <v/>
      </c>
      <c r="G102" s="0" t="str">
        <f aca="false">IF('K5. Témoignages &amp; Incidents'!C113="","",'K5. Témoignages &amp; Incidents'!I113)</f>
        <v/>
      </c>
      <c r="H102" s="0" t="str">
        <f aca="false">IF('K5. Témoignages &amp; Incidents'!C113="","",'K5. Témoignages &amp; Incidents'!J113)</f>
        <v/>
      </c>
      <c r="I102" s="0" t="str">
        <f aca="false">IF('K5. Témoignages &amp; Incidents'!C113="","",'K5. Témoignages &amp; Incidents'!K113)</f>
        <v/>
      </c>
      <c r="J102" s="0" t="str">
        <f aca="false">IF('K5. Témoignages &amp; Incidents'!C113="","",'K5. Témoignages &amp; Incidents'!L113)</f>
        <v/>
      </c>
      <c r="K102" s="0" t="str">
        <f aca="false">IF('K5. Témoignages &amp; Incidents'!C113="","",'K5. Témoignages &amp; Incidents'!M113)</f>
        <v/>
      </c>
    </row>
    <row r="103" customFormat="false" ht="15" hidden="false" customHeight="false" outlineLevel="0" collapsed="false">
      <c r="A103" s="0" t="str">
        <f aca="false">IF('K5. Témoignages &amp; Incidents'!C114="","",'K5. Témoignages &amp; Incidents'!C114)</f>
        <v/>
      </c>
      <c r="B103" s="173" t="str">
        <f aca="false">IF('K5. Témoignages &amp; Incidents'!C114="","",'K5. Témoignages &amp; Incidents'!D114)</f>
        <v/>
      </c>
      <c r="C103" s="0" t="str">
        <f aca="false">IF('K5. Témoignages &amp; Incidents'!C114="","",'K5. Témoignages &amp; Incidents'!E114)</f>
        <v/>
      </c>
      <c r="D103" s="0" t="str">
        <f aca="false">IF('K5. Témoignages &amp; Incidents'!C114="","",'K5. Témoignages &amp; Incidents'!F114)</f>
        <v/>
      </c>
      <c r="E103" s="0" t="str">
        <f aca="false">IF('K5. Témoignages &amp; Incidents'!C114="","",'K5. Témoignages &amp; Incidents'!G114)</f>
        <v/>
      </c>
      <c r="F103" s="0" t="str">
        <f aca="false">IF('K5. Témoignages &amp; Incidents'!C114="","",'K5. Témoignages &amp; Incidents'!H114)</f>
        <v/>
      </c>
      <c r="G103" s="0" t="str">
        <f aca="false">IF('K5. Témoignages &amp; Incidents'!C114="","",'K5. Témoignages &amp; Incidents'!I114)</f>
        <v/>
      </c>
      <c r="H103" s="0" t="str">
        <f aca="false">IF('K5. Témoignages &amp; Incidents'!C114="","",'K5. Témoignages &amp; Incidents'!J114)</f>
        <v/>
      </c>
      <c r="I103" s="0" t="str">
        <f aca="false">IF('K5. Témoignages &amp; Incidents'!C114="","",'K5. Témoignages &amp; Incidents'!K114)</f>
        <v/>
      </c>
      <c r="J103" s="0" t="str">
        <f aca="false">IF('K5. Témoignages &amp; Incidents'!C114="","",'K5. Témoignages &amp; Incidents'!L114)</f>
        <v/>
      </c>
      <c r="K103" s="0" t="str">
        <f aca="false">IF('K5. Témoignages &amp; Incidents'!C114="","",'K5. Témoignages &amp; Incidents'!M114)</f>
        <v/>
      </c>
    </row>
    <row r="104" customFormat="false" ht="15" hidden="false" customHeight="false" outlineLevel="0" collapsed="false">
      <c r="A104" s="0" t="str">
        <f aca="false">IF('K5. Témoignages &amp; Incidents'!C115="","",'K5. Témoignages &amp; Incidents'!C115)</f>
        <v/>
      </c>
      <c r="B104" s="173" t="str">
        <f aca="false">IF('K5. Témoignages &amp; Incidents'!C115="","",'K5. Témoignages &amp; Incidents'!D115)</f>
        <v/>
      </c>
      <c r="C104" s="0" t="str">
        <f aca="false">IF('K5. Témoignages &amp; Incidents'!C115="","",'K5. Témoignages &amp; Incidents'!E115)</f>
        <v/>
      </c>
      <c r="D104" s="0" t="str">
        <f aca="false">IF('K5. Témoignages &amp; Incidents'!C115="","",'K5. Témoignages &amp; Incidents'!F115)</f>
        <v/>
      </c>
      <c r="E104" s="0" t="str">
        <f aca="false">IF('K5. Témoignages &amp; Incidents'!C115="","",'K5. Témoignages &amp; Incidents'!G115)</f>
        <v/>
      </c>
      <c r="F104" s="0" t="str">
        <f aca="false">IF('K5. Témoignages &amp; Incidents'!C115="","",'K5. Témoignages &amp; Incidents'!H115)</f>
        <v/>
      </c>
      <c r="G104" s="0" t="str">
        <f aca="false">IF('K5. Témoignages &amp; Incidents'!C115="","",'K5. Témoignages &amp; Incidents'!I115)</f>
        <v/>
      </c>
      <c r="H104" s="0" t="str">
        <f aca="false">IF('K5. Témoignages &amp; Incidents'!C115="","",'K5. Témoignages &amp; Incidents'!J115)</f>
        <v/>
      </c>
      <c r="I104" s="0" t="str">
        <f aca="false">IF('K5. Témoignages &amp; Incidents'!C115="","",'K5. Témoignages &amp; Incidents'!K115)</f>
        <v/>
      </c>
      <c r="J104" s="0" t="str">
        <f aca="false">IF('K5. Témoignages &amp; Incidents'!C115="","",'K5. Témoignages &amp; Incidents'!L115)</f>
        <v/>
      </c>
      <c r="K104" s="0" t="str">
        <f aca="false">IF('K5. Témoignages &amp; Incidents'!C115="","",'K5. Témoignages &amp; Incidents'!M115)</f>
        <v/>
      </c>
    </row>
    <row r="105" customFormat="false" ht="15" hidden="false" customHeight="false" outlineLevel="0" collapsed="false">
      <c r="A105" s="0" t="str">
        <f aca="false">IF('K5. Témoignages &amp; Incidents'!C116="","",'K5. Témoignages &amp; Incidents'!C116)</f>
        <v/>
      </c>
      <c r="B105" s="173" t="str">
        <f aca="false">IF('K5. Témoignages &amp; Incidents'!C116="","",'K5. Témoignages &amp; Incidents'!D116)</f>
        <v/>
      </c>
      <c r="C105" s="0" t="str">
        <f aca="false">IF('K5. Témoignages &amp; Incidents'!C116="","",'K5. Témoignages &amp; Incidents'!E116)</f>
        <v/>
      </c>
      <c r="D105" s="0" t="str">
        <f aca="false">IF('K5. Témoignages &amp; Incidents'!C116="","",'K5. Témoignages &amp; Incidents'!F116)</f>
        <v/>
      </c>
      <c r="E105" s="0" t="str">
        <f aca="false">IF('K5. Témoignages &amp; Incidents'!C116="","",'K5. Témoignages &amp; Incidents'!G116)</f>
        <v/>
      </c>
      <c r="F105" s="0" t="str">
        <f aca="false">IF('K5. Témoignages &amp; Incidents'!C116="","",'K5. Témoignages &amp; Incidents'!H116)</f>
        <v/>
      </c>
      <c r="G105" s="0" t="str">
        <f aca="false">IF('K5. Témoignages &amp; Incidents'!C116="","",'K5. Témoignages &amp; Incidents'!I116)</f>
        <v/>
      </c>
      <c r="H105" s="0" t="str">
        <f aca="false">IF('K5. Témoignages &amp; Incidents'!C116="","",'K5. Témoignages &amp; Incidents'!J116)</f>
        <v/>
      </c>
      <c r="I105" s="0" t="str">
        <f aca="false">IF('K5. Témoignages &amp; Incidents'!C116="","",'K5. Témoignages &amp; Incidents'!K116)</f>
        <v/>
      </c>
      <c r="J105" s="0" t="str">
        <f aca="false">IF('K5. Témoignages &amp; Incidents'!C116="","",'K5. Témoignages &amp; Incidents'!L116)</f>
        <v/>
      </c>
      <c r="K105" s="0" t="str">
        <f aca="false">IF('K5. Témoignages &amp; Incidents'!C116="","",'K5. Témoignages &amp; Incidents'!M116)</f>
        <v/>
      </c>
    </row>
    <row r="106" customFormat="false" ht="15" hidden="false" customHeight="false" outlineLevel="0" collapsed="false">
      <c r="A106" s="0" t="str">
        <f aca="false">IF('K5. Témoignages &amp; Incidents'!C117="","",'K5. Témoignages &amp; Incidents'!C117)</f>
        <v/>
      </c>
      <c r="B106" s="173" t="str">
        <f aca="false">IF('K5. Témoignages &amp; Incidents'!C117="","",'K5. Témoignages &amp; Incidents'!D117)</f>
        <v/>
      </c>
      <c r="C106" s="0" t="str">
        <f aca="false">IF('K5. Témoignages &amp; Incidents'!C117="","",'K5. Témoignages &amp; Incidents'!E117)</f>
        <v/>
      </c>
      <c r="D106" s="0" t="str">
        <f aca="false">IF('K5. Témoignages &amp; Incidents'!C117="","",'K5. Témoignages &amp; Incidents'!F117)</f>
        <v/>
      </c>
      <c r="E106" s="0" t="str">
        <f aca="false">IF('K5. Témoignages &amp; Incidents'!C117="","",'K5. Témoignages &amp; Incidents'!G117)</f>
        <v/>
      </c>
      <c r="F106" s="0" t="str">
        <f aca="false">IF('K5. Témoignages &amp; Incidents'!C117="","",'K5. Témoignages &amp; Incidents'!H117)</f>
        <v/>
      </c>
      <c r="G106" s="0" t="str">
        <f aca="false">IF('K5. Témoignages &amp; Incidents'!C117="","",'K5. Témoignages &amp; Incidents'!I117)</f>
        <v/>
      </c>
      <c r="H106" s="0" t="str">
        <f aca="false">IF('K5. Témoignages &amp; Incidents'!C117="","",'K5. Témoignages &amp; Incidents'!J117)</f>
        <v/>
      </c>
      <c r="I106" s="0" t="str">
        <f aca="false">IF('K5. Témoignages &amp; Incidents'!C117="","",'K5. Témoignages &amp; Incidents'!K117)</f>
        <v/>
      </c>
      <c r="J106" s="0" t="str">
        <f aca="false">IF('K5. Témoignages &amp; Incidents'!C117="","",'K5. Témoignages &amp; Incidents'!L117)</f>
        <v/>
      </c>
      <c r="K106" s="0" t="str">
        <f aca="false">IF('K5. Témoignages &amp; Incidents'!C117="","",'K5. Témoignages &amp; Incidents'!M117)</f>
        <v/>
      </c>
    </row>
    <row r="107" customFormat="false" ht="15" hidden="false" customHeight="false" outlineLevel="0" collapsed="false">
      <c r="A107" s="0" t="str">
        <f aca="false">IF('K5. Témoignages &amp; Incidents'!C118="","",'K5. Témoignages &amp; Incidents'!C118)</f>
        <v/>
      </c>
      <c r="B107" s="173" t="str">
        <f aca="false">IF('K5. Témoignages &amp; Incidents'!C118="","",'K5. Témoignages &amp; Incidents'!D118)</f>
        <v/>
      </c>
      <c r="C107" s="0" t="str">
        <f aca="false">IF('K5. Témoignages &amp; Incidents'!C118="","",'K5. Témoignages &amp; Incidents'!E118)</f>
        <v/>
      </c>
      <c r="D107" s="0" t="str">
        <f aca="false">IF('K5. Témoignages &amp; Incidents'!C118="","",'K5. Témoignages &amp; Incidents'!F118)</f>
        <v/>
      </c>
      <c r="E107" s="0" t="str">
        <f aca="false">IF('K5. Témoignages &amp; Incidents'!C118="","",'K5. Témoignages &amp; Incidents'!G118)</f>
        <v/>
      </c>
      <c r="F107" s="0" t="str">
        <f aca="false">IF('K5. Témoignages &amp; Incidents'!C118="","",'K5. Témoignages &amp; Incidents'!H118)</f>
        <v/>
      </c>
      <c r="G107" s="0" t="str">
        <f aca="false">IF('K5. Témoignages &amp; Incidents'!C118="","",'K5. Témoignages &amp; Incidents'!I118)</f>
        <v/>
      </c>
      <c r="H107" s="0" t="str">
        <f aca="false">IF('K5. Témoignages &amp; Incidents'!C118="","",'K5. Témoignages &amp; Incidents'!J118)</f>
        <v/>
      </c>
      <c r="I107" s="0" t="str">
        <f aca="false">IF('K5. Témoignages &amp; Incidents'!C118="","",'K5. Témoignages &amp; Incidents'!K118)</f>
        <v/>
      </c>
      <c r="J107" s="0" t="str">
        <f aca="false">IF('K5. Témoignages &amp; Incidents'!C118="","",'K5. Témoignages &amp; Incidents'!L118)</f>
        <v/>
      </c>
      <c r="K107" s="0" t="str">
        <f aca="false">IF('K5. Témoignages &amp; Incidents'!C118="","",'K5. Témoignages &amp; Incidents'!M118)</f>
        <v/>
      </c>
    </row>
    <row r="108" customFormat="false" ht="15" hidden="false" customHeight="false" outlineLevel="0" collapsed="false">
      <c r="A108" s="0" t="str">
        <f aca="false">IF('K5. Témoignages &amp; Incidents'!C119="","",'K5. Témoignages &amp; Incidents'!C119)</f>
        <v/>
      </c>
      <c r="B108" s="173" t="str">
        <f aca="false">IF('K5. Témoignages &amp; Incidents'!C119="","",'K5. Témoignages &amp; Incidents'!D119)</f>
        <v/>
      </c>
      <c r="C108" s="0" t="str">
        <f aca="false">IF('K5. Témoignages &amp; Incidents'!C119="","",'K5. Témoignages &amp; Incidents'!E119)</f>
        <v/>
      </c>
      <c r="D108" s="0" t="str">
        <f aca="false">IF('K5. Témoignages &amp; Incidents'!C119="","",'K5. Témoignages &amp; Incidents'!F119)</f>
        <v/>
      </c>
      <c r="E108" s="0" t="str">
        <f aca="false">IF('K5. Témoignages &amp; Incidents'!C119="","",'K5. Témoignages &amp; Incidents'!G119)</f>
        <v/>
      </c>
      <c r="F108" s="0" t="str">
        <f aca="false">IF('K5. Témoignages &amp; Incidents'!C119="","",'K5. Témoignages &amp; Incidents'!H119)</f>
        <v/>
      </c>
      <c r="G108" s="0" t="str">
        <f aca="false">IF('K5. Témoignages &amp; Incidents'!C119="","",'K5. Témoignages &amp; Incidents'!I119)</f>
        <v/>
      </c>
      <c r="H108" s="0" t="str">
        <f aca="false">IF('K5. Témoignages &amp; Incidents'!C119="","",'K5. Témoignages &amp; Incidents'!J119)</f>
        <v/>
      </c>
      <c r="I108" s="0" t="str">
        <f aca="false">IF('K5. Témoignages &amp; Incidents'!C119="","",'K5. Témoignages &amp; Incidents'!K119)</f>
        <v/>
      </c>
      <c r="J108" s="0" t="str">
        <f aca="false">IF('K5. Témoignages &amp; Incidents'!C119="","",'K5. Témoignages &amp; Incidents'!L119)</f>
        <v/>
      </c>
      <c r="K108" s="0" t="str">
        <f aca="false">IF('K5. Témoignages &amp; Incidents'!C119="","",'K5. Témoignages &amp; Incidents'!M119)</f>
        <v/>
      </c>
    </row>
    <row r="109" customFormat="false" ht="15" hidden="false" customHeight="false" outlineLevel="0" collapsed="false">
      <c r="A109" s="0" t="str">
        <f aca="false">IF('K5. Témoignages &amp; Incidents'!C120="","",'K5. Témoignages &amp; Incidents'!C120)</f>
        <v/>
      </c>
      <c r="B109" s="173" t="str">
        <f aca="false">IF('K5. Témoignages &amp; Incidents'!C120="","",'K5. Témoignages &amp; Incidents'!D120)</f>
        <v/>
      </c>
      <c r="C109" s="0" t="str">
        <f aca="false">IF('K5. Témoignages &amp; Incidents'!C120="","",'K5. Témoignages &amp; Incidents'!E120)</f>
        <v/>
      </c>
      <c r="D109" s="0" t="str">
        <f aca="false">IF('K5. Témoignages &amp; Incidents'!C120="","",'K5. Témoignages &amp; Incidents'!F120)</f>
        <v/>
      </c>
      <c r="E109" s="0" t="str">
        <f aca="false">IF('K5. Témoignages &amp; Incidents'!C120="","",'K5. Témoignages &amp; Incidents'!G120)</f>
        <v/>
      </c>
      <c r="F109" s="0" t="str">
        <f aca="false">IF('K5. Témoignages &amp; Incidents'!C120="","",'K5. Témoignages &amp; Incidents'!H120)</f>
        <v/>
      </c>
      <c r="G109" s="0" t="str">
        <f aca="false">IF('K5. Témoignages &amp; Incidents'!C120="","",'K5. Témoignages &amp; Incidents'!I120)</f>
        <v/>
      </c>
      <c r="H109" s="0" t="str">
        <f aca="false">IF('K5. Témoignages &amp; Incidents'!C120="","",'K5. Témoignages &amp; Incidents'!J120)</f>
        <v/>
      </c>
      <c r="I109" s="0" t="str">
        <f aca="false">IF('K5. Témoignages &amp; Incidents'!C120="","",'K5. Témoignages &amp; Incidents'!K120)</f>
        <v/>
      </c>
      <c r="J109" s="0" t="str">
        <f aca="false">IF('K5. Témoignages &amp; Incidents'!C120="","",'K5. Témoignages &amp; Incidents'!L120)</f>
        <v/>
      </c>
      <c r="K109" s="0" t="str">
        <f aca="false">IF('K5. Témoignages &amp; Incidents'!C120="","",'K5. Témoignages &amp; Incidents'!M120)</f>
        <v/>
      </c>
    </row>
    <row r="110" customFormat="false" ht="15" hidden="false" customHeight="false" outlineLevel="0" collapsed="false">
      <c r="A110" s="0" t="str">
        <f aca="false">IF('K5. Témoignages &amp; Incidents'!C121="","",'K5. Témoignages &amp; Incidents'!C121)</f>
        <v/>
      </c>
      <c r="B110" s="173" t="str">
        <f aca="false">IF('K5. Témoignages &amp; Incidents'!C121="","",'K5. Témoignages &amp; Incidents'!D121)</f>
        <v/>
      </c>
      <c r="C110" s="0" t="str">
        <f aca="false">IF('K5. Témoignages &amp; Incidents'!C121="","",'K5. Témoignages &amp; Incidents'!E121)</f>
        <v/>
      </c>
      <c r="D110" s="0" t="str">
        <f aca="false">IF('K5. Témoignages &amp; Incidents'!C121="","",'K5. Témoignages &amp; Incidents'!F121)</f>
        <v/>
      </c>
      <c r="E110" s="0" t="str">
        <f aca="false">IF('K5. Témoignages &amp; Incidents'!C121="","",'K5. Témoignages &amp; Incidents'!G121)</f>
        <v/>
      </c>
      <c r="F110" s="0" t="str">
        <f aca="false">IF('K5. Témoignages &amp; Incidents'!C121="","",'K5. Témoignages &amp; Incidents'!H121)</f>
        <v/>
      </c>
      <c r="G110" s="0" t="str">
        <f aca="false">IF('K5. Témoignages &amp; Incidents'!C121="","",'K5. Témoignages &amp; Incidents'!I121)</f>
        <v/>
      </c>
      <c r="H110" s="0" t="str">
        <f aca="false">IF('K5. Témoignages &amp; Incidents'!C121="","",'K5. Témoignages &amp; Incidents'!J121)</f>
        <v/>
      </c>
      <c r="I110" s="0" t="str">
        <f aca="false">IF('K5. Témoignages &amp; Incidents'!C121="","",'K5. Témoignages &amp; Incidents'!K121)</f>
        <v/>
      </c>
      <c r="J110" s="0" t="str">
        <f aca="false">IF('K5. Témoignages &amp; Incidents'!C121="","",'K5. Témoignages &amp; Incidents'!L121)</f>
        <v/>
      </c>
      <c r="K110" s="0" t="str">
        <f aca="false">IF('K5. Témoignages &amp; Incidents'!C121="","",'K5. Témoignages &amp; Incidents'!M121)</f>
        <v/>
      </c>
    </row>
    <row r="111" customFormat="false" ht="15" hidden="false" customHeight="false" outlineLevel="0" collapsed="false">
      <c r="A111" s="0" t="str">
        <f aca="false">IF('K5. Témoignages &amp; Incidents'!C122="","",'K5. Témoignages &amp; Incidents'!C122)</f>
        <v/>
      </c>
      <c r="B111" s="173" t="str">
        <f aca="false">IF('K5. Témoignages &amp; Incidents'!C122="","",'K5. Témoignages &amp; Incidents'!D122)</f>
        <v/>
      </c>
      <c r="C111" s="0" t="str">
        <f aca="false">IF('K5. Témoignages &amp; Incidents'!C122="","",'K5. Témoignages &amp; Incidents'!E122)</f>
        <v/>
      </c>
      <c r="D111" s="0" t="str">
        <f aca="false">IF('K5. Témoignages &amp; Incidents'!C122="","",'K5. Témoignages &amp; Incidents'!F122)</f>
        <v/>
      </c>
      <c r="E111" s="0" t="str">
        <f aca="false">IF('K5. Témoignages &amp; Incidents'!C122="","",'K5. Témoignages &amp; Incidents'!G122)</f>
        <v/>
      </c>
      <c r="F111" s="0" t="str">
        <f aca="false">IF('K5. Témoignages &amp; Incidents'!C122="","",'K5. Témoignages &amp; Incidents'!H122)</f>
        <v/>
      </c>
      <c r="G111" s="0" t="str">
        <f aca="false">IF('K5. Témoignages &amp; Incidents'!C122="","",'K5. Témoignages &amp; Incidents'!I122)</f>
        <v/>
      </c>
      <c r="H111" s="0" t="str">
        <f aca="false">IF('K5. Témoignages &amp; Incidents'!C122="","",'K5. Témoignages &amp; Incidents'!J122)</f>
        <v/>
      </c>
      <c r="I111" s="0" t="str">
        <f aca="false">IF('K5. Témoignages &amp; Incidents'!C122="","",'K5. Témoignages &amp; Incidents'!K122)</f>
        <v/>
      </c>
      <c r="J111" s="0" t="str">
        <f aca="false">IF('K5. Témoignages &amp; Incidents'!C122="","",'K5. Témoignages &amp; Incidents'!L122)</f>
        <v/>
      </c>
      <c r="K111" s="0" t="str">
        <f aca="false">IF('K5. Témoignages &amp; Incidents'!C122="","",'K5. Témoignages &amp; Incidents'!M122)</f>
        <v/>
      </c>
    </row>
    <row r="112" customFormat="false" ht="15" hidden="false" customHeight="false" outlineLevel="0" collapsed="false">
      <c r="A112" s="0" t="str">
        <f aca="false">IF('K5. Témoignages &amp; Incidents'!C123="","",'K5. Témoignages &amp; Incidents'!C123)</f>
        <v/>
      </c>
      <c r="B112" s="173" t="str">
        <f aca="false">IF('K5. Témoignages &amp; Incidents'!C123="","",'K5. Témoignages &amp; Incidents'!D123)</f>
        <v/>
      </c>
      <c r="C112" s="0" t="str">
        <f aca="false">IF('K5. Témoignages &amp; Incidents'!C123="","",'K5. Témoignages &amp; Incidents'!E123)</f>
        <v/>
      </c>
      <c r="D112" s="0" t="str">
        <f aca="false">IF('K5. Témoignages &amp; Incidents'!C123="","",'K5. Témoignages &amp; Incidents'!F123)</f>
        <v/>
      </c>
      <c r="E112" s="0" t="str">
        <f aca="false">IF('K5. Témoignages &amp; Incidents'!C123="","",'K5. Témoignages &amp; Incidents'!G123)</f>
        <v/>
      </c>
      <c r="F112" s="0" t="str">
        <f aca="false">IF('K5. Témoignages &amp; Incidents'!C123="","",'K5. Témoignages &amp; Incidents'!H123)</f>
        <v/>
      </c>
      <c r="G112" s="0" t="str">
        <f aca="false">IF('K5. Témoignages &amp; Incidents'!C123="","",'K5. Témoignages &amp; Incidents'!I123)</f>
        <v/>
      </c>
      <c r="H112" s="0" t="str">
        <f aca="false">IF('K5. Témoignages &amp; Incidents'!C123="","",'K5. Témoignages &amp; Incidents'!J123)</f>
        <v/>
      </c>
      <c r="I112" s="0" t="str">
        <f aca="false">IF('K5. Témoignages &amp; Incidents'!C123="","",'K5. Témoignages &amp; Incidents'!K123)</f>
        <v/>
      </c>
      <c r="J112" s="0" t="str">
        <f aca="false">IF('K5. Témoignages &amp; Incidents'!C123="","",'K5. Témoignages &amp; Incidents'!L123)</f>
        <v/>
      </c>
      <c r="K112" s="0" t="str">
        <f aca="false">IF('K5. Témoignages &amp; Incidents'!C123="","",'K5. Témoignages &amp; Incidents'!M123)</f>
        <v/>
      </c>
    </row>
    <row r="113" customFormat="false" ht="15" hidden="false" customHeight="false" outlineLevel="0" collapsed="false">
      <c r="A113" s="0" t="str">
        <f aca="false">IF('K5. Témoignages &amp; Incidents'!C124="","",'K5. Témoignages &amp; Incidents'!C124)</f>
        <v/>
      </c>
      <c r="B113" s="173" t="str">
        <f aca="false">IF('K5. Témoignages &amp; Incidents'!C124="","",'K5. Témoignages &amp; Incidents'!D124)</f>
        <v/>
      </c>
      <c r="C113" s="0" t="str">
        <f aca="false">IF('K5. Témoignages &amp; Incidents'!C124="","",'K5. Témoignages &amp; Incidents'!E124)</f>
        <v/>
      </c>
      <c r="D113" s="0" t="str">
        <f aca="false">IF('K5. Témoignages &amp; Incidents'!C124="","",'K5. Témoignages &amp; Incidents'!F124)</f>
        <v/>
      </c>
      <c r="E113" s="0" t="str">
        <f aca="false">IF('K5. Témoignages &amp; Incidents'!C124="","",'K5. Témoignages &amp; Incidents'!G124)</f>
        <v/>
      </c>
      <c r="F113" s="0" t="str">
        <f aca="false">IF('K5. Témoignages &amp; Incidents'!C124="","",'K5. Témoignages &amp; Incidents'!H124)</f>
        <v/>
      </c>
      <c r="G113" s="0" t="str">
        <f aca="false">IF('K5. Témoignages &amp; Incidents'!C124="","",'K5. Témoignages &amp; Incidents'!I124)</f>
        <v/>
      </c>
      <c r="H113" s="0" t="str">
        <f aca="false">IF('K5. Témoignages &amp; Incidents'!C124="","",'K5. Témoignages &amp; Incidents'!J124)</f>
        <v/>
      </c>
      <c r="I113" s="0" t="str">
        <f aca="false">IF('K5. Témoignages &amp; Incidents'!C124="","",'K5. Témoignages &amp; Incidents'!K124)</f>
        <v/>
      </c>
      <c r="J113" s="0" t="str">
        <f aca="false">IF('K5. Témoignages &amp; Incidents'!C124="","",'K5. Témoignages &amp; Incidents'!L124)</f>
        <v/>
      </c>
      <c r="K113" s="0" t="str">
        <f aca="false">IF('K5. Témoignages &amp; Incidents'!C124="","",'K5. Témoignages &amp; Incidents'!M124)</f>
        <v/>
      </c>
    </row>
    <row r="114" customFormat="false" ht="15" hidden="false" customHeight="false" outlineLevel="0" collapsed="false">
      <c r="A114" s="0" t="str">
        <f aca="false">IF('K5. Témoignages &amp; Incidents'!C125="","",'K5. Témoignages &amp; Incidents'!C125)</f>
        <v/>
      </c>
      <c r="B114" s="173" t="str">
        <f aca="false">IF('K5. Témoignages &amp; Incidents'!C125="","",'K5. Témoignages &amp; Incidents'!D125)</f>
        <v/>
      </c>
      <c r="C114" s="0" t="str">
        <f aca="false">IF('K5. Témoignages &amp; Incidents'!C125="","",'K5. Témoignages &amp; Incidents'!E125)</f>
        <v/>
      </c>
      <c r="D114" s="0" t="str">
        <f aca="false">IF('K5. Témoignages &amp; Incidents'!C125="","",'K5. Témoignages &amp; Incidents'!F125)</f>
        <v/>
      </c>
      <c r="E114" s="0" t="str">
        <f aca="false">IF('K5. Témoignages &amp; Incidents'!C125="","",'K5. Témoignages &amp; Incidents'!G125)</f>
        <v/>
      </c>
      <c r="F114" s="0" t="str">
        <f aca="false">IF('K5. Témoignages &amp; Incidents'!C125="","",'K5. Témoignages &amp; Incidents'!H125)</f>
        <v/>
      </c>
      <c r="G114" s="0" t="str">
        <f aca="false">IF('K5. Témoignages &amp; Incidents'!C125="","",'K5. Témoignages &amp; Incidents'!I125)</f>
        <v/>
      </c>
      <c r="H114" s="0" t="str">
        <f aca="false">IF('K5. Témoignages &amp; Incidents'!C125="","",'K5. Témoignages &amp; Incidents'!J125)</f>
        <v/>
      </c>
      <c r="I114" s="0" t="str">
        <f aca="false">IF('K5. Témoignages &amp; Incidents'!C125="","",'K5. Témoignages &amp; Incidents'!K125)</f>
        <v/>
      </c>
      <c r="J114" s="0" t="str">
        <f aca="false">IF('K5. Témoignages &amp; Incidents'!C125="","",'K5. Témoignages &amp; Incidents'!L125)</f>
        <v/>
      </c>
      <c r="K114" s="0" t="str">
        <f aca="false">IF('K5. Témoignages &amp; Incidents'!C125="","",'K5. Témoignages &amp; Incidents'!M125)</f>
        <v/>
      </c>
    </row>
    <row r="115" customFormat="false" ht="15" hidden="false" customHeight="false" outlineLevel="0" collapsed="false">
      <c r="A115" s="0" t="str">
        <f aca="false">IF('K5. Témoignages &amp; Incidents'!C126="","",'K5. Témoignages &amp; Incidents'!C126)</f>
        <v/>
      </c>
      <c r="B115" s="173" t="str">
        <f aca="false">IF('K5. Témoignages &amp; Incidents'!C126="","",'K5. Témoignages &amp; Incidents'!D126)</f>
        <v/>
      </c>
      <c r="C115" s="0" t="str">
        <f aca="false">IF('K5. Témoignages &amp; Incidents'!C126="","",'K5. Témoignages &amp; Incidents'!E126)</f>
        <v/>
      </c>
      <c r="D115" s="0" t="str">
        <f aca="false">IF('K5. Témoignages &amp; Incidents'!C126="","",'K5. Témoignages &amp; Incidents'!F126)</f>
        <v/>
      </c>
      <c r="E115" s="0" t="str">
        <f aca="false">IF('K5. Témoignages &amp; Incidents'!C126="","",'K5. Témoignages &amp; Incidents'!G126)</f>
        <v/>
      </c>
      <c r="F115" s="0" t="str">
        <f aca="false">IF('K5. Témoignages &amp; Incidents'!C126="","",'K5. Témoignages &amp; Incidents'!H126)</f>
        <v/>
      </c>
      <c r="G115" s="0" t="str">
        <f aca="false">IF('K5. Témoignages &amp; Incidents'!C126="","",'K5. Témoignages &amp; Incidents'!I126)</f>
        <v/>
      </c>
      <c r="H115" s="0" t="str">
        <f aca="false">IF('K5. Témoignages &amp; Incidents'!C126="","",'K5. Témoignages &amp; Incidents'!J126)</f>
        <v/>
      </c>
      <c r="I115" s="0" t="str">
        <f aca="false">IF('K5. Témoignages &amp; Incidents'!C126="","",'K5. Témoignages &amp; Incidents'!K126)</f>
        <v/>
      </c>
      <c r="J115" s="0" t="str">
        <f aca="false">IF('K5. Témoignages &amp; Incidents'!C126="","",'K5. Témoignages &amp; Incidents'!L126)</f>
        <v/>
      </c>
      <c r="K115" s="0" t="str">
        <f aca="false">IF('K5. Témoignages &amp; Incidents'!C126="","",'K5. Témoignages &amp; Incidents'!M126)</f>
        <v/>
      </c>
    </row>
    <row r="116" customFormat="false" ht="15" hidden="false" customHeight="false" outlineLevel="0" collapsed="false">
      <c r="A116" s="0" t="str">
        <f aca="false">IF('K5. Témoignages &amp; Incidents'!C127="","",'K5. Témoignages &amp; Incidents'!C127)</f>
        <v/>
      </c>
      <c r="B116" s="173" t="str">
        <f aca="false">IF('K5. Témoignages &amp; Incidents'!C127="","",'K5. Témoignages &amp; Incidents'!D127)</f>
        <v/>
      </c>
      <c r="C116" s="0" t="str">
        <f aca="false">IF('K5. Témoignages &amp; Incidents'!C127="","",'K5. Témoignages &amp; Incidents'!E127)</f>
        <v/>
      </c>
      <c r="D116" s="0" t="str">
        <f aca="false">IF('K5. Témoignages &amp; Incidents'!C127="","",'K5. Témoignages &amp; Incidents'!F127)</f>
        <v/>
      </c>
      <c r="E116" s="0" t="str">
        <f aca="false">IF('K5. Témoignages &amp; Incidents'!C127="","",'K5. Témoignages &amp; Incidents'!G127)</f>
        <v/>
      </c>
      <c r="F116" s="0" t="str">
        <f aca="false">IF('K5. Témoignages &amp; Incidents'!C127="","",'K5. Témoignages &amp; Incidents'!H127)</f>
        <v/>
      </c>
      <c r="G116" s="0" t="str">
        <f aca="false">IF('K5. Témoignages &amp; Incidents'!C127="","",'K5. Témoignages &amp; Incidents'!I127)</f>
        <v/>
      </c>
      <c r="H116" s="0" t="str">
        <f aca="false">IF('K5. Témoignages &amp; Incidents'!C127="","",'K5. Témoignages &amp; Incidents'!J127)</f>
        <v/>
      </c>
      <c r="I116" s="0" t="str">
        <f aca="false">IF('K5. Témoignages &amp; Incidents'!C127="","",'K5. Témoignages &amp; Incidents'!K127)</f>
        <v/>
      </c>
      <c r="J116" s="0" t="str">
        <f aca="false">IF('K5. Témoignages &amp; Incidents'!C127="","",'K5. Témoignages &amp; Incidents'!L127)</f>
        <v/>
      </c>
      <c r="K116" s="0" t="str">
        <f aca="false">IF('K5. Témoignages &amp; Incidents'!C127="","",'K5. Témoignages &amp; Incidents'!M127)</f>
        <v/>
      </c>
    </row>
    <row r="117" customFormat="false" ht="15" hidden="false" customHeight="false" outlineLevel="0" collapsed="false">
      <c r="A117" s="0" t="str">
        <f aca="false">IF('K5. Témoignages &amp; Incidents'!C128="","",'K5. Témoignages &amp; Incidents'!C128)</f>
        <v/>
      </c>
      <c r="B117" s="173" t="str">
        <f aca="false">IF('K5. Témoignages &amp; Incidents'!C128="","",'K5. Témoignages &amp; Incidents'!D128)</f>
        <v/>
      </c>
      <c r="C117" s="0" t="str">
        <f aca="false">IF('K5. Témoignages &amp; Incidents'!C128="","",'K5. Témoignages &amp; Incidents'!E128)</f>
        <v/>
      </c>
      <c r="D117" s="0" t="str">
        <f aca="false">IF('K5. Témoignages &amp; Incidents'!C128="","",'K5. Témoignages &amp; Incidents'!F128)</f>
        <v/>
      </c>
      <c r="E117" s="0" t="str">
        <f aca="false">IF('K5. Témoignages &amp; Incidents'!C128="","",'K5. Témoignages &amp; Incidents'!G128)</f>
        <v/>
      </c>
      <c r="F117" s="0" t="str">
        <f aca="false">IF('K5. Témoignages &amp; Incidents'!C128="","",'K5. Témoignages &amp; Incidents'!H128)</f>
        <v/>
      </c>
      <c r="G117" s="0" t="str">
        <f aca="false">IF('K5. Témoignages &amp; Incidents'!C128="","",'K5. Témoignages &amp; Incidents'!I128)</f>
        <v/>
      </c>
      <c r="H117" s="0" t="str">
        <f aca="false">IF('K5. Témoignages &amp; Incidents'!C128="","",'K5. Témoignages &amp; Incidents'!J128)</f>
        <v/>
      </c>
      <c r="I117" s="0" t="str">
        <f aca="false">IF('K5. Témoignages &amp; Incidents'!C128="","",'K5. Témoignages &amp; Incidents'!K128)</f>
        <v/>
      </c>
      <c r="J117" s="0" t="str">
        <f aca="false">IF('K5. Témoignages &amp; Incidents'!C128="","",'K5. Témoignages &amp; Incidents'!L128)</f>
        <v/>
      </c>
      <c r="K117" s="0" t="str">
        <f aca="false">IF('K5. Témoignages &amp; Incidents'!C128="","",'K5. Témoignages &amp; Incidents'!M128)</f>
        <v/>
      </c>
    </row>
    <row r="118" customFormat="false" ht="15" hidden="false" customHeight="false" outlineLevel="0" collapsed="false">
      <c r="A118" s="0" t="str">
        <f aca="false">IF('K5. Témoignages &amp; Incidents'!C129="","",'K5. Témoignages &amp; Incidents'!C129)</f>
        <v/>
      </c>
      <c r="B118" s="173" t="str">
        <f aca="false">IF('K5. Témoignages &amp; Incidents'!C129="","",'K5. Témoignages &amp; Incidents'!D129)</f>
        <v/>
      </c>
      <c r="C118" s="0" t="str">
        <f aca="false">IF('K5. Témoignages &amp; Incidents'!C129="","",'K5. Témoignages &amp; Incidents'!E129)</f>
        <v/>
      </c>
      <c r="D118" s="0" t="str">
        <f aca="false">IF('K5. Témoignages &amp; Incidents'!C129="","",'K5. Témoignages &amp; Incidents'!F129)</f>
        <v/>
      </c>
      <c r="E118" s="0" t="str">
        <f aca="false">IF('K5. Témoignages &amp; Incidents'!C129="","",'K5. Témoignages &amp; Incidents'!G129)</f>
        <v/>
      </c>
      <c r="F118" s="0" t="str">
        <f aca="false">IF('K5. Témoignages &amp; Incidents'!C129="","",'K5. Témoignages &amp; Incidents'!H129)</f>
        <v/>
      </c>
      <c r="G118" s="0" t="str">
        <f aca="false">IF('K5. Témoignages &amp; Incidents'!C129="","",'K5. Témoignages &amp; Incidents'!I129)</f>
        <v/>
      </c>
      <c r="H118" s="0" t="str">
        <f aca="false">IF('K5. Témoignages &amp; Incidents'!C129="","",'K5. Témoignages &amp; Incidents'!J129)</f>
        <v/>
      </c>
      <c r="I118" s="0" t="str">
        <f aca="false">IF('K5. Témoignages &amp; Incidents'!C129="","",'K5. Témoignages &amp; Incidents'!K129)</f>
        <v/>
      </c>
      <c r="J118" s="0" t="str">
        <f aca="false">IF('K5. Témoignages &amp; Incidents'!C129="","",'K5. Témoignages &amp; Incidents'!L129)</f>
        <v/>
      </c>
      <c r="K118" s="0" t="str">
        <f aca="false">IF('K5. Témoignages &amp; Incidents'!C129="","",'K5. Témoignages &amp; Incidents'!M129)</f>
        <v/>
      </c>
    </row>
    <row r="119" customFormat="false" ht="15" hidden="false" customHeight="false" outlineLevel="0" collapsed="false">
      <c r="A119" s="0" t="str">
        <f aca="false">IF('K5. Témoignages &amp; Incidents'!C130="","",'K5. Témoignages &amp; Incidents'!C130)</f>
        <v/>
      </c>
      <c r="B119" s="173" t="str">
        <f aca="false">IF('K5. Témoignages &amp; Incidents'!C130="","",'K5. Témoignages &amp; Incidents'!D130)</f>
        <v/>
      </c>
      <c r="C119" s="0" t="str">
        <f aca="false">IF('K5. Témoignages &amp; Incidents'!C130="","",'K5. Témoignages &amp; Incidents'!E130)</f>
        <v/>
      </c>
      <c r="D119" s="0" t="str">
        <f aca="false">IF('K5. Témoignages &amp; Incidents'!C130="","",'K5. Témoignages &amp; Incidents'!F130)</f>
        <v/>
      </c>
      <c r="E119" s="0" t="str">
        <f aca="false">IF('K5. Témoignages &amp; Incidents'!C130="","",'K5. Témoignages &amp; Incidents'!G130)</f>
        <v/>
      </c>
      <c r="F119" s="0" t="str">
        <f aca="false">IF('K5. Témoignages &amp; Incidents'!C130="","",'K5. Témoignages &amp; Incidents'!H130)</f>
        <v/>
      </c>
      <c r="G119" s="0" t="str">
        <f aca="false">IF('K5. Témoignages &amp; Incidents'!C130="","",'K5. Témoignages &amp; Incidents'!I130)</f>
        <v/>
      </c>
      <c r="H119" s="0" t="str">
        <f aca="false">IF('K5. Témoignages &amp; Incidents'!C130="","",'K5. Témoignages &amp; Incidents'!J130)</f>
        <v/>
      </c>
      <c r="I119" s="0" t="str">
        <f aca="false">IF('K5. Témoignages &amp; Incidents'!C130="","",'K5. Témoignages &amp; Incidents'!K130)</f>
        <v/>
      </c>
      <c r="J119" s="0" t="str">
        <f aca="false">IF('K5. Témoignages &amp; Incidents'!C130="","",'K5. Témoignages &amp; Incidents'!L130)</f>
        <v/>
      </c>
      <c r="K119" s="0" t="str">
        <f aca="false">IF('K5. Témoignages &amp; Incidents'!C130="","",'K5. Témoignages &amp; Incidents'!M130)</f>
        <v/>
      </c>
    </row>
    <row r="120" customFormat="false" ht="15" hidden="false" customHeight="false" outlineLevel="0" collapsed="false">
      <c r="A120" s="0" t="str">
        <f aca="false">IF('K5. Témoignages &amp; Incidents'!C131="","",'K5. Témoignages &amp; Incidents'!C131)</f>
        <v/>
      </c>
      <c r="B120" s="173" t="str">
        <f aca="false">IF('K5. Témoignages &amp; Incidents'!C131="","",'K5. Témoignages &amp; Incidents'!D131)</f>
        <v/>
      </c>
      <c r="C120" s="0" t="str">
        <f aca="false">IF('K5. Témoignages &amp; Incidents'!C131="","",'K5. Témoignages &amp; Incidents'!E131)</f>
        <v/>
      </c>
      <c r="D120" s="0" t="str">
        <f aca="false">IF('K5. Témoignages &amp; Incidents'!C131="","",'K5. Témoignages &amp; Incidents'!F131)</f>
        <v/>
      </c>
      <c r="E120" s="0" t="str">
        <f aca="false">IF('K5. Témoignages &amp; Incidents'!C131="","",'K5. Témoignages &amp; Incidents'!G131)</f>
        <v/>
      </c>
      <c r="F120" s="0" t="str">
        <f aca="false">IF('K5. Témoignages &amp; Incidents'!C131="","",'K5. Témoignages &amp; Incidents'!H131)</f>
        <v/>
      </c>
      <c r="G120" s="0" t="str">
        <f aca="false">IF('K5. Témoignages &amp; Incidents'!C131="","",'K5. Témoignages &amp; Incidents'!I131)</f>
        <v/>
      </c>
      <c r="H120" s="0" t="str">
        <f aca="false">IF('K5. Témoignages &amp; Incidents'!C131="","",'K5. Témoignages &amp; Incidents'!J131)</f>
        <v/>
      </c>
      <c r="I120" s="0" t="str">
        <f aca="false">IF('K5. Témoignages &amp; Incidents'!C131="","",'K5. Témoignages &amp; Incidents'!K131)</f>
        <v/>
      </c>
      <c r="J120" s="0" t="str">
        <f aca="false">IF('K5. Témoignages &amp; Incidents'!C131="","",'K5. Témoignages &amp; Incidents'!L131)</f>
        <v/>
      </c>
      <c r="K120" s="0" t="str">
        <f aca="false">IF('K5. Témoignages &amp; Incidents'!C131="","",'K5. Témoignages &amp; Incidents'!M131)</f>
        <v/>
      </c>
    </row>
    <row r="121" customFormat="false" ht="15" hidden="false" customHeight="false" outlineLevel="0" collapsed="false">
      <c r="A121" s="0" t="str">
        <f aca="false">IF('K5. Témoignages &amp; Incidents'!C132="","",'K5. Témoignages &amp; Incidents'!C132)</f>
        <v/>
      </c>
      <c r="B121" s="173" t="str">
        <f aca="false">IF('K5. Témoignages &amp; Incidents'!C132="","",'K5. Témoignages &amp; Incidents'!D132)</f>
        <v/>
      </c>
      <c r="C121" s="0" t="str">
        <f aca="false">IF('K5. Témoignages &amp; Incidents'!C132="","",'K5. Témoignages &amp; Incidents'!E132)</f>
        <v/>
      </c>
      <c r="D121" s="0" t="str">
        <f aca="false">IF('K5. Témoignages &amp; Incidents'!C132="","",'K5. Témoignages &amp; Incidents'!F132)</f>
        <v/>
      </c>
      <c r="E121" s="0" t="str">
        <f aca="false">IF('K5. Témoignages &amp; Incidents'!C132="","",'K5. Témoignages &amp; Incidents'!G132)</f>
        <v/>
      </c>
      <c r="F121" s="0" t="str">
        <f aca="false">IF('K5. Témoignages &amp; Incidents'!C132="","",'K5. Témoignages &amp; Incidents'!H132)</f>
        <v/>
      </c>
      <c r="G121" s="0" t="str">
        <f aca="false">IF('K5. Témoignages &amp; Incidents'!C132="","",'K5. Témoignages &amp; Incidents'!I132)</f>
        <v/>
      </c>
      <c r="H121" s="0" t="str">
        <f aca="false">IF('K5. Témoignages &amp; Incidents'!C132="","",'K5. Témoignages &amp; Incidents'!J132)</f>
        <v/>
      </c>
      <c r="I121" s="0" t="str">
        <f aca="false">IF('K5. Témoignages &amp; Incidents'!C132="","",'K5. Témoignages &amp; Incidents'!K132)</f>
        <v/>
      </c>
      <c r="J121" s="0" t="str">
        <f aca="false">IF('K5. Témoignages &amp; Incidents'!C132="","",'K5. Témoignages &amp; Incidents'!L132)</f>
        <v/>
      </c>
      <c r="K121" s="0" t="str">
        <f aca="false">IF('K5. Témoignages &amp; Incidents'!C132="","",'K5. Témoignages &amp; Incidents'!M132)</f>
        <v/>
      </c>
    </row>
    <row r="122" customFormat="false" ht="15" hidden="false" customHeight="false" outlineLevel="0" collapsed="false">
      <c r="A122" s="0" t="str">
        <f aca="false">IF('K5. Témoignages &amp; Incidents'!C133="","",'K5. Témoignages &amp; Incidents'!C133)</f>
        <v/>
      </c>
      <c r="B122" s="173" t="str">
        <f aca="false">IF('K5. Témoignages &amp; Incidents'!C133="","",'K5. Témoignages &amp; Incidents'!D133)</f>
        <v/>
      </c>
      <c r="C122" s="0" t="str">
        <f aca="false">IF('K5. Témoignages &amp; Incidents'!C133="","",'K5. Témoignages &amp; Incidents'!E133)</f>
        <v/>
      </c>
      <c r="D122" s="0" t="str">
        <f aca="false">IF('K5. Témoignages &amp; Incidents'!C133="","",'K5. Témoignages &amp; Incidents'!F133)</f>
        <v/>
      </c>
      <c r="E122" s="0" t="str">
        <f aca="false">IF('K5. Témoignages &amp; Incidents'!C133="","",'K5. Témoignages &amp; Incidents'!G133)</f>
        <v/>
      </c>
      <c r="F122" s="0" t="str">
        <f aca="false">IF('K5. Témoignages &amp; Incidents'!C133="","",'K5. Témoignages &amp; Incidents'!H133)</f>
        <v/>
      </c>
      <c r="G122" s="0" t="str">
        <f aca="false">IF('K5. Témoignages &amp; Incidents'!C133="","",'K5. Témoignages &amp; Incidents'!I133)</f>
        <v/>
      </c>
      <c r="H122" s="0" t="str">
        <f aca="false">IF('K5. Témoignages &amp; Incidents'!C133="","",'K5. Témoignages &amp; Incidents'!J133)</f>
        <v/>
      </c>
      <c r="I122" s="0" t="str">
        <f aca="false">IF('K5. Témoignages &amp; Incidents'!C133="","",'K5. Témoignages &amp; Incidents'!K133)</f>
        <v/>
      </c>
      <c r="J122" s="0" t="str">
        <f aca="false">IF('K5. Témoignages &amp; Incidents'!C133="","",'K5. Témoignages &amp; Incidents'!L133)</f>
        <v/>
      </c>
      <c r="K122" s="0" t="str">
        <f aca="false">IF('K5. Témoignages &amp; Incidents'!C133="","",'K5. Témoignages &amp; Incidents'!M133)</f>
        <v/>
      </c>
    </row>
    <row r="123" customFormat="false" ht="15" hidden="false" customHeight="false" outlineLevel="0" collapsed="false">
      <c r="A123" s="0" t="str">
        <f aca="false">IF('K5. Témoignages &amp; Incidents'!C134="","",'K5. Témoignages &amp; Incidents'!C134)</f>
        <v/>
      </c>
      <c r="B123" s="173" t="str">
        <f aca="false">IF('K5. Témoignages &amp; Incidents'!C134="","",'K5. Témoignages &amp; Incidents'!D134)</f>
        <v/>
      </c>
      <c r="C123" s="0" t="str">
        <f aca="false">IF('K5. Témoignages &amp; Incidents'!C134="","",'K5. Témoignages &amp; Incidents'!E134)</f>
        <v/>
      </c>
      <c r="D123" s="0" t="str">
        <f aca="false">IF('K5. Témoignages &amp; Incidents'!C134="","",'K5. Témoignages &amp; Incidents'!F134)</f>
        <v/>
      </c>
      <c r="E123" s="0" t="str">
        <f aca="false">IF('K5. Témoignages &amp; Incidents'!C134="","",'K5. Témoignages &amp; Incidents'!G134)</f>
        <v/>
      </c>
      <c r="F123" s="0" t="str">
        <f aca="false">IF('K5. Témoignages &amp; Incidents'!C134="","",'K5. Témoignages &amp; Incidents'!H134)</f>
        <v/>
      </c>
      <c r="G123" s="0" t="str">
        <f aca="false">IF('K5. Témoignages &amp; Incidents'!C134="","",'K5. Témoignages &amp; Incidents'!I134)</f>
        <v/>
      </c>
      <c r="H123" s="0" t="str">
        <f aca="false">IF('K5. Témoignages &amp; Incidents'!C134="","",'K5. Témoignages &amp; Incidents'!J134)</f>
        <v/>
      </c>
      <c r="I123" s="0" t="str">
        <f aca="false">IF('K5. Témoignages &amp; Incidents'!C134="","",'K5. Témoignages &amp; Incidents'!K134)</f>
        <v/>
      </c>
      <c r="J123" s="0" t="str">
        <f aca="false">IF('K5. Témoignages &amp; Incidents'!C134="","",'K5. Témoignages &amp; Incidents'!L134)</f>
        <v/>
      </c>
      <c r="K123" s="0" t="str">
        <f aca="false">IF('K5. Témoignages &amp; Incidents'!C134="","",'K5. Témoignages &amp; Incidents'!M134)</f>
        <v/>
      </c>
    </row>
    <row r="124" customFormat="false" ht="15" hidden="false" customHeight="false" outlineLevel="0" collapsed="false">
      <c r="A124" s="0" t="str">
        <f aca="false">IF('K5. Témoignages &amp; Incidents'!C135="","",'K5. Témoignages &amp; Incidents'!C135)</f>
        <v/>
      </c>
      <c r="B124" s="173" t="str">
        <f aca="false">IF('K5. Témoignages &amp; Incidents'!C135="","",'K5. Témoignages &amp; Incidents'!D135)</f>
        <v/>
      </c>
      <c r="C124" s="0" t="str">
        <f aca="false">IF('K5. Témoignages &amp; Incidents'!C135="","",'K5. Témoignages &amp; Incidents'!E135)</f>
        <v/>
      </c>
      <c r="D124" s="0" t="str">
        <f aca="false">IF('K5. Témoignages &amp; Incidents'!C135="","",'K5. Témoignages &amp; Incidents'!F135)</f>
        <v/>
      </c>
      <c r="E124" s="0" t="str">
        <f aca="false">IF('K5. Témoignages &amp; Incidents'!C135="","",'K5. Témoignages &amp; Incidents'!G135)</f>
        <v/>
      </c>
      <c r="F124" s="0" t="str">
        <f aca="false">IF('K5. Témoignages &amp; Incidents'!C135="","",'K5. Témoignages &amp; Incidents'!H135)</f>
        <v/>
      </c>
      <c r="G124" s="0" t="str">
        <f aca="false">IF('K5. Témoignages &amp; Incidents'!C135="","",'K5. Témoignages &amp; Incidents'!I135)</f>
        <v/>
      </c>
      <c r="H124" s="0" t="str">
        <f aca="false">IF('K5. Témoignages &amp; Incidents'!C135="","",'K5. Témoignages &amp; Incidents'!J135)</f>
        <v/>
      </c>
      <c r="I124" s="0" t="str">
        <f aca="false">IF('K5. Témoignages &amp; Incidents'!C135="","",'K5. Témoignages &amp; Incidents'!K135)</f>
        <v/>
      </c>
      <c r="J124" s="0" t="str">
        <f aca="false">IF('K5. Témoignages &amp; Incidents'!C135="","",'K5. Témoignages &amp; Incidents'!L135)</f>
        <v/>
      </c>
      <c r="K124" s="0" t="str">
        <f aca="false">IF('K5. Témoignages &amp; Incidents'!C135="","",'K5. Témoignages &amp; Incidents'!M135)</f>
        <v/>
      </c>
    </row>
    <row r="125" customFormat="false" ht="15" hidden="false" customHeight="false" outlineLevel="0" collapsed="false">
      <c r="A125" s="0" t="str">
        <f aca="false">IF('K5. Témoignages &amp; Incidents'!C136="","",'K5. Témoignages &amp; Incidents'!C136)</f>
        <v/>
      </c>
      <c r="B125" s="173" t="str">
        <f aca="false">IF('K5. Témoignages &amp; Incidents'!C136="","",'K5. Témoignages &amp; Incidents'!D136)</f>
        <v/>
      </c>
      <c r="C125" s="0" t="str">
        <f aca="false">IF('K5. Témoignages &amp; Incidents'!C136="","",'K5. Témoignages &amp; Incidents'!E136)</f>
        <v/>
      </c>
      <c r="D125" s="0" t="str">
        <f aca="false">IF('K5. Témoignages &amp; Incidents'!C136="","",'K5. Témoignages &amp; Incidents'!F136)</f>
        <v/>
      </c>
      <c r="E125" s="0" t="str">
        <f aca="false">IF('K5. Témoignages &amp; Incidents'!C136="","",'K5. Témoignages &amp; Incidents'!G136)</f>
        <v/>
      </c>
      <c r="F125" s="0" t="str">
        <f aca="false">IF('K5. Témoignages &amp; Incidents'!C136="","",'K5. Témoignages &amp; Incidents'!H136)</f>
        <v/>
      </c>
      <c r="G125" s="0" t="str">
        <f aca="false">IF('K5. Témoignages &amp; Incidents'!C136="","",'K5. Témoignages &amp; Incidents'!I136)</f>
        <v/>
      </c>
      <c r="H125" s="0" t="str">
        <f aca="false">IF('K5. Témoignages &amp; Incidents'!C136="","",'K5. Témoignages &amp; Incidents'!J136)</f>
        <v/>
      </c>
      <c r="I125" s="0" t="str">
        <f aca="false">IF('K5. Témoignages &amp; Incidents'!C136="","",'K5. Témoignages &amp; Incidents'!K136)</f>
        <v/>
      </c>
      <c r="J125" s="0" t="str">
        <f aca="false">IF('K5. Témoignages &amp; Incidents'!C136="","",'K5. Témoignages &amp; Incidents'!L136)</f>
        <v/>
      </c>
      <c r="K125" s="0" t="str">
        <f aca="false">IF('K5. Témoignages &amp; Incidents'!C136="","",'K5. Témoignages &amp; Incidents'!M136)</f>
        <v/>
      </c>
    </row>
    <row r="126" customFormat="false" ht="15" hidden="false" customHeight="false" outlineLevel="0" collapsed="false">
      <c r="A126" s="0" t="str">
        <f aca="false">IF('K5. Témoignages &amp; Incidents'!C137="","",'K5. Témoignages &amp; Incidents'!C137)</f>
        <v/>
      </c>
      <c r="B126" s="173" t="str">
        <f aca="false">IF('K5. Témoignages &amp; Incidents'!C137="","",'K5. Témoignages &amp; Incidents'!D137)</f>
        <v/>
      </c>
      <c r="C126" s="0" t="str">
        <f aca="false">IF('K5. Témoignages &amp; Incidents'!C137="","",'K5. Témoignages &amp; Incidents'!E137)</f>
        <v/>
      </c>
      <c r="D126" s="0" t="str">
        <f aca="false">IF('K5. Témoignages &amp; Incidents'!C137="","",'K5. Témoignages &amp; Incidents'!F137)</f>
        <v/>
      </c>
      <c r="E126" s="0" t="str">
        <f aca="false">IF('K5. Témoignages &amp; Incidents'!C137="","",'K5. Témoignages &amp; Incidents'!G137)</f>
        <v/>
      </c>
      <c r="F126" s="0" t="str">
        <f aca="false">IF('K5. Témoignages &amp; Incidents'!C137="","",'K5. Témoignages &amp; Incidents'!H137)</f>
        <v/>
      </c>
      <c r="G126" s="0" t="str">
        <f aca="false">IF('K5. Témoignages &amp; Incidents'!C137="","",'K5. Témoignages &amp; Incidents'!I137)</f>
        <v/>
      </c>
      <c r="H126" s="0" t="str">
        <f aca="false">IF('K5. Témoignages &amp; Incidents'!C137="","",'K5. Témoignages &amp; Incidents'!J137)</f>
        <v/>
      </c>
      <c r="I126" s="0" t="str">
        <f aca="false">IF('K5. Témoignages &amp; Incidents'!C137="","",'K5. Témoignages &amp; Incidents'!K137)</f>
        <v/>
      </c>
      <c r="J126" s="0" t="str">
        <f aca="false">IF('K5. Témoignages &amp; Incidents'!C137="","",'K5. Témoignages &amp; Incidents'!L137)</f>
        <v/>
      </c>
      <c r="K126" s="0" t="str">
        <f aca="false">IF('K5. Témoignages &amp; Incidents'!C137="","",'K5. Témoignages &amp; Incidents'!M137)</f>
        <v/>
      </c>
    </row>
    <row r="127" customFormat="false" ht="15" hidden="false" customHeight="false" outlineLevel="0" collapsed="false">
      <c r="A127" s="0" t="str">
        <f aca="false">IF('K5. Témoignages &amp; Incidents'!C138="","",'K5. Témoignages &amp; Incidents'!C138)</f>
        <v/>
      </c>
      <c r="B127" s="173" t="str">
        <f aca="false">IF('K5. Témoignages &amp; Incidents'!C138="","",'K5. Témoignages &amp; Incidents'!D138)</f>
        <v/>
      </c>
      <c r="C127" s="0" t="str">
        <f aca="false">IF('K5. Témoignages &amp; Incidents'!C138="","",'K5. Témoignages &amp; Incidents'!E138)</f>
        <v/>
      </c>
      <c r="D127" s="0" t="str">
        <f aca="false">IF('K5. Témoignages &amp; Incidents'!C138="","",'K5. Témoignages &amp; Incidents'!F138)</f>
        <v/>
      </c>
      <c r="E127" s="0" t="str">
        <f aca="false">IF('K5. Témoignages &amp; Incidents'!C138="","",'K5. Témoignages &amp; Incidents'!G138)</f>
        <v/>
      </c>
      <c r="F127" s="0" t="str">
        <f aca="false">IF('K5. Témoignages &amp; Incidents'!C138="","",'K5. Témoignages &amp; Incidents'!H138)</f>
        <v/>
      </c>
      <c r="G127" s="0" t="str">
        <f aca="false">IF('K5. Témoignages &amp; Incidents'!C138="","",'K5. Témoignages &amp; Incidents'!I138)</f>
        <v/>
      </c>
      <c r="H127" s="0" t="str">
        <f aca="false">IF('K5. Témoignages &amp; Incidents'!C138="","",'K5. Témoignages &amp; Incidents'!J138)</f>
        <v/>
      </c>
      <c r="I127" s="0" t="str">
        <f aca="false">IF('K5. Témoignages &amp; Incidents'!C138="","",'K5. Témoignages &amp; Incidents'!K138)</f>
        <v/>
      </c>
      <c r="J127" s="0" t="str">
        <f aca="false">IF('K5. Témoignages &amp; Incidents'!C138="","",'K5. Témoignages &amp; Incidents'!L138)</f>
        <v/>
      </c>
      <c r="K127" s="0" t="str">
        <f aca="false">IF('K5. Témoignages &amp; Incidents'!C138="","",'K5. Témoignages &amp; Incidents'!M138)</f>
        <v/>
      </c>
    </row>
    <row r="128" customFormat="false" ht="15" hidden="false" customHeight="false" outlineLevel="0" collapsed="false">
      <c r="A128" s="0" t="str">
        <f aca="false">IF('K5. Témoignages &amp; Incidents'!C139="","",'K5. Témoignages &amp; Incidents'!C139)</f>
        <v/>
      </c>
      <c r="B128" s="173" t="str">
        <f aca="false">IF('K5. Témoignages &amp; Incidents'!C139="","",'K5. Témoignages &amp; Incidents'!D139)</f>
        <v/>
      </c>
      <c r="C128" s="0" t="str">
        <f aca="false">IF('K5. Témoignages &amp; Incidents'!C139="","",'K5. Témoignages &amp; Incidents'!E139)</f>
        <v/>
      </c>
      <c r="D128" s="0" t="str">
        <f aca="false">IF('K5. Témoignages &amp; Incidents'!C139="","",'K5. Témoignages &amp; Incidents'!F139)</f>
        <v/>
      </c>
      <c r="E128" s="0" t="str">
        <f aca="false">IF('K5. Témoignages &amp; Incidents'!C139="","",'K5. Témoignages &amp; Incidents'!G139)</f>
        <v/>
      </c>
      <c r="F128" s="0" t="str">
        <f aca="false">IF('K5. Témoignages &amp; Incidents'!C139="","",'K5. Témoignages &amp; Incidents'!H139)</f>
        <v/>
      </c>
      <c r="G128" s="0" t="str">
        <f aca="false">IF('K5. Témoignages &amp; Incidents'!C139="","",'K5. Témoignages &amp; Incidents'!I139)</f>
        <v/>
      </c>
      <c r="H128" s="0" t="str">
        <f aca="false">IF('K5. Témoignages &amp; Incidents'!C139="","",'K5. Témoignages &amp; Incidents'!J139)</f>
        <v/>
      </c>
      <c r="I128" s="0" t="str">
        <f aca="false">IF('K5. Témoignages &amp; Incidents'!C139="","",'K5. Témoignages &amp; Incidents'!K139)</f>
        <v/>
      </c>
      <c r="J128" s="0" t="str">
        <f aca="false">IF('K5. Témoignages &amp; Incidents'!C139="","",'K5. Témoignages &amp; Incidents'!L139)</f>
        <v/>
      </c>
      <c r="K128" s="0" t="str">
        <f aca="false">IF('K5. Témoignages &amp; Incidents'!C139="","",'K5. Témoignages &amp; Incidents'!M139)</f>
        <v/>
      </c>
    </row>
    <row r="129" customFormat="false" ht="15" hidden="false" customHeight="false" outlineLevel="0" collapsed="false">
      <c r="A129" s="0" t="str">
        <f aca="false">IF('K5. Témoignages &amp; Incidents'!C140="","",'K5. Témoignages &amp; Incidents'!C140)</f>
        <v/>
      </c>
      <c r="B129" s="173" t="str">
        <f aca="false">IF('K5. Témoignages &amp; Incidents'!C140="","",'K5. Témoignages &amp; Incidents'!D140)</f>
        <v/>
      </c>
      <c r="C129" s="0" t="str">
        <f aca="false">IF('K5. Témoignages &amp; Incidents'!C140="","",'K5. Témoignages &amp; Incidents'!E140)</f>
        <v/>
      </c>
      <c r="D129" s="0" t="str">
        <f aca="false">IF('K5. Témoignages &amp; Incidents'!C140="","",'K5. Témoignages &amp; Incidents'!F140)</f>
        <v/>
      </c>
      <c r="E129" s="0" t="str">
        <f aca="false">IF('K5. Témoignages &amp; Incidents'!C140="","",'K5. Témoignages &amp; Incidents'!G140)</f>
        <v/>
      </c>
      <c r="F129" s="0" t="str">
        <f aca="false">IF('K5. Témoignages &amp; Incidents'!C140="","",'K5. Témoignages &amp; Incidents'!H140)</f>
        <v/>
      </c>
      <c r="G129" s="0" t="str">
        <f aca="false">IF('K5. Témoignages &amp; Incidents'!C140="","",'K5. Témoignages &amp; Incidents'!I140)</f>
        <v/>
      </c>
      <c r="H129" s="0" t="str">
        <f aca="false">IF('K5. Témoignages &amp; Incidents'!C140="","",'K5. Témoignages &amp; Incidents'!J140)</f>
        <v/>
      </c>
      <c r="I129" s="0" t="str">
        <f aca="false">IF('K5. Témoignages &amp; Incidents'!C140="","",'K5. Témoignages &amp; Incidents'!K140)</f>
        <v/>
      </c>
      <c r="J129" s="0" t="str">
        <f aca="false">IF('K5. Témoignages &amp; Incidents'!C140="","",'K5. Témoignages &amp; Incidents'!L140)</f>
        <v/>
      </c>
      <c r="K129" s="0" t="str">
        <f aca="false">IF('K5. Témoignages &amp; Incidents'!C140="","",'K5. Témoignages &amp; Incidents'!M140)</f>
        <v/>
      </c>
    </row>
    <row r="130" customFormat="false" ht="15" hidden="false" customHeight="false" outlineLevel="0" collapsed="false">
      <c r="A130" s="0" t="str">
        <f aca="false">IF('K5. Témoignages &amp; Incidents'!C141="","",'K5. Témoignages &amp; Incidents'!C141)</f>
        <v/>
      </c>
      <c r="B130" s="173" t="str">
        <f aca="false">IF('K5. Témoignages &amp; Incidents'!C141="","",'K5. Témoignages &amp; Incidents'!D141)</f>
        <v/>
      </c>
      <c r="C130" s="0" t="str">
        <f aca="false">IF('K5. Témoignages &amp; Incidents'!C141="","",'K5. Témoignages &amp; Incidents'!E141)</f>
        <v/>
      </c>
      <c r="D130" s="0" t="str">
        <f aca="false">IF('K5. Témoignages &amp; Incidents'!C141="","",'K5. Témoignages &amp; Incidents'!F141)</f>
        <v/>
      </c>
      <c r="E130" s="0" t="str">
        <f aca="false">IF('K5. Témoignages &amp; Incidents'!C141="","",'K5. Témoignages &amp; Incidents'!G141)</f>
        <v/>
      </c>
      <c r="F130" s="0" t="str">
        <f aca="false">IF('K5. Témoignages &amp; Incidents'!C141="","",'K5. Témoignages &amp; Incidents'!H141)</f>
        <v/>
      </c>
      <c r="G130" s="0" t="str">
        <f aca="false">IF('K5. Témoignages &amp; Incidents'!C141="","",'K5. Témoignages &amp; Incidents'!I141)</f>
        <v/>
      </c>
      <c r="H130" s="0" t="str">
        <f aca="false">IF('K5. Témoignages &amp; Incidents'!C141="","",'K5. Témoignages &amp; Incidents'!J141)</f>
        <v/>
      </c>
      <c r="I130" s="0" t="str">
        <f aca="false">IF('K5. Témoignages &amp; Incidents'!C141="","",'K5. Témoignages &amp; Incidents'!K141)</f>
        <v/>
      </c>
      <c r="J130" s="0" t="str">
        <f aca="false">IF('K5. Témoignages &amp; Incidents'!C141="","",'K5. Témoignages &amp; Incidents'!L141)</f>
        <v/>
      </c>
      <c r="K130" s="0" t="str">
        <f aca="false">IF('K5. Témoignages &amp; Incidents'!C141="","",'K5. Témoignages &amp; Incidents'!M141)</f>
        <v/>
      </c>
    </row>
    <row r="131" customFormat="false" ht="15" hidden="false" customHeight="false" outlineLevel="0" collapsed="false">
      <c r="A131" s="0" t="str">
        <f aca="false">IF('K5. Témoignages &amp; Incidents'!C142="","",'K5. Témoignages &amp; Incidents'!C142)</f>
        <v/>
      </c>
      <c r="B131" s="173" t="str">
        <f aca="false">IF('K5. Témoignages &amp; Incidents'!C142="","",'K5. Témoignages &amp; Incidents'!D142)</f>
        <v/>
      </c>
      <c r="C131" s="0" t="str">
        <f aca="false">IF('K5. Témoignages &amp; Incidents'!C142="","",'K5. Témoignages &amp; Incidents'!E142)</f>
        <v/>
      </c>
      <c r="D131" s="0" t="str">
        <f aca="false">IF('K5. Témoignages &amp; Incidents'!C142="","",'K5. Témoignages &amp; Incidents'!F142)</f>
        <v/>
      </c>
      <c r="E131" s="0" t="str">
        <f aca="false">IF('K5. Témoignages &amp; Incidents'!C142="","",'K5. Témoignages &amp; Incidents'!G142)</f>
        <v/>
      </c>
      <c r="F131" s="0" t="str">
        <f aca="false">IF('K5. Témoignages &amp; Incidents'!C142="","",'K5. Témoignages &amp; Incidents'!H142)</f>
        <v/>
      </c>
      <c r="G131" s="0" t="str">
        <f aca="false">IF('K5. Témoignages &amp; Incidents'!C142="","",'K5. Témoignages &amp; Incidents'!I142)</f>
        <v/>
      </c>
      <c r="H131" s="0" t="str">
        <f aca="false">IF('K5. Témoignages &amp; Incidents'!C142="","",'K5. Témoignages &amp; Incidents'!J142)</f>
        <v/>
      </c>
      <c r="I131" s="0" t="str">
        <f aca="false">IF('K5. Témoignages &amp; Incidents'!C142="","",'K5. Témoignages &amp; Incidents'!K142)</f>
        <v/>
      </c>
      <c r="J131" s="0" t="str">
        <f aca="false">IF('K5. Témoignages &amp; Incidents'!C142="","",'K5. Témoignages &amp; Incidents'!L142)</f>
        <v/>
      </c>
      <c r="K131" s="0" t="str">
        <f aca="false">IF('K5. Témoignages &amp; Incidents'!C142="","",'K5. Témoignages &amp; Incidents'!M142)</f>
        <v/>
      </c>
    </row>
    <row r="132" customFormat="false" ht="15" hidden="false" customHeight="false" outlineLevel="0" collapsed="false">
      <c r="A132" s="0" t="str">
        <f aca="false">IF('K5. Témoignages &amp; Incidents'!C143="","",'K5. Témoignages &amp; Incidents'!C143)</f>
        <v/>
      </c>
      <c r="B132" s="173" t="str">
        <f aca="false">IF('K5. Témoignages &amp; Incidents'!C143="","",'K5. Témoignages &amp; Incidents'!D143)</f>
        <v/>
      </c>
      <c r="C132" s="0" t="str">
        <f aca="false">IF('K5. Témoignages &amp; Incidents'!C143="","",'K5. Témoignages &amp; Incidents'!E143)</f>
        <v/>
      </c>
      <c r="D132" s="0" t="str">
        <f aca="false">IF('K5. Témoignages &amp; Incidents'!C143="","",'K5. Témoignages &amp; Incidents'!F143)</f>
        <v/>
      </c>
      <c r="E132" s="0" t="str">
        <f aca="false">IF('K5. Témoignages &amp; Incidents'!C143="","",'K5. Témoignages &amp; Incidents'!G143)</f>
        <v/>
      </c>
      <c r="F132" s="0" t="str">
        <f aca="false">IF('K5. Témoignages &amp; Incidents'!C143="","",'K5. Témoignages &amp; Incidents'!H143)</f>
        <v/>
      </c>
      <c r="G132" s="0" t="str">
        <f aca="false">IF('K5. Témoignages &amp; Incidents'!C143="","",'K5. Témoignages &amp; Incidents'!I143)</f>
        <v/>
      </c>
      <c r="H132" s="0" t="str">
        <f aca="false">IF('K5. Témoignages &amp; Incidents'!C143="","",'K5. Témoignages &amp; Incidents'!J143)</f>
        <v/>
      </c>
      <c r="I132" s="0" t="str">
        <f aca="false">IF('K5. Témoignages &amp; Incidents'!C143="","",'K5. Témoignages &amp; Incidents'!K143)</f>
        <v/>
      </c>
      <c r="J132" s="0" t="str">
        <f aca="false">IF('K5. Témoignages &amp; Incidents'!C143="","",'K5. Témoignages &amp; Incidents'!L143)</f>
        <v/>
      </c>
      <c r="K132" s="0" t="str">
        <f aca="false">IF('K5. Témoignages &amp; Incidents'!C143="","",'K5. Témoignages &amp; Incidents'!M143)</f>
        <v/>
      </c>
    </row>
    <row r="133" customFormat="false" ht="15" hidden="false" customHeight="false" outlineLevel="0" collapsed="false">
      <c r="A133" s="0" t="str">
        <f aca="false">IF('K5. Témoignages &amp; Incidents'!C144="","",'K5. Témoignages &amp; Incidents'!C144)</f>
        <v/>
      </c>
      <c r="B133" s="173" t="str">
        <f aca="false">IF('K5. Témoignages &amp; Incidents'!C144="","",'K5. Témoignages &amp; Incidents'!D144)</f>
        <v/>
      </c>
      <c r="C133" s="0" t="str">
        <f aca="false">IF('K5. Témoignages &amp; Incidents'!C144="","",'K5. Témoignages &amp; Incidents'!E144)</f>
        <v/>
      </c>
      <c r="D133" s="0" t="str">
        <f aca="false">IF('K5. Témoignages &amp; Incidents'!C144="","",'K5. Témoignages &amp; Incidents'!F144)</f>
        <v/>
      </c>
      <c r="E133" s="0" t="str">
        <f aca="false">IF('K5. Témoignages &amp; Incidents'!C144="","",'K5. Témoignages &amp; Incidents'!G144)</f>
        <v/>
      </c>
      <c r="F133" s="0" t="str">
        <f aca="false">IF('K5. Témoignages &amp; Incidents'!C144="","",'K5. Témoignages &amp; Incidents'!H144)</f>
        <v/>
      </c>
      <c r="G133" s="0" t="str">
        <f aca="false">IF('K5. Témoignages &amp; Incidents'!C144="","",'K5. Témoignages &amp; Incidents'!I144)</f>
        <v/>
      </c>
      <c r="H133" s="0" t="str">
        <f aca="false">IF('K5. Témoignages &amp; Incidents'!C144="","",'K5. Témoignages &amp; Incidents'!J144)</f>
        <v/>
      </c>
      <c r="I133" s="0" t="str">
        <f aca="false">IF('K5. Témoignages &amp; Incidents'!C144="","",'K5. Témoignages &amp; Incidents'!K144)</f>
        <v/>
      </c>
      <c r="J133" s="0" t="str">
        <f aca="false">IF('K5. Témoignages &amp; Incidents'!C144="","",'K5. Témoignages &amp; Incidents'!L144)</f>
        <v/>
      </c>
      <c r="K133" s="0" t="str">
        <f aca="false">IF('K5. Témoignages &amp; Incidents'!C144="","",'K5. Témoignages &amp; Incidents'!M144)</f>
        <v/>
      </c>
    </row>
    <row r="134" customFormat="false" ht="15" hidden="false" customHeight="false" outlineLevel="0" collapsed="false">
      <c r="A134" s="0" t="str">
        <f aca="false">IF('K5. Témoignages &amp; Incidents'!C145="","",'K5. Témoignages &amp; Incidents'!C145)</f>
        <v/>
      </c>
      <c r="B134" s="173" t="str">
        <f aca="false">IF('K5. Témoignages &amp; Incidents'!C145="","",'K5. Témoignages &amp; Incidents'!D145)</f>
        <v/>
      </c>
      <c r="C134" s="0" t="str">
        <f aca="false">IF('K5. Témoignages &amp; Incidents'!C145="","",'K5. Témoignages &amp; Incidents'!E145)</f>
        <v/>
      </c>
      <c r="D134" s="0" t="str">
        <f aca="false">IF('K5. Témoignages &amp; Incidents'!C145="","",'K5. Témoignages &amp; Incidents'!F145)</f>
        <v/>
      </c>
      <c r="E134" s="0" t="str">
        <f aca="false">IF('K5. Témoignages &amp; Incidents'!C145="","",'K5. Témoignages &amp; Incidents'!G145)</f>
        <v/>
      </c>
      <c r="F134" s="0" t="str">
        <f aca="false">IF('K5. Témoignages &amp; Incidents'!C145="","",'K5. Témoignages &amp; Incidents'!H145)</f>
        <v/>
      </c>
      <c r="G134" s="0" t="str">
        <f aca="false">IF('K5. Témoignages &amp; Incidents'!C145="","",'K5. Témoignages &amp; Incidents'!I145)</f>
        <v/>
      </c>
      <c r="H134" s="0" t="str">
        <f aca="false">IF('K5. Témoignages &amp; Incidents'!C145="","",'K5. Témoignages &amp; Incidents'!J145)</f>
        <v/>
      </c>
      <c r="I134" s="0" t="str">
        <f aca="false">IF('K5. Témoignages &amp; Incidents'!C145="","",'K5. Témoignages &amp; Incidents'!K145)</f>
        <v/>
      </c>
      <c r="J134" s="0" t="str">
        <f aca="false">IF('K5. Témoignages &amp; Incidents'!C145="","",'K5. Témoignages &amp; Incidents'!L145)</f>
        <v/>
      </c>
      <c r="K134" s="0" t="str">
        <f aca="false">IF('K5. Témoignages &amp; Incidents'!C145="","",'K5. Témoignages &amp; Incidents'!M145)</f>
        <v/>
      </c>
    </row>
    <row r="135" customFormat="false" ht="15" hidden="false" customHeight="false" outlineLevel="0" collapsed="false">
      <c r="A135" s="0" t="str">
        <f aca="false">IF('K5. Témoignages &amp; Incidents'!C146="","",'K5. Témoignages &amp; Incidents'!C146)</f>
        <v/>
      </c>
      <c r="B135" s="173" t="str">
        <f aca="false">IF('K5. Témoignages &amp; Incidents'!C146="","",'K5. Témoignages &amp; Incidents'!D146)</f>
        <v/>
      </c>
      <c r="C135" s="0" t="str">
        <f aca="false">IF('K5. Témoignages &amp; Incidents'!C146="","",'K5. Témoignages &amp; Incidents'!E146)</f>
        <v/>
      </c>
      <c r="D135" s="0" t="str">
        <f aca="false">IF('K5. Témoignages &amp; Incidents'!C146="","",'K5. Témoignages &amp; Incidents'!F146)</f>
        <v/>
      </c>
      <c r="E135" s="0" t="str">
        <f aca="false">IF('K5. Témoignages &amp; Incidents'!C146="","",'K5. Témoignages &amp; Incidents'!G146)</f>
        <v/>
      </c>
      <c r="F135" s="0" t="str">
        <f aca="false">IF('K5. Témoignages &amp; Incidents'!C146="","",'K5. Témoignages &amp; Incidents'!H146)</f>
        <v/>
      </c>
      <c r="G135" s="0" t="str">
        <f aca="false">IF('K5. Témoignages &amp; Incidents'!C146="","",'K5. Témoignages &amp; Incidents'!I146)</f>
        <v/>
      </c>
      <c r="H135" s="0" t="str">
        <f aca="false">IF('K5. Témoignages &amp; Incidents'!C146="","",'K5. Témoignages &amp; Incidents'!J146)</f>
        <v/>
      </c>
      <c r="I135" s="0" t="str">
        <f aca="false">IF('K5. Témoignages &amp; Incidents'!C146="","",'K5. Témoignages &amp; Incidents'!K146)</f>
        <v/>
      </c>
      <c r="J135" s="0" t="str">
        <f aca="false">IF('K5. Témoignages &amp; Incidents'!C146="","",'K5. Témoignages &amp; Incidents'!L146)</f>
        <v/>
      </c>
      <c r="K135" s="0" t="str">
        <f aca="false">IF('K5. Témoignages &amp; Incidents'!C146="","",'K5. Témoignages &amp; Incidents'!M146)</f>
        <v/>
      </c>
    </row>
    <row r="136" customFormat="false" ht="15" hidden="false" customHeight="false" outlineLevel="0" collapsed="false">
      <c r="A136" s="0" t="str">
        <f aca="false">IF('K5. Témoignages &amp; Incidents'!C147="","",'K5. Témoignages &amp; Incidents'!C147)</f>
        <v/>
      </c>
      <c r="B136" s="173" t="str">
        <f aca="false">IF('K5. Témoignages &amp; Incidents'!C147="","",'K5. Témoignages &amp; Incidents'!D147)</f>
        <v/>
      </c>
      <c r="C136" s="0" t="str">
        <f aca="false">IF('K5. Témoignages &amp; Incidents'!C147="","",'K5. Témoignages &amp; Incidents'!E147)</f>
        <v/>
      </c>
      <c r="D136" s="0" t="str">
        <f aca="false">IF('K5. Témoignages &amp; Incidents'!C147="","",'K5. Témoignages &amp; Incidents'!F147)</f>
        <v/>
      </c>
      <c r="E136" s="0" t="str">
        <f aca="false">IF('K5. Témoignages &amp; Incidents'!C147="","",'K5. Témoignages &amp; Incidents'!G147)</f>
        <v/>
      </c>
      <c r="F136" s="0" t="str">
        <f aca="false">IF('K5. Témoignages &amp; Incidents'!C147="","",'K5. Témoignages &amp; Incidents'!H147)</f>
        <v/>
      </c>
      <c r="G136" s="0" t="str">
        <f aca="false">IF('K5. Témoignages &amp; Incidents'!C147="","",'K5. Témoignages &amp; Incidents'!I147)</f>
        <v/>
      </c>
      <c r="H136" s="0" t="str">
        <f aca="false">IF('K5. Témoignages &amp; Incidents'!C147="","",'K5. Témoignages &amp; Incidents'!J147)</f>
        <v/>
      </c>
      <c r="I136" s="0" t="str">
        <f aca="false">IF('K5. Témoignages &amp; Incidents'!C147="","",'K5. Témoignages &amp; Incidents'!K147)</f>
        <v/>
      </c>
      <c r="J136" s="0" t="str">
        <f aca="false">IF('K5. Témoignages &amp; Incidents'!C147="","",'K5. Témoignages &amp; Incidents'!L147)</f>
        <v/>
      </c>
      <c r="K136" s="0" t="str">
        <f aca="false">IF('K5. Témoignages &amp; Incidents'!C147="","",'K5. Témoignages &amp; Incidents'!M147)</f>
        <v/>
      </c>
    </row>
    <row r="137" customFormat="false" ht="15" hidden="false" customHeight="false" outlineLevel="0" collapsed="false">
      <c r="A137" s="0" t="str">
        <f aca="false">IF('K5. Témoignages &amp; Incidents'!C148="","",'K5. Témoignages &amp; Incidents'!C148)</f>
        <v/>
      </c>
      <c r="B137" s="173" t="str">
        <f aca="false">IF('K5. Témoignages &amp; Incidents'!C148="","",'K5. Témoignages &amp; Incidents'!D148)</f>
        <v/>
      </c>
      <c r="C137" s="0" t="str">
        <f aca="false">IF('K5. Témoignages &amp; Incidents'!C148="","",'K5. Témoignages &amp; Incidents'!E148)</f>
        <v/>
      </c>
      <c r="D137" s="0" t="str">
        <f aca="false">IF('K5. Témoignages &amp; Incidents'!C148="","",'K5. Témoignages &amp; Incidents'!F148)</f>
        <v/>
      </c>
      <c r="E137" s="0" t="str">
        <f aca="false">IF('K5. Témoignages &amp; Incidents'!C148="","",'K5. Témoignages &amp; Incidents'!G148)</f>
        <v/>
      </c>
      <c r="F137" s="0" t="str">
        <f aca="false">IF('K5. Témoignages &amp; Incidents'!C148="","",'K5. Témoignages &amp; Incidents'!H148)</f>
        <v/>
      </c>
      <c r="G137" s="0" t="str">
        <f aca="false">IF('K5. Témoignages &amp; Incidents'!C148="","",'K5. Témoignages &amp; Incidents'!I148)</f>
        <v/>
      </c>
      <c r="H137" s="0" t="str">
        <f aca="false">IF('K5. Témoignages &amp; Incidents'!C148="","",'K5. Témoignages &amp; Incidents'!J148)</f>
        <v/>
      </c>
      <c r="I137" s="0" t="str">
        <f aca="false">IF('K5. Témoignages &amp; Incidents'!C148="","",'K5. Témoignages &amp; Incidents'!K148)</f>
        <v/>
      </c>
      <c r="J137" s="0" t="str">
        <f aca="false">IF('K5. Témoignages &amp; Incidents'!C148="","",'K5. Témoignages &amp; Incidents'!L148)</f>
        <v/>
      </c>
      <c r="K137" s="0" t="str">
        <f aca="false">IF('K5. Témoignages &amp; Incidents'!C148="","",'K5. Témoignages &amp; Incidents'!M148)</f>
        <v/>
      </c>
    </row>
    <row r="138" customFormat="false" ht="15" hidden="false" customHeight="false" outlineLevel="0" collapsed="false">
      <c r="A138" s="0" t="str">
        <f aca="false">IF('K5. Témoignages &amp; Incidents'!C149="","",'K5. Témoignages &amp; Incidents'!C149)</f>
        <v/>
      </c>
      <c r="B138" s="173" t="str">
        <f aca="false">IF('K5. Témoignages &amp; Incidents'!C149="","",'K5. Témoignages &amp; Incidents'!D149)</f>
        <v/>
      </c>
      <c r="C138" s="0" t="str">
        <f aca="false">IF('K5. Témoignages &amp; Incidents'!C149="","",'K5. Témoignages &amp; Incidents'!E149)</f>
        <v/>
      </c>
      <c r="D138" s="0" t="str">
        <f aca="false">IF('K5. Témoignages &amp; Incidents'!C149="","",'K5. Témoignages &amp; Incidents'!F149)</f>
        <v/>
      </c>
      <c r="E138" s="0" t="str">
        <f aca="false">IF('K5. Témoignages &amp; Incidents'!C149="","",'K5. Témoignages &amp; Incidents'!G149)</f>
        <v/>
      </c>
      <c r="F138" s="0" t="str">
        <f aca="false">IF('K5. Témoignages &amp; Incidents'!C149="","",'K5. Témoignages &amp; Incidents'!H149)</f>
        <v/>
      </c>
      <c r="G138" s="0" t="str">
        <f aca="false">IF('K5. Témoignages &amp; Incidents'!C149="","",'K5. Témoignages &amp; Incidents'!I149)</f>
        <v/>
      </c>
      <c r="H138" s="0" t="str">
        <f aca="false">IF('K5. Témoignages &amp; Incidents'!C149="","",'K5. Témoignages &amp; Incidents'!J149)</f>
        <v/>
      </c>
      <c r="I138" s="0" t="str">
        <f aca="false">IF('K5. Témoignages &amp; Incidents'!C149="","",'K5. Témoignages &amp; Incidents'!K149)</f>
        <v/>
      </c>
      <c r="J138" s="0" t="str">
        <f aca="false">IF('K5. Témoignages &amp; Incidents'!C149="","",'K5. Témoignages &amp; Incidents'!L149)</f>
        <v/>
      </c>
      <c r="K138" s="0" t="str">
        <f aca="false">IF('K5. Témoignages &amp; Incidents'!C149="","",'K5. Témoignages &amp; Incidents'!M149)</f>
        <v/>
      </c>
    </row>
    <row r="139" customFormat="false" ht="15" hidden="false" customHeight="false" outlineLevel="0" collapsed="false">
      <c r="A139" s="0" t="str">
        <f aca="false">IF('K5. Témoignages &amp; Incidents'!C150="","",'K5. Témoignages &amp; Incidents'!C150)</f>
        <v/>
      </c>
      <c r="B139" s="173" t="str">
        <f aca="false">IF('K5. Témoignages &amp; Incidents'!C150="","",'K5. Témoignages &amp; Incidents'!D150)</f>
        <v/>
      </c>
      <c r="C139" s="0" t="str">
        <f aca="false">IF('K5. Témoignages &amp; Incidents'!C150="","",'K5. Témoignages &amp; Incidents'!E150)</f>
        <v/>
      </c>
      <c r="D139" s="0" t="str">
        <f aca="false">IF('K5. Témoignages &amp; Incidents'!C150="","",'K5. Témoignages &amp; Incidents'!F150)</f>
        <v/>
      </c>
      <c r="E139" s="0" t="str">
        <f aca="false">IF('K5. Témoignages &amp; Incidents'!C150="","",'K5. Témoignages &amp; Incidents'!G150)</f>
        <v/>
      </c>
      <c r="F139" s="0" t="str">
        <f aca="false">IF('K5. Témoignages &amp; Incidents'!C150="","",'K5. Témoignages &amp; Incidents'!H150)</f>
        <v/>
      </c>
      <c r="G139" s="0" t="str">
        <f aca="false">IF('K5. Témoignages &amp; Incidents'!C150="","",'K5. Témoignages &amp; Incidents'!I150)</f>
        <v/>
      </c>
      <c r="H139" s="0" t="str">
        <f aca="false">IF('K5. Témoignages &amp; Incidents'!C150="","",'K5. Témoignages &amp; Incidents'!J150)</f>
        <v/>
      </c>
      <c r="I139" s="0" t="str">
        <f aca="false">IF('K5. Témoignages &amp; Incidents'!C150="","",'K5. Témoignages &amp; Incidents'!K150)</f>
        <v/>
      </c>
      <c r="J139" s="0" t="str">
        <f aca="false">IF('K5. Témoignages &amp; Incidents'!C150="","",'K5. Témoignages &amp; Incidents'!L150)</f>
        <v/>
      </c>
      <c r="K139" s="0" t="str">
        <f aca="false">IF('K5. Témoignages &amp; Incidents'!C150="","",'K5. Témoignages &amp; Incidents'!M150)</f>
        <v/>
      </c>
    </row>
    <row r="140" customFormat="false" ht="15" hidden="false" customHeight="false" outlineLevel="0" collapsed="false">
      <c r="A140" s="0" t="str">
        <f aca="false">IF('K5. Témoignages &amp; Incidents'!C151="","",'K5. Témoignages &amp; Incidents'!C151)</f>
        <v/>
      </c>
      <c r="B140" s="173" t="str">
        <f aca="false">IF('K5. Témoignages &amp; Incidents'!C151="","",'K5. Témoignages &amp; Incidents'!D151)</f>
        <v/>
      </c>
      <c r="C140" s="0" t="str">
        <f aca="false">IF('K5. Témoignages &amp; Incidents'!C151="","",'K5. Témoignages &amp; Incidents'!E151)</f>
        <v/>
      </c>
      <c r="D140" s="0" t="str">
        <f aca="false">IF('K5. Témoignages &amp; Incidents'!C151="","",'K5. Témoignages &amp; Incidents'!F151)</f>
        <v/>
      </c>
      <c r="E140" s="0" t="str">
        <f aca="false">IF('K5. Témoignages &amp; Incidents'!C151="","",'K5. Témoignages &amp; Incidents'!G151)</f>
        <v/>
      </c>
      <c r="F140" s="0" t="str">
        <f aca="false">IF('K5. Témoignages &amp; Incidents'!C151="","",'K5. Témoignages &amp; Incidents'!H151)</f>
        <v/>
      </c>
      <c r="G140" s="0" t="str">
        <f aca="false">IF('K5. Témoignages &amp; Incidents'!C151="","",'K5. Témoignages &amp; Incidents'!I151)</f>
        <v/>
      </c>
      <c r="H140" s="0" t="str">
        <f aca="false">IF('K5. Témoignages &amp; Incidents'!C151="","",'K5. Témoignages &amp; Incidents'!J151)</f>
        <v/>
      </c>
      <c r="I140" s="0" t="str">
        <f aca="false">IF('K5. Témoignages &amp; Incidents'!C151="","",'K5. Témoignages &amp; Incidents'!K151)</f>
        <v/>
      </c>
      <c r="J140" s="0" t="str">
        <f aca="false">IF('K5. Témoignages &amp; Incidents'!C151="","",'K5. Témoignages &amp; Incidents'!L151)</f>
        <v/>
      </c>
      <c r="K140" s="0" t="str">
        <f aca="false">IF('K5. Témoignages &amp; Incidents'!C151="","",'K5. Témoignages &amp; Incidents'!M151)</f>
        <v/>
      </c>
    </row>
    <row r="141" customFormat="false" ht="15" hidden="false" customHeight="false" outlineLevel="0" collapsed="false">
      <c r="A141" s="0" t="str">
        <f aca="false">IF('K5. Témoignages &amp; Incidents'!C152="","",'K5. Témoignages &amp; Incidents'!C152)</f>
        <v/>
      </c>
      <c r="B141" s="173" t="str">
        <f aca="false">IF('K5. Témoignages &amp; Incidents'!C152="","",'K5. Témoignages &amp; Incidents'!D152)</f>
        <v/>
      </c>
      <c r="C141" s="0" t="str">
        <f aca="false">IF('K5. Témoignages &amp; Incidents'!C152="","",'K5. Témoignages &amp; Incidents'!E152)</f>
        <v/>
      </c>
      <c r="D141" s="0" t="str">
        <f aca="false">IF('K5. Témoignages &amp; Incidents'!C152="","",'K5. Témoignages &amp; Incidents'!F152)</f>
        <v/>
      </c>
      <c r="E141" s="0" t="str">
        <f aca="false">IF('K5. Témoignages &amp; Incidents'!C152="","",'K5. Témoignages &amp; Incidents'!G152)</f>
        <v/>
      </c>
      <c r="F141" s="0" t="str">
        <f aca="false">IF('K5. Témoignages &amp; Incidents'!C152="","",'K5. Témoignages &amp; Incidents'!H152)</f>
        <v/>
      </c>
      <c r="G141" s="0" t="str">
        <f aca="false">IF('K5. Témoignages &amp; Incidents'!C152="","",'K5. Témoignages &amp; Incidents'!I152)</f>
        <v/>
      </c>
      <c r="H141" s="0" t="str">
        <f aca="false">IF('K5. Témoignages &amp; Incidents'!C152="","",'K5. Témoignages &amp; Incidents'!J152)</f>
        <v/>
      </c>
      <c r="I141" s="0" t="str">
        <f aca="false">IF('K5. Témoignages &amp; Incidents'!C152="","",'K5. Témoignages &amp; Incidents'!K152)</f>
        <v/>
      </c>
      <c r="J141" s="0" t="str">
        <f aca="false">IF('K5. Témoignages &amp; Incidents'!C152="","",'K5. Témoignages &amp; Incidents'!L152)</f>
        <v/>
      </c>
      <c r="K141" s="0" t="str">
        <f aca="false">IF('K5. Témoignages &amp; Incidents'!C152="","",'K5. Témoignages &amp; Incidents'!M152)</f>
        <v/>
      </c>
    </row>
    <row r="142" customFormat="false" ht="15" hidden="false" customHeight="false" outlineLevel="0" collapsed="false">
      <c r="A142" s="0" t="str">
        <f aca="false">IF('K5. Témoignages &amp; Incidents'!C153="","",'K5. Témoignages &amp; Incidents'!C153)</f>
        <v/>
      </c>
      <c r="B142" s="173" t="str">
        <f aca="false">IF('K5. Témoignages &amp; Incidents'!C153="","",'K5. Témoignages &amp; Incidents'!D153)</f>
        <v/>
      </c>
      <c r="C142" s="0" t="str">
        <f aca="false">IF('K5. Témoignages &amp; Incidents'!C153="","",'K5. Témoignages &amp; Incidents'!E153)</f>
        <v/>
      </c>
      <c r="D142" s="0" t="str">
        <f aca="false">IF('K5. Témoignages &amp; Incidents'!C153="","",'K5. Témoignages &amp; Incidents'!F153)</f>
        <v/>
      </c>
      <c r="E142" s="0" t="str">
        <f aca="false">IF('K5. Témoignages &amp; Incidents'!C153="","",'K5. Témoignages &amp; Incidents'!G153)</f>
        <v/>
      </c>
      <c r="F142" s="0" t="str">
        <f aca="false">IF('K5. Témoignages &amp; Incidents'!C153="","",'K5. Témoignages &amp; Incidents'!H153)</f>
        <v/>
      </c>
      <c r="G142" s="0" t="str">
        <f aca="false">IF('K5. Témoignages &amp; Incidents'!C153="","",'K5. Témoignages &amp; Incidents'!I153)</f>
        <v/>
      </c>
      <c r="H142" s="0" t="str">
        <f aca="false">IF('K5. Témoignages &amp; Incidents'!C153="","",'K5. Témoignages &amp; Incidents'!J153)</f>
        <v/>
      </c>
      <c r="I142" s="0" t="str">
        <f aca="false">IF('K5. Témoignages &amp; Incidents'!C153="","",'K5. Témoignages &amp; Incidents'!K153)</f>
        <v/>
      </c>
      <c r="J142" s="0" t="str">
        <f aca="false">IF('K5. Témoignages &amp; Incidents'!C153="","",'K5. Témoignages &amp; Incidents'!L153)</f>
        <v/>
      </c>
      <c r="K142" s="0" t="str">
        <f aca="false">IF('K5. Témoignages &amp; Incidents'!C153="","",'K5. Témoignages &amp; Incidents'!M153)</f>
        <v/>
      </c>
    </row>
    <row r="143" customFormat="false" ht="15" hidden="false" customHeight="false" outlineLevel="0" collapsed="false">
      <c r="A143" s="0" t="str">
        <f aca="false">IF('K5. Témoignages &amp; Incidents'!C154="","",'K5. Témoignages &amp; Incidents'!C154)</f>
        <v/>
      </c>
      <c r="B143" s="173" t="str">
        <f aca="false">IF('K5. Témoignages &amp; Incidents'!C154="","",'K5. Témoignages &amp; Incidents'!D154)</f>
        <v/>
      </c>
      <c r="C143" s="0" t="str">
        <f aca="false">IF('K5. Témoignages &amp; Incidents'!C154="","",'K5. Témoignages &amp; Incidents'!E154)</f>
        <v/>
      </c>
      <c r="D143" s="0" t="str">
        <f aca="false">IF('K5. Témoignages &amp; Incidents'!C154="","",'K5. Témoignages &amp; Incidents'!F154)</f>
        <v/>
      </c>
      <c r="E143" s="0" t="str">
        <f aca="false">IF('K5. Témoignages &amp; Incidents'!C154="","",'K5. Témoignages &amp; Incidents'!G154)</f>
        <v/>
      </c>
      <c r="F143" s="0" t="str">
        <f aca="false">IF('K5. Témoignages &amp; Incidents'!C154="","",'K5. Témoignages &amp; Incidents'!H154)</f>
        <v/>
      </c>
      <c r="G143" s="0" t="str">
        <f aca="false">IF('K5. Témoignages &amp; Incidents'!C154="","",'K5. Témoignages &amp; Incidents'!I154)</f>
        <v/>
      </c>
      <c r="H143" s="0" t="str">
        <f aca="false">IF('K5. Témoignages &amp; Incidents'!C154="","",'K5. Témoignages &amp; Incidents'!J154)</f>
        <v/>
      </c>
      <c r="I143" s="0" t="str">
        <f aca="false">IF('K5. Témoignages &amp; Incidents'!C154="","",'K5. Témoignages &amp; Incidents'!K154)</f>
        <v/>
      </c>
      <c r="J143" s="0" t="str">
        <f aca="false">IF('K5. Témoignages &amp; Incidents'!C154="","",'K5. Témoignages &amp; Incidents'!L154)</f>
        <v/>
      </c>
      <c r="K143" s="0" t="str">
        <f aca="false">IF('K5. Témoignages &amp; Incidents'!C154="","",'K5. Témoignages &amp; Incidents'!M154)</f>
        <v/>
      </c>
    </row>
    <row r="144" customFormat="false" ht="15" hidden="false" customHeight="false" outlineLevel="0" collapsed="false">
      <c r="A144" s="0" t="str">
        <f aca="false">IF('K5. Témoignages &amp; Incidents'!C155="","",'K5. Témoignages &amp; Incidents'!C155)</f>
        <v/>
      </c>
      <c r="B144" s="173" t="str">
        <f aca="false">IF('K5. Témoignages &amp; Incidents'!C155="","",'K5. Témoignages &amp; Incidents'!D155)</f>
        <v/>
      </c>
      <c r="C144" s="0" t="str">
        <f aca="false">IF('K5. Témoignages &amp; Incidents'!C155="","",'K5. Témoignages &amp; Incidents'!E155)</f>
        <v/>
      </c>
      <c r="D144" s="0" t="str">
        <f aca="false">IF('K5. Témoignages &amp; Incidents'!C155="","",'K5. Témoignages &amp; Incidents'!F155)</f>
        <v/>
      </c>
      <c r="E144" s="0" t="str">
        <f aca="false">IF('K5. Témoignages &amp; Incidents'!C155="","",'K5. Témoignages &amp; Incidents'!G155)</f>
        <v/>
      </c>
      <c r="F144" s="0" t="str">
        <f aca="false">IF('K5. Témoignages &amp; Incidents'!C155="","",'K5. Témoignages &amp; Incidents'!H155)</f>
        <v/>
      </c>
      <c r="G144" s="0" t="str">
        <f aca="false">IF('K5. Témoignages &amp; Incidents'!C155="","",'K5. Témoignages &amp; Incidents'!I155)</f>
        <v/>
      </c>
      <c r="H144" s="0" t="str">
        <f aca="false">IF('K5. Témoignages &amp; Incidents'!C155="","",'K5. Témoignages &amp; Incidents'!J155)</f>
        <v/>
      </c>
      <c r="I144" s="0" t="str">
        <f aca="false">IF('K5. Témoignages &amp; Incidents'!C155="","",'K5. Témoignages &amp; Incidents'!K155)</f>
        <v/>
      </c>
      <c r="J144" s="0" t="str">
        <f aca="false">IF('K5. Témoignages &amp; Incidents'!C155="","",'K5. Témoignages &amp; Incidents'!L155)</f>
        <v/>
      </c>
      <c r="K144" s="0" t="str">
        <f aca="false">IF('K5. Témoignages &amp; Incidents'!C155="","",'K5. Témoignages &amp; Incidents'!M155)</f>
        <v/>
      </c>
    </row>
    <row r="145" customFormat="false" ht="15" hidden="false" customHeight="false" outlineLevel="0" collapsed="false">
      <c r="A145" s="0" t="str">
        <f aca="false">IF('K5. Témoignages &amp; Incidents'!C156="","",'K5. Témoignages &amp; Incidents'!C156)</f>
        <v/>
      </c>
      <c r="B145" s="173" t="str">
        <f aca="false">IF('K5. Témoignages &amp; Incidents'!C156="","",'K5. Témoignages &amp; Incidents'!D156)</f>
        <v/>
      </c>
      <c r="C145" s="0" t="str">
        <f aca="false">IF('K5. Témoignages &amp; Incidents'!C156="","",'K5. Témoignages &amp; Incidents'!E156)</f>
        <v/>
      </c>
      <c r="D145" s="0" t="str">
        <f aca="false">IF('K5. Témoignages &amp; Incidents'!C156="","",'K5. Témoignages &amp; Incidents'!F156)</f>
        <v/>
      </c>
      <c r="E145" s="0" t="str">
        <f aca="false">IF('K5. Témoignages &amp; Incidents'!C156="","",'K5. Témoignages &amp; Incidents'!G156)</f>
        <v/>
      </c>
      <c r="F145" s="0" t="str">
        <f aca="false">IF('K5. Témoignages &amp; Incidents'!C156="","",'K5. Témoignages &amp; Incidents'!H156)</f>
        <v/>
      </c>
      <c r="G145" s="0" t="str">
        <f aca="false">IF('K5. Témoignages &amp; Incidents'!C156="","",'K5. Témoignages &amp; Incidents'!I156)</f>
        <v/>
      </c>
      <c r="H145" s="0" t="str">
        <f aca="false">IF('K5. Témoignages &amp; Incidents'!C156="","",'K5. Témoignages &amp; Incidents'!J156)</f>
        <v/>
      </c>
      <c r="I145" s="0" t="str">
        <f aca="false">IF('K5. Témoignages &amp; Incidents'!C156="","",'K5. Témoignages &amp; Incidents'!K156)</f>
        <v/>
      </c>
      <c r="J145" s="0" t="str">
        <f aca="false">IF('K5. Témoignages &amp; Incidents'!C156="","",'K5. Témoignages &amp; Incidents'!L156)</f>
        <v/>
      </c>
      <c r="K145" s="0" t="str">
        <f aca="false">IF('K5. Témoignages &amp; Incidents'!C156="","",'K5. Témoignages &amp; Incidents'!M156)</f>
        <v/>
      </c>
    </row>
    <row r="146" customFormat="false" ht="15" hidden="false" customHeight="false" outlineLevel="0" collapsed="false">
      <c r="A146" s="0" t="str">
        <f aca="false">IF('K5. Témoignages &amp; Incidents'!C157="","",'K5. Témoignages &amp; Incidents'!C157)</f>
        <v/>
      </c>
      <c r="B146" s="173" t="str">
        <f aca="false">IF('K5. Témoignages &amp; Incidents'!C157="","",'K5. Témoignages &amp; Incidents'!D157)</f>
        <v/>
      </c>
      <c r="C146" s="0" t="str">
        <f aca="false">IF('K5. Témoignages &amp; Incidents'!C157="","",'K5. Témoignages &amp; Incidents'!E157)</f>
        <v/>
      </c>
      <c r="D146" s="0" t="str">
        <f aca="false">IF('K5. Témoignages &amp; Incidents'!C157="","",'K5. Témoignages &amp; Incidents'!F157)</f>
        <v/>
      </c>
      <c r="E146" s="0" t="str">
        <f aca="false">IF('K5. Témoignages &amp; Incidents'!C157="","",'K5. Témoignages &amp; Incidents'!G157)</f>
        <v/>
      </c>
      <c r="F146" s="0" t="str">
        <f aca="false">IF('K5. Témoignages &amp; Incidents'!C157="","",'K5. Témoignages &amp; Incidents'!H157)</f>
        <v/>
      </c>
      <c r="G146" s="0" t="str">
        <f aca="false">IF('K5. Témoignages &amp; Incidents'!C157="","",'K5. Témoignages &amp; Incidents'!I157)</f>
        <v/>
      </c>
      <c r="H146" s="0" t="str">
        <f aca="false">IF('K5. Témoignages &amp; Incidents'!C157="","",'K5. Témoignages &amp; Incidents'!J157)</f>
        <v/>
      </c>
      <c r="I146" s="0" t="str">
        <f aca="false">IF('K5. Témoignages &amp; Incidents'!C157="","",'K5. Témoignages &amp; Incidents'!K157)</f>
        <v/>
      </c>
      <c r="J146" s="0" t="str">
        <f aca="false">IF('K5. Témoignages &amp; Incidents'!C157="","",'K5. Témoignages &amp; Incidents'!L157)</f>
        <v/>
      </c>
      <c r="K146" s="0" t="str">
        <f aca="false">IF('K5. Témoignages &amp; Incidents'!C157="","",'K5. Témoignages &amp; Incidents'!M157)</f>
        <v/>
      </c>
    </row>
    <row r="147" customFormat="false" ht="15" hidden="false" customHeight="false" outlineLevel="0" collapsed="false">
      <c r="A147" s="0" t="str">
        <f aca="false">IF('K5. Témoignages &amp; Incidents'!C158="","",'K5. Témoignages &amp; Incidents'!C158)</f>
        <v/>
      </c>
      <c r="B147" s="173" t="str">
        <f aca="false">IF('K5. Témoignages &amp; Incidents'!C158="","",'K5. Témoignages &amp; Incidents'!D158)</f>
        <v/>
      </c>
      <c r="C147" s="0" t="str">
        <f aca="false">IF('K5. Témoignages &amp; Incidents'!C158="","",'K5. Témoignages &amp; Incidents'!E158)</f>
        <v/>
      </c>
      <c r="D147" s="0" t="str">
        <f aca="false">IF('K5. Témoignages &amp; Incidents'!C158="","",'K5. Témoignages &amp; Incidents'!F158)</f>
        <v/>
      </c>
      <c r="E147" s="0" t="str">
        <f aca="false">IF('K5. Témoignages &amp; Incidents'!C158="","",'K5. Témoignages &amp; Incidents'!G158)</f>
        <v/>
      </c>
      <c r="F147" s="0" t="str">
        <f aca="false">IF('K5. Témoignages &amp; Incidents'!C158="","",'K5. Témoignages &amp; Incidents'!H158)</f>
        <v/>
      </c>
      <c r="G147" s="0" t="str">
        <f aca="false">IF('K5. Témoignages &amp; Incidents'!C158="","",'K5. Témoignages &amp; Incidents'!I158)</f>
        <v/>
      </c>
      <c r="H147" s="0" t="str">
        <f aca="false">IF('K5. Témoignages &amp; Incidents'!C158="","",'K5. Témoignages &amp; Incidents'!J158)</f>
        <v/>
      </c>
      <c r="I147" s="0" t="str">
        <f aca="false">IF('K5. Témoignages &amp; Incidents'!C158="","",'K5. Témoignages &amp; Incidents'!K158)</f>
        <v/>
      </c>
      <c r="J147" s="0" t="str">
        <f aca="false">IF('K5. Témoignages &amp; Incidents'!C158="","",'K5. Témoignages &amp; Incidents'!L158)</f>
        <v/>
      </c>
      <c r="K147" s="0" t="str">
        <f aca="false">IF('K5. Témoignages &amp; Incidents'!C158="","",'K5. Témoignages &amp; Incidents'!M158)</f>
        <v/>
      </c>
    </row>
    <row r="148" customFormat="false" ht="15" hidden="false" customHeight="false" outlineLevel="0" collapsed="false">
      <c r="A148" s="0" t="str">
        <f aca="false">IF('K5. Témoignages &amp; Incidents'!C159="","",'K5. Témoignages &amp; Incidents'!C159)</f>
        <v/>
      </c>
      <c r="B148" s="173" t="str">
        <f aca="false">IF('K5. Témoignages &amp; Incidents'!C159="","",'K5. Témoignages &amp; Incidents'!D159)</f>
        <v/>
      </c>
      <c r="C148" s="0" t="str">
        <f aca="false">IF('K5. Témoignages &amp; Incidents'!C159="","",'K5. Témoignages &amp; Incidents'!E159)</f>
        <v/>
      </c>
      <c r="D148" s="0" t="str">
        <f aca="false">IF('K5. Témoignages &amp; Incidents'!C159="","",'K5. Témoignages &amp; Incidents'!F159)</f>
        <v/>
      </c>
      <c r="E148" s="0" t="str">
        <f aca="false">IF('K5. Témoignages &amp; Incidents'!C159="","",'K5. Témoignages &amp; Incidents'!G159)</f>
        <v/>
      </c>
      <c r="F148" s="0" t="str">
        <f aca="false">IF('K5. Témoignages &amp; Incidents'!C159="","",'K5. Témoignages &amp; Incidents'!H159)</f>
        <v/>
      </c>
      <c r="G148" s="0" t="str">
        <f aca="false">IF('K5. Témoignages &amp; Incidents'!C159="","",'K5. Témoignages &amp; Incidents'!I159)</f>
        <v/>
      </c>
      <c r="H148" s="0" t="str">
        <f aca="false">IF('K5. Témoignages &amp; Incidents'!C159="","",'K5. Témoignages &amp; Incidents'!J159)</f>
        <v/>
      </c>
      <c r="I148" s="0" t="str">
        <f aca="false">IF('K5. Témoignages &amp; Incidents'!C159="","",'K5. Témoignages &amp; Incidents'!K159)</f>
        <v/>
      </c>
      <c r="J148" s="0" t="str">
        <f aca="false">IF('K5. Témoignages &amp; Incidents'!C159="","",'K5. Témoignages &amp; Incidents'!L159)</f>
        <v/>
      </c>
      <c r="K148" s="0" t="str">
        <f aca="false">IF('K5. Témoignages &amp; Incidents'!C159="","",'K5. Témoignages &amp; Incidents'!M159)</f>
        <v/>
      </c>
    </row>
    <row r="149" customFormat="false" ht="15" hidden="false" customHeight="false" outlineLevel="0" collapsed="false">
      <c r="A149" s="0" t="str">
        <f aca="false">IF('K5. Témoignages &amp; Incidents'!C160="","",'K5. Témoignages &amp; Incidents'!C160)</f>
        <v/>
      </c>
      <c r="B149" s="173" t="str">
        <f aca="false">IF('K5. Témoignages &amp; Incidents'!C160="","",'K5. Témoignages &amp; Incidents'!D160)</f>
        <v/>
      </c>
      <c r="C149" s="0" t="str">
        <f aca="false">IF('K5. Témoignages &amp; Incidents'!C160="","",'K5. Témoignages &amp; Incidents'!E160)</f>
        <v/>
      </c>
      <c r="D149" s="0" t="str">
        <f aca="false">IF('K5. Témoignages &amp; Incidents'!C160="","",'K5. Témoignages &amp; Incidents'!F160)</f>
        <v/>
      </c>
      <c r="E149" s="0" t="str">
        <f aca="false">IF('K5. Témoignages &amp; Incidents'!C160="","",'K5. Témoignages &amp; Incidents'!G160)</f>
        <v/>
      </c>
      <c r="F149" s="0" t="str">
        <f aca="false">IF('K5. Témoignages &amp; Incidents'!C160="","",'K5. Témoignages &amp; Incidents'!H160)</f>
        <v/>
      </c>
      <c r="G149" s="0" t="str">
        <f aca="false">IF('K5. Témoignages &amp; Incidents'!C160="","",'K5. Témoignages &amp; Incidents'!I160)</f>
        <v/>
      </c>
      <c r="H149" s="0" t="str">
        <f aca="false">IF('K5. Témoignages &amp; Incidents'!C160="","",'K5. Témoignages &amp; Incidents'!J160)</f>
        <v/>
      </c>
      <c r="I149" s="0" t="str">
        <f aca="false">IF('K5. Témoignages &amp; Incidents'!C160="","",'K5. Témoignages &amp; Incidents'!K160)</f>
        <v/>
      </c>
      <c r="J149" s="0" t="str">
        <f aca="false">IF('K5. Témoignages &amp; Incidents'!C160="","",'K5. Témoignages &amp; Incidents'!L160)</f>
        <v/>
      </c>
      <c r="K149" s="0" t="str">
        <f aca="false">IF('K5. Témoignages &amp; Incidents'!C160="","",'K5. Témoignages &amp; Incidents'!M160)</f>
        <v/>
      </c>
    </row>
    <row r="150" customFormat="false" ht="15" hidden="false" customHeight="false" outlineLevel="0" collapsed="false">
      <c r="A150" s="0" t="str">
        <f aca="false">IF('K5. Témoignages &amp; Incidents'!C161="","",'K5. Témoignages &amp; Incidents'!C161)</f>
        <v/>
      </c>
      <c r="B150" s="173" t="str">
        <f aca="false">IF('K5. Témoignages &amp; Incidents'!C161="","",'K5. Témoignages &amp; Incidents'!D161)</f>
        <v/>
      </c>
      <c r="C150" s="0" t="str">
        <f aca="false">IF('K5. Témoignages &amp; Incidents'!C161="","",'K5. Témoignages &amp; Incidents'!E161)</f>
        <v/>
      </c>
      <c r="D150" s="0" t="str">
        <f aca="false">IF('K5. Témoignages &amp; Incidents'!C161="","",'K5. Témoignages &amp; Incidents'!F161)</f>
        <v/>
      </c>
      <c r="E150" s="0" t="str">
        <f aca="false">IF('K5. Témoignages &amp; Incidents'!C161="","",'K5. Témoignages &amp; Incidents'!G161)</f>
        <v/>
      </c>
      <c r="F150" s="0" t="str">
        <f aca="false">IF('K5. Témoignages &amp; Incidents'!C161="","",'K5. Témoignages &amp; Incidents'!H161)</f>
        <v/>
      </c>
      <c r="G150" s="0" t="str">
        <f aca="false">IF('K5. Témoignages &amp; Incidents'!C161="","",'K5. Témoignages &amp; Incidents'!I161)</f>
        <v/>
      </c>
      <c r="H150" s="0" t="str">
        <f aca="false">IF('K5. Témoignages &amp; Incidents'!C161="","",'K5. Témoignages &amp; Incidents'!J161)</f>
        <v/>
      </c>
      <c r="I150" s="0" t="str">
        <f aca="false">IF('K5. Témoignages &amp; Incidents'!C161="","",'K5. Témoignages &amp; Incidents'!K161)</f>
        <v/>
      </c>
      <c r="J150" s="0" t="str">
        <f aca="false">IF('K5. Témoignages &amp; Incidents'!C161="","",'K5. Témoignages &amp; Incidents'!L161)</f>
        <v/>
      </c>
      <c r="K150" s="0" t="str">
        <f aca="false">IF('K5. Témoignages &amp; Incidents'!C161="","",'K5. Témoignages &amp; Incidents'!M161)</f>
        <v/>
      </c>
    </row>
    <row r="151" customFormat="false" ht="15" hidden="false" customHeight="false" outlineLevel="0" collapsed="false">
      <c r="A151" s="0" t="str">
        <f aca="false">IF('K5. Témoignages &amp; Incidents'!C162="","",'K5. Témoignages &amp; Incidents'!C162)</f>
        <v/>
      </c>
      <c r="B151" s="173" t="str">
        <f aca="false">IF('K5. Témoignages &amp; Incidents'!C162="","",'K5. Témoignages &amp; Incidents'!D162)</f>
        <v/>
      </c>
      <c r="C151" s="0" t="str">
        <f aca="false">IF('K5. Témoignages &amp; Incidents'!C162="","",'K5. Témoignages &amp; Incidents'!E162)</f>
        <v/>
      </c>
      <c r="D151" s="0" t="str">
        <f aca="false">IF('K5. Témoignages &amp; Incidents'!C162="","",'K5. Témoignages &amp; Incidents'!F162)</f>
        <v/>
      </c>
      <c r="E151" s="0" t="str">
        <f aca="false">IF('K5. Témoignages &amp; Incidents'!C162="","",'K5. Témoignages &amp; Incidents'!G162)</f>
        <v/>
      </c>
      <c r="F151" s="0" t="str">
        <f aca="false">IF('K5. Témoignages &amp; Incidents'!C162="","",'K5. Témoignages &amp; Incidents'!H162)</f>
        <v/>
      </c>
      <c r="G151" s="0" t="str">
        <f aca="false">IF('K5. Témoignages &amp; Incidents'!C162="","",'K5. Témoignages &amp; Incidents'!I162)</f>
        <v/>
      </c>
      <c r="H151" s="0" t="str">
        <f aca="false">IF('K5. Témoignages &amp; Incidents'!C162="","",'K5. Témoignages &amp; Incidents'!J162)</f>
        <v/>
      </c>
      <c r="I151" s="0" t="str">
        <f aca="false">IF('K5. Témoignages &amp; Incidents'!C162="","",'K5. Témoignages &amp; Incidents'!K162)</f>
        <v/>
      </c>
      <c r="J151" s="0" t="str">
        <f aca="false">IF('K5. Témoignages &amp; Incidents'!C162="","",'K5. Témoignages &amp; Incidents'!L162)</f>
        <v/>
      </c>
      <c r="K151" s="0" t="str">
        <f aca="false">IF('K5. Témoignages &amp; Incidents'!C162="","",'K5. Témoignages &amp; Incidents'!M162)</f>
        <v/>
      </c>
    </row>
    <row r="152" customFormat="false" ht="15" hidden="false" customHeight="false" outlineLevel="0" collapsed="false">
      <c r="A152" s="0" t="str">
        <f aca="false">IF('K5. Témoignages &amp; Incidents'!C163="","",'K5. Témoignages &amp; Incidents'!C163)</f>
        <v/>
      </c>
      <c r="B152" s="173" t="str">
        <f aca="false">IF('K5. Témoignages &amp; Incidents'!C163="","",'K5. Témoignages &amp; Incidents'!D163)</f>
        <v/>
      </c>
      <c r="C152" s="0" t="str">
        <f aca="false">IF('K5. Témoignages &amp; Incidents'!C163="","",'K5. Témoignages &amp; Incidents'!E163)</f>
        <v/>
      </c>
      <c r="D152" s="0" t="str">
        <f aca="false">IF('K5. Témoignages &amp; Incidents'!C163="","",'K5. Témoignages &amp; Incidents'!F163)</f>
        <v/>
      </c>
      <c r="E152" s="0" t="str">
        <f aca="false">IF('K5. Témoignages &amp; Incidents'!C163="","",'K5. Témoignages &amp; Incidents'!G163)</f>
        <v/>
      </c>
      <c r="F152" s="0" t="str">
        <f aca="false">IF('K5. Témoignages &amp; Incidents'!C163="","",'K5. Témoignages &amp; Incidents'!H163)</f>
        <v/>
      </c>
      <c r="G152" s="0" t="str">
        <f aca="false">IF('K5. Témoignages &amp; Incidents'!C163="","",'K5. Témoignages &amp; Incidents'!I163)</f>
        <v/>
      </c>
      <c r="H152" s="0" t="str">
        <f aca="false">IF('K5. Témoignages &amp; Incidents'!C163="","",'K5. Témoignages &amp; Incidents'!J163)</f>
        <v/>
      </c>
      <c r="I152" s="0" t="str">
        <f aca="false">IF('K5. Témoignages &amp; Incidents'!C163="","",'K5. Témoignages &amp; Incidents'!K163)</f>
        <v/>
      </c>
      <c r="J152" s="0" t="str">
        <f aca="false">IF('K5. Témoignages &amp; Incidents'!C163="","",'K5. Témoignages &amp; Incidents'!L163)</f>
        <v/>
      </c>
      <c r="K152" s="0" t="str">
        <f aca="false">IF('K5. Témoignages &amp; Incidents'!C163="","",'K5. Témoignages &amp; Incidents'!M163)</f>
        <v/>
      </c>
    </row>
    <row r="153" customFormat="false" ht="15" hidden="false" customHeight="false" outlineLevel="0" collapsed="false">
      <c r="A153" s="0" t="str">
        <f aca="false">IF('K5. Témoignages &amp; Incidents'!C164="","",'K5. Témoignages &amp; Incidents'!C164)</f>
        <v/>
      </c>
      <c r="B153" s="173" t="str">
        <f aca="false">IF('K5. Témoignages &amp; Incidents'!C164="","",'K5. Témoignages &amp; Incidents'!D164)</f>
        <v/>
      </c>
      <c r="C153" s="0" t="str">
        <f aca="false">IF('K5. Témoignages &amp; Incidents'!C164="","",'K5. Témoignages &amp; Incidents'!E164)</f>
        <v/>
      </c>
      <c r="D153" s="0" t="str">
        <f aca="false">IF('K5. Témoignages &amp; Incidents'!C164="","",'K5. Témoignages &amp; Incidents'!F164)</f>
        <v/>
      </c>
      <c r="E153" s="0" t="str">
        <f aca="false">IF('K5. Témoignages &amp; Incidents'!C164="","",'K5. Témoignages &amp; Incidents'!G164)</f>
        <v/>
      </c>
      <c r="F153" s="0" t="str">
        <f aca="false">IF('K5. Témoignages &amp; Incidents'!C164="","",'K5. Témoignages &amp; Incidents'!H164)</f>
        <v/>
      </c>
      <c r="G153" s="0" t="str">
        <f aca="false">IF('K5. Témoignages &amp; Incidents'!C164="","",'K5. Témoignages &amp; Incidents'!I164)</f>
        <v/>
      </c>
      <c r="H153" s="0" t="str">
        <f aca="false">IF('K5. Témoignages &amp; Incidents'!C164="","",'K5. Témoignages &amp; Incidents'!J164)</f>
        <v/>
      </c>
      <c r="I153" s="0" t="str">
        <f aca="false">IF('K5. Témoignages &amp; Incidents'!C164="","",'K5. Témoignages &amp; Incidents'!K164)</f>
        <v/>
      </c>
      <c r="J153" s="0" t="str">
        <f aca="false">IF('K5. Témoignages &amp; Incidents'!C164="","",'K5. Témoignages &amp; Incidents'!L164)</f>
        <v/>
      </c>
      <c r="K153" s="0" t="str">
        <f aca="false">IF('K5. Témoignages &amp; Incidents'!C164="","",'K5. Témoignages &amp; Incidents'!M164)</f>
        <v/>
      </c>
    </row>
    <row r="154" customFormat="false" ht="15" hidden="false" customHeight="false" outlineLevel="0" collapsed="false">
      <c r="A154" s="0" t="str">
        <f aca="false">IF('K5. Témoignages &amp; Incidents'!C165="","",'K5. Témoignages &amp; Incidents'!C165)</f>
        <v/>
      </c>
      <c r="B154" s="173" t="str">
        <f aca="false">IF('K5. Témoignages &amp; Incidents'!C165="","",'K5. Témoignages &amp; Incidents'!D165)</f>
        <v/>
      </c>
      <c r="C154" s="0" t="str">
        <f aca="false">IF('K5. Témoignages &amp; Incidents'!C165="","",'K5. Témoignages &amp; Incidents'!E165)</f>
        <v/>
      </c>
      <c r="D154" s="0" t="str">
        <f aca="false">IF('K5. Témoignages &amp; Incidents'!C165="","",'K5. Témoignages &amp; Incidents'!F165)</f>
        <v/>
      </c>
      <c r="E154" s="0" t="str">
        <f aca="false">IF('K5. Témoignages &amp; Incidents'!C165="","",'K5. Témoignages &amp; Incidents'!G165)</f>
        <v/>
      </c>
      <c r="F154" s="0" t="str">
        <f aca="false">IF('K5. Témoignages &amp; Incidents'!C165="","",'K5. Témoignages &amp; Incidents'!H165)</f>
        <v/>
      </c>
      <c r="G154" s="0" t="str">
        <f aca="false">IF('K5. Témoignages &amp; Incidents'!C165="","",'K5. Témoignages &amp; Incidents'!I165)</f>
        <v/>
      </c>
      <c r="H154" s="0" t="str">
        <f aca="false">IF('K5. Témoignages &amp; Incidents'!C165="","",'K5. Témoignages &amp; Incidents'!J165)</f>
        <v/>
      </c>
      <c r="I154" s="0" t="str">
        <f aca="false">IF('K5. Témoignages &amp; Incidents'!C165="","",'K5. Témoignages &amp; Incidents'!K165)</f>
        <v/>
      </c>
      <c r="J154" s="0" t="str">
        <f aca="false">IF('K5. Témoignages &amp; Incidents'!C165="","",'K5. Témoignages &amp; Incidents'!L165)</f>
        <v/>
      </c>
      <c r="K154" s="0" t="str">
        <f aca="false">IF('K5. Témoignages &amp; Incidents'!C165="","",'K5. Témoignages &amp; Incidents'!M165)</f>
        <v/>
      </c>
    </row>
    <row r="155" customFormat="false" ht="15" hidden="false" customHeight="false" outlineLevel="0" collapsed="false">
      <c r="A155" s="0" t="str">
        <f aca="false">IF('K5. Témoignages &amp; Incidents'!C166="","",'K5. Témoignages &amp; Incidents'!C166)</f>
        <v/>
      </c>
      <c r="B155" s="173" t="str">
        <f aca="false">IF('K5. Témoignages &amp; Incidents'!C166="","",'K5. Témoignages &amp; Incidents'!D166)</f>
        <v/>
      </c>
      <c r="C155" s="0" t="str">
        <f aca="false">IF('K5. Témoignages &amp; Incidents'!C166="","",'K5. Témoignages &amp; Incidents'!E166)</f>
        <v/>
      </c>
      <c r="D155" s="0" t="str">
        <f aca="false">IF('K5. Témoignages &amp; Incidents'!C166="","",'K5. Témoignages &amp; Incidents'!F166)</f>
        <v/>
      </c>
      <c r="E155" s="0" t="str">
        <f aca="false">IF('K5. Témoignages &amp; Incidents'!C166="","",'K5. Témoignages &amp; Incidents'!G166)</f>
        <v/>
      </c>
      <c r="F155" s="0" t="str">
        <f aca="false">IF('K5. Témoignages &amp; Incidents'!C166="","",'K5. Témoignages &amp; Incidents'!H166)</f>
        <v/>
      </c>
      <c r="G155" s="0" t="str">
        <f aca="false">IF('K5. Témoignages &amp; Incidents'!C166="","",'K5. Témoignages &amp; Incidents'!I166)</f>
        <v/>
      </c>
      <c r="H155" s="0" t="str">
        <f aca="false">IF('K5. Témoignages &amp; Incidents'!C166="","",'K5. Témoignages &amp; Incidents'!J166)</f>
        <v/>
      </c>
      <c r="I155" s="0" t="str">
        <f aca="false">IF('K5. Témoignages &amp; Incidents'!C166="","",'K5. Témoignages &amp; Incidents'!K166)</f>
        <v/>
      </c>
      <c r="J155" s="0" t="str">
        <f aca="false">IF('K5. Témoignages &amp; Incidents'!C166="","",'K5. Témoignages &amp; Incidents'!L166)</f>
        <v/>
      </c>
      <c r="K155" s="0" t="str">
        <f aca="false">IF('K5. Témoignages &amp; Incidents'!C166="","",'K5. Témoignages &amp; Incidents'!M166)</f>
        <v/>
      </c>
    </row>
    <row r="156" customFormat="false" ht="15" hidden="false" customHeight="false" outlineLevel="0" collapsed="false">
      <c r="A156" s="0" t="str">
        <f aca="false">IF('K5. Témoignages &amp; Incidents'!C167="","",'K5. Témoignages &amp; Incidents'!C167)</f>
        <v/>
      </c>
      <c r="B156" s="173" t="str">
        <f aca="false">IF('K5. Témoignages &amp; Incidents'!C167="","",'K5. Témoignages &amp; Incidents'!D167)</f>
        <v/>
      </c>
      <c r="C156" s="0" t="str">
        <f aca="false">IF('K5. Témoignages &amp; Incidents'!C167="","",'K5. Témoignages &amp; Incidents'!E167)</f>
        <v/>
      </c>
      <c r="D156" s="0" t="str">
        <f aca="false">IF('K5. Témoignages &amp; Incidents'!C167="","",'K5. Témoignages &amp; Incidents'!F167)</f>
        <v/>
      </c>
      <c r="E156" s="0" t="str">
        <f aca="false">IF('K5. Témoignages &amp; Incidents'!C167="","",'K5. Témoignages &amp; Incidents'!G167)</f>
        <v/>
      </c>
      <c r="F156" s="0" t="str">
        <f aca="false">IF('K5. Témoignages &amp; Incidents'!C167="","",'K5. Témoignages &amp; Incidents'!H167)</f>
        <v/>
      </c>
      <c r="G156" s="0" t="str">
        <f aca="false">IF('K5. Témoignages &amp; Incidents'!C167="","",'K5. Témoignages &amp; Incidents'!I167)</f>
        <v/>
      </c>
      <c r="H156" s="0" t="str">
        <f aca="false">IF('K5. Témoignages &amp; Incidents'!C167="","",'K5. Témoignages &amp; Incidents'!J167)</f>
        <v/>
      </c>
      <c r="I156" s="0" t="str">
        <f aca="false">IF('K5. Témoignages &amp; Incidents'!C167="","",'K5. Témoignages &amp; Incidents'!K167)</f>
        <v/>
      </c>
      <c r="J156" s="0" t="str">
        <f aca="false">IF('K5. Témoignages &amp; Incidents'!C167="","",'K5. Témoignages &amp; Incidents'!L167)</f>
        <v/>
      </c>
      <c r="K156" s="0" t="str">
        <f aca="false">IF('K5. Témoignages &amp; Incidents'!C167="","",'K5. Témoignages &amp; Incidents'!M167)</f>
        <v/>
      </c>
    </row>
    <row r="157" customFormat="false" ht="15" hidden="false" customHeight="false" outlineLevel="0" collapsed="false">
      <c r="A157" s="0" t="str">
        <f aca="false">IF('K5. Témoignages &amp; Incidents'!C168="","",'K5. Témoignages &amp; Incidents'!C168)</f>
        <v/>
      </c>
      <c r="B157" s="173" t="str">
        <f aca="false">IF('K5. Témoignages &amp; Incidents'!C168="","",'K5. Témoignages &amp; Incidents'!D168)</f>
        <v/>
      </c>
      <c r="C157" s="0" t="str">
        <f aca="false">IF('K5. Témoignages &amp; Incidents'!C168="","",'K5. Témoignages &amp; Incidents'!E168)</f>
        <v/>
      </c>
      <c r="D157" s="0" t="str">
        <f aca="false">IF('K5. Témoignages &amp; Incidents'!C168="","",'K5. Témoignages &amp; Incidents'!F168)</f>
        <v/>
      </c>
      <c r="E157" s="0" t="str">
        <f aca="false">IF('K5. Témoignages &amp; Incidents'!C168="","",'K5. Témoignages &amp; Incidents'!G168)</f>
        <v/>
      </c>
      <c r="F157" s="0" t="str">
        <f aca="false">IF('K5. Témoignages &amp; Incidents'!C168="","",'K5. Témoignages &amp; Incidents'!H168)</f>
        <v/>
      </c>
      <c r="G157" s="0" t="str">
        <f aca="false">IF('K5. Témoignages &amp; Incidents'!C168="","",'K5. Témoignages &amp; Incidents'!I168)</f>
        <v/>
      </c>
      <c r="H157" s="0" t="str">
        <f aca="false">IF('K5. Témoignages &amp; Incidents'!C168="","",'K5. Témoignages &amp; Incidents'!J168)</f>
        <v/>
      </c>
      <c r="I157" s="0" t="str">
        <f aca="false">IF('K5. Témoignages &amp; Incidents'!C168="","",'K5. Témoignages &amp; Incidents'!K168)</f>
        <v/>
      </c>
      <c r="J157" s="0" t="str">
        <f aca="false">IF('K5. Témoignages &amp; Incidents'!C168="","",'K5. Témoignages &amp; Incidents'!L168)</f>
        <v/>
      </c>
      <c r="K157" s="0" t="str">
        <f aca="false">IF('K5. Témoignages &amp; Incidents'!C168="","",'K5. Témoignages &amp; Incidents'!M168)</f>
        <v/>
      </c>
    </row>
    <row r="158" customFormat="false" ht="15" hidden="false" customHeight="false" outlineLevel="0" collapsed="false">
      <c r="A158" s="0" t="str">
        <f aca="false">IF('K5. Témoignages &amp; Incidents'!C169="","",'K5. Témoignages &amp; Incidents'!C169)</f>
        <v/>
      </c>
      <c r="B158" s="173" t="str">
        <f aca="false">IF('K5. Témoignages &amp; Incidents'!C169="","",'K5. Témoignages &amp; Incidents'!D169)</f>
        <v/>
      </c>
      <c r="C158" s="0" t="str">
        <f aca="false">IF('K5. Témoignages &amp; Incidents'!C169="","",'K5. Témoignages &amp; Incidents'!E169)</f>
        <v/>
      </c>
      <c r="D158" s="0" t="str">
        <f aca="false">IF('K5. Témoignages &amp; Incidents'!C169="","",'K5. Témoignages &amp; Incidents'!F169)</f>
        <v/>
      </c>
      <c r="E158" s="0" t="str">
        <f aca="false">IF('K5. Témoignages &amp; Incidents'!C169="","",'K5. Témoignages &amp; Incidents'!G169)</f>
        <v/>
      </c>
      <c r="F158" s="0" t="str">
        <f aca="false">IF('K5. Témoignages &amp; Incidents'!C169="","",'K5. Témoignages &amp; Incidents'!H169)</f>
        <v/>
      </c>
      <c r="G158" s="0" t="str">
        <f aca="false">IF('K5. Témoignages &amp; Incidents'!C169="","",'K5. Témoignages &amp; Incidents'!I169)</f>
        <v/>
      </c>
      <c r="H158" s="0" t="str">
        <f aca="false">IF('K5. Témoignages &amp; Incidents'!C169="","",'K5. Témoignages &amp; Incidents'!J169)</f>
        <v/>
      </c>
      <c r="I158" s="0" t="str">
        <f aca="false">IF('K5. Témoignages &amp; Incidents'!C169="","",'K5. Témoignages &amp; Incidents'!K169)</f>
        <v/>
      </c>
      <c r="J158" s="0" t="str">
        <f aca="false">IF('K5. Témoignages &amp; Incidents'!C169="","",'K5. Témoignages &amp; Incidents'!L169)</f>
        <v/>
      </c>
      <c r="K158" s="0" t="str">
        <f aca="false">IF('K5. Témoignages &amp; Incidents'!C169="","",'K5. Témoignages &amp; Incidents'!M169)</f>
        <v/>
      </c>
    </row>
    <row r="159" customFormat="false" ht="15" hidden="false" customHeight="false" outlineLevel="0" collapsed="false">
      <c r="A159" s="0" t="str">
        <f aca="false">IF('K5. Témoignages &amp; Incidents'!C170="","",'K5. Témoignages &amp; Incidents'!C170)</f>
        <v/>
      </c>
      <c r="B159" s="173" t="str">
        <f aca="false">IF('K5. Témoignages &amp; Incidents'!C170="","",'K5. Témoignages &amp; Incidents'!D170)</f>
        <v/>
      </c>
      <c r="C159" s="0" t="str">
        <f aca="false">IF('K5. Témoignages &amp; Incidents'!C170="","",'K5. Témoignages &amp; Incidents'!E170)</f>
        <v/>
      </c>
      <c r="D159" s="0" t="str">
        <f aca="false">IF('K5. Témoignages &amp; Incidents'!C170="","",'K5. Témoignages &amp; Incidents'!F170)</f>
        <v/>
      </c>
      <c r="E159" s="0" t="str">
        <f aca="false">IF('K5. Témoignages &amp; Incidents'!C170="","",'K5. Témoignages &amp; Incidents'!G170)</f>
        <v/>
      </c>
      <c r="F159" s="0" t="str">
        <f aca="false">IF('K5. Témoignages &amp; Incidents'!C170="","",'K5. Témoignages &amp; Incidents'!H170)</f>
        <v/>
      </c>
      <c r="G159" s="0" t="str">
        <f aca="false">IF('K5. Témoignages &amp; Incidents'!C170="","",'K5. Témoignages &amp; Incidents'!I170)</f>
        <v/>
      </c>
      <c r="H159" s="0" t="str">
        <f aca="false">IF('K5. Témoignages &amp; Incidents'!C170="","",'K5. Témoignages &amp; Incidents'!J170)</f>
        <v/>
      </c>
      <c r="I159" s="0" t="str">
        <f aca="false">IF('K5. Témoignages &amp; Incidents'!C170="","",'K5. Témoignages &amp; Incidents'!K170)</f>
        <v/>
      </c>
      <c r="J159" s="0" t="str">
        <f aca="false">IF('K5. Témoignages &amp; Incidents'!C170="","",'K5. Témoignages &amp; Incidents'!L170)</f>
        <v/>
      </c>
      <c r="K159" s="0" t="str">
        <f aca="false">IF('K5. Témoignages &amp; Incidents'!C170="","",'K5. Témoignages &amp; Incidents'!M170)</f>
        <v/>
      </c>
    </row>
    <row r="160" customFormat="false" ht="15" hidden="false" customHeight="false" outlineLevel="0" collapsed="false">
      <c r="A160" s="0" t="str">
        <f aca="false">IF('K5. Témoignages &amp; Incidents'!C171="","",'K5. Témoignages &amp; Incidents'!C171)</f>
        <v/>
      </c>
      <c r="B160" s="173" t="str">
        <f aca="false">IF('K5. Témoignages &amp; Incidents'!C171="","",'K5. Témoignages &amp; Incidents'!D171)</f>
        <v/>
      </c>
      <c r="C160" s="0" t="str">
        <f aca="false">IF('K5. Témoignages &amp; Incidents'!C171="","",'K5. Témoignages &amp; Incidents'!E171)</f>
        <v/>
      </c>
      <c r="D160" s="0" t="str">
        <f aca="false">IF('K5. Témoignages &amp; Incidents'!C171="","",'K5. Témoignages &amp; Incidents'!F171)</f>
        <v/>
      </c>
      <c r="E160" s="0" t="str">
        <f aca="false">IF('K5. Témoignages &amp; Incidents'!C171="","",'K5. Témoignages &amp; Incidents'!G171)</f>
        <v/>
      </c>
      <c r="F160" s="0" t="str">
        <f aca="false">IF('K5. Témoignages &amp; Incidents'!C171="","",'K5. Témoignages &amp; Incidents'!H171)</f>
        <v/>
      </c>
      <c r="G160" s="0" t="str">
        <f aca="false">IF('K5. Témoignages &amp; Incidents'!C171="","",'K5. Témoignages &amp; Incidents'!I171)</f>
        <v/>
      </c>
      <c r="H160" s="0" t="str">
        <f aca="false">IF('K5. Témoignages &amp; Incidents'!C171="","",'K5. Témoignages &amp; Incidents'!J171)</f>
        <v/>
      </c>
      <c r="I160" s="0" t="str">
        <f aca="false">IF('K5. Témoignages &amp; Incidents'!C171="","",'K5. Témoignages &amp; Incidents'!K171)</f>
        <v/>
      </c>
      <c r="J160" s="0" t="str">
        <f aca="false">IF('K5. Témoignages &amp; Incidents'!C171="","",'K5. Témoignages &amp; Incidents'!L171)</f>
        <v/>
      </c>
      <c r="K160" s="0" t="str">
        <f aca="false">IF('K5. Témoignages &amp; Incidents'!C171="","",'K5. Témoignages &amp; Incidents'!M171)</f>
        <v/>
      </c>
    </row>
    <row r="161" customFormat="false" ht="15" hidden="false" customHeight="false" outlineLevel="0" collapsed="false">
      <c r="A161" s="0" t="str">
        <f aca="false">IF('K5. Témoignages &amp; Incidents'!C172="","",'K5. Témoignages &amp; Incidents'!C172)</f>
        <v/>
      </c>
      <c r="B161" s="173" t="str">
        <f aca="false">IF('K5. Témoignages &amp; Incidents'!C172="","",'K5. Témoignages &amp; Incidents'!D172)</f>
        <v/>
      </c>
      <c r="C161" s="0" t="str">
        <f aca="false">IF('K5. Témoignages &amp; Incidents'!C172="","",'K5. Témoignages &amp; Incidents'!E172)</f>
        <v/>
      </c>
      <c r="D161" s="0" t="str">
        <f aca="false">IF('K5. Témoignages &amp; Incidents'!C172="","",'K5. Témoignages &amp; Incidents'!F172)</f>
        <v/>
      </c>
      <c r="E161" s="0" t="str">
        <f aca="false">IF('K5. Témoignages &amp; Incidents'!C172="","",'K5. Témoignages &amp; Incidents'!G172)</f>
        <v/>
      </c>
      <c r="F161" s="0" t="str">
        <f aca="false">IF('K5. Témoignages &amp; Incidents'!C172="","",'K5. Témoignages &amp; Incidents'!H172)</f>
        <v/>
      </c>
      <c r="G161" s="0" t="str">
        <f aca="false">IF('K5. Témoignages &amp; Incidents'!C172="","",'K5. Témoignages &amp; Incidents'!I172)</f>
        <v/>
      </c>
      <c r="H161" s="0" t="str">
        <f aca="false">IF('K5. Témoignages &amp; Incidents'!C172="","",'K5. Témoignages &amp; Incidents'!J172)</f>
        <v/>
      </c>
      <c r="I161" s="0" t="str">
        <f aca="false">IF('K5. Témoignages &amp; Incidents'!C172="","",'K5. Témoignages &amp; Incidents'!K172)</f>
        <v/>
      </c>
      <c r="J161" s="0" t="str">
        <f aca="false">IF('K5. Témoignages &amp; Incidents'!C172="","",'K5. Témoignages &amp; Incidents'!L172)</f>
        <v/>
      </c>
      <c r="K161" s="0" t="str">
        <f aca="false">IF('K5. Témoignages &amp; Incidents'!C172="","",'K5. Témoignages &amp; Incidents'!M172)</f>
        <v/>
      </c>
    </row>
    <row r="162" customFormat="false" ht="15" hidden="false" customHeight="false" outlineLevel="0" collapsed="false">
      <c r="A162" s="0" t="str">
        <f aca="false">IF('K5. Témoignages &amp; Incidents'!C173="","",'K5. Témoignages &amp; Incidents'!C173)</f>
        <v/>
      </c>
      <c r="B162" s="173" t="str">
        <f aca="false">IF('K5. Témoignages &amp; Incidents'!C173="","",'K5. Témoignages &amp; Incidents'!D173)</f>
        <v/>
      </c>
      <c r="C162" s="0" t="str">
        <f aca="false">IF('K5. Témoignages &amp; Incidents'!C173="","",'K5. Témoignages &amp; Incidents'!E173)</f>
        <v/>
      </c>
      <c r="D162" s="0" t="str">
        <f aca="false">IF('K5. Témoignages &amp; Incidents'!C173="","",'K5. Témoignages &amp; Incidents'!F173)</f>
        <v/>
      </c>
      <c r="E162" s="0" t="str">
        <f aca="false">IF('K5. Témoignages &amp; Incidents'!C173="","",'K5. Témoignages &amp; Incidents'!G173)</f>
        <v/>
      </c>
      <c r="F162" s="0" t="str">
        <f aca="false">IF('K5. Témoignages &amp; Incidents'!C173="","",'K5. Témoignages &amp; Incidents'!H173)</f>
        <v/>
      </c>
      <c r="G162" s="0" t="str">
        <f aca="false">IF('K5. Témoignages &amp; Incidents'!C173="","",'K5. Témoignages &amp; Incidents'!I173)</f>
        <v/>
      </c>
      <c r="H162" s="0" t="str">
        <f aca="false">IF('K5. Témoignages &amp; Incidents'!C173="","",'K5. Témoignages &amp; Incidents'!J173)</f>
        <v/>
      </c>
      <c r="I162" s="0" t="str">
        <f aca="false">IF('K5. Témoignages &amp; Incidents'!C173="","",'K5. Témoignages &amp; Incidents'!K173)</f>
        <v/>
      </c>
      <c r="J162" s="0" t="str">
        <f aca="false">IF('K5. Témoignages &amp; Incidents'!C173="","",'K5. Témoignages &amp; Incidents'!L173)</f>
        <v/>
      </c>
      <c r="K162" s="0" t="str">
        <f aca="false">IF('K5. Témoignages &amp; Incidents'!C173="","",'K5. Témoignages &amp; Incidents'!M173)</f>
        <v/>
      </c>
    </row>
    <row r="163" customFormat="false" ht="15" hidden="false" customHeight="false" outlineLevel="0" collapsed="false">
      <c r="A163" s="0" t="str">
        <f aca="false">IF('K5. Témoignages &amp; Incidents'!C174="","",'K5. Témoignages &amp; Incidents'!C174)</f>
        <v/>
      </c>
      <c r="B163" s="173" t="str">
        <f aca="false">IF('K5. Témoignages &amp; Incidents'!C174="","",'K5. Témoignages &amp; Incidents'!D174)</f>
        <v/>
      </c>
      <c r="C163" s="0" t="str">
        <f aca="false">IF('K5. Témoignages &amp; Incidents'!C174="","",'K5. Témoignages &amp; Incidents'!E174)</f>
        <v/>
      </c>
      <c r="D163" s="0" t="str">
        <f aca="false">IF('K5. Témoignages &amp; Incidents'!C174="","",'K5. Témoignages &amp; Incidents'!F174)</f>
        <v/>
      </c>
      <c r="E163" s="0" t="str">
        <f aca="false">IF('K5. Témoignages &amp; Incidents'!C174="","",'K5. Témoignages &amp; Incidents'!G174)</f>
        <v/>
      </c>
      <c r="F163" s="0" t="str">
        <f aca="false">IF('K5. Témoignages &amp; Incidents'!C174="","",'K5. Témoignages &amp; Incidents'!H174)</f>
        <v/>
      </c>
      <c r="G163" s="0" t="str">
        <f aca="false">IF('K5. Témoignages &amp; Incidents'!C174="","",'K5. Témoignages &amp; Incidents'!I174)</f>
        <v/>
      </c>
      <c r="H163" s="0" t="str">
        <f aca="false">IF('K5. Témoignages &amp; Incidents'!C174="","",'K5. Témoignages &amp; Incidents'!J174)</f>
        <v/>
      </c>
      <c r="I163" s="0" t="str">
        <f aca="false">IF('K5. Témoignages &amp; Incidents'!C174="","",'K5. Témoignages &amp; Incidents'!K174)</f>
        <v/>
      </c>
      <c r="J163" s="0" t="str">
        <f aca="false">IF('K5. Témoignages &amp; Incidents'!C174="","",'K5. Témoignages &amp; Incidents'!L174)</f>
        <v/>
      </c>
      <c r="K163" s="0" t="str">
        <f aca="false">IF('K5. Témoignages &amp; Incidents'!C174="","",'K5. Témoignages &amp; Incidents'!M174)</f>
        <v/>
      </c>
    </row>
    <row r="164" customFormat="false" ht="15" hidden="false" customHeight="false" outlineLevel="0" collapsed="false">
      <c r="A164" s="0" t="str">
        <f aca="false">IF('K5. Témoignages &amp; Incidents'!C175="","",'K5. Témoignages &amp; Incidents'!C175)</f>
        <v/>
      </c>
      <c r="B164" s="173" t="str">
        <f aca="false">IF('K5. Témoignages &amp; Incidents'!C175="","",'K5. Témoignages &amp; Incidents'!D175)</f>
        <v/>
      </c>
      <c r="C164" s="0" t="str">
        <f aca="false">IF('K5. Témoignages &amp; Incidents'!C175="","",'K5. Témoignages &amp; Incidents'!E175)</f>
        <v/>
      </c>
      <c r="D164" s="0" t="str">
        <f aca="false">IF('K5. Témoignages &amp; Incidents'!C175="","",'K5. Témoignages &amp; Incidents'!F175)</f>
        <v/>
      </c>
      <c r="E164" s="0" t="str">
        <f aca="false">IF('K5. Témoignages &amp; Incidents'!C175="","",'K5. Témoignages &amp; Incidents'!G175)</f>
        <v/>
      </c>
      <c r="F164" s="0" t="str">
        <f aca="false">IF('K5. Témoignages &amp; Incidents'!C175="","",'K5. Témoignages &amp; Incidents'!H175)</f>
        <v/>
      </c>
      <c r="G164" s="0" t="str">
        <f aca="false">IF('K5. Témoignages &amp; Incidents'!C175="","",'K5. Témoignages &amp; Incidents'!I175)</f>
        <v/>
      </c>
      <c r="H164" s="0" t="str">
        <f aca="false">IF('K5. Témoignages &amp; Incidents'!C175="","",'K5. Témoignages &amp; Incidents'!J175)</f>
        <v/>
      </c>
      <c r="I164" s="0" t="str">
        <f aca="false">IF('K5. Témoignages &amp; Incidents'!C175="","",'K5. Témoignages &amp; Incidents'!K175)</f>
        <v/>
      </c>
      <c r="J164" s="0" t="str">
        <f aca="false">IF('K5. Témoignages &amp; Incidents'!C175="","",'K5. Témoignages &amp; Incidents'!L175)</f>
        <v/>
      </c>
      <c r="K164" s="0" t="str">
        <f aca="false">IF('K5. Témoignages &amp; Incidents'!C175="","",'K5. Témoignages &amp; Incidents'!M175)</f>
        <v/>
      </c>
    </row>
    <row r="165" customFormat="false" ht="15" hidden="false" customHeight="false" outlineLevel="0" collapsed="false">
      <c r="A165" s="0" t="str">
        <f aca="false">IF('K5. Témoignages &amp; Incidents'!C176="","",'K5. Témoignages &amp; Incidents'!C176)</f>
        <v/>
      </c>
      <c r="B165" s="173" t="str">
        <f aca="false">IF('K5. Témoignages &amp; Incidents'!C176="","",'K5. Témoignages &amp; Incidents'!D176)</f>
        <v/>
      </c>
      <c r="C165" s="0" t="str">
        <f aca="false">IF('K5. Témoignages &amp; Incidents'!C176="","",'K5. Témoignages &amp; Incidents'!E176)</f>
        <v/>
      </c>
      <c r="D165" s="0" t="str">
        <f aca="false">IF('K5. Témoignages &amp; Incidents'!C176="","",'K5. Témoignages &amp; Incidents'!F176)</f>
        <v/>
      </c>
      <c r="E165" s="0" t="str">
        <f aca="false">IF('K5. Témoignages &amp; Incidents'!C176="","",'K5. Témoignages &amp; Incidents'!G176)</f>
        <v/>
      </c>
      <c r="F165" s="0" t="str">
        <f aca="false">IF('K5. Témoignages &amp; Incidents'!C176="","",'K5. Témoignages &amp; Incidents'!H176)</f>
        <v/>
      </c>
      <c r="G165" s="0" t="str">
        <f aca="false">IF('K5. Témoignages &amp; Incidents'!C176="","",'K5. Témoignages &amp; Incidents'!I176)</f>
        <v/>
      </c>
      <c r="H165" s="0" t="str">
        <f aca="false">IF('K5. Témoignages &amp; Incidents'!C176="","",'K5. Témoignages &amp; Incidents'!J176)</f>
        <v/>
      </c>
      <c r="I165" s="0" t="str">
        <f aca="false">IF('K5. Témoignages &amp; Incidents'!C176="","",'K5. Témoignages &amp; Incidents'!K176)</f>
        <v/>
      </c>
      <c r="J165" s="0" t="str">
        <f aca="false">IF('K5. Témoignages &amp; Incidents'!C176="","",'K5. Témoignages &amp; Incidents'!L176)</f>
        <v/>
      </c>
      <c r="K165" s="0" t="str">
        <f aca="false">IF('K5. Témoignages &amp; Incidents'!C176="","",'K5. Témoignages &amp; Incidents'!M176)</f>
        <v/>
      </c>
    </row>
    <row r="166" customFormat="false" ht="15" hidden="false" customHeight="false" outlineLevel="0" collapsed="false">
      <c r="A166" s="0" t="str">
        <f aca="false">IF('K5. Témoignages &amp; Incidents'!C177="","",'K5. Témoignages &amp; Incidents'!C177)</f>
        <v/>
      </c>
      <c r="B166" s="173" t="str">
        <f aca="false">IF('K5. Témoignages &amp; Incidents'!C177="","",'K5. Témoignages &amp; Incidents'!D177)</f>
        <v/>
      </c>
      <c r="C166" s="0" t="str">
        <f aca="false">IF('K5. Témoignages &amp; Incidents'!C177="","",'K5. Témoignages &amp; Incidents'!E177)</f>
        <v/>
      </c>
      <c r="D166" s="0" t="str">
        <f aca="false">IF('K5. Témoignages &amp; Incidents'!C177="","",'K5. Témoignages &amp; Incidents'!F177)</f>
        <v/>
      </c>
      <c r="E166" s="0" t="str">
        <f aca="false">IF('K5. Témoignages &amp; Incidents'!C177="","",'K5. Témoignages &amp; Incidents'!G177)</f>
        <v/>
      </c>
      <c r="F166" s="0" t="str">
        <f aca="false">IF('K5. Témoignages &amp; Incidents'!C177="","",'K5. Témoignages &amp; Incidents'!H177)</f>
        <v/>
      </c>
      <c r="G166" s="0" t="str">
        <f aca="false">IF('K5. Témoignages &amp; Incidents'!C177="","",'K5. Témoignages &amp; Incidents'!I177)</f>
        <v/>
      </c>
      <c r="H166" s="0" t="str">
        <f aca="false">IF('K5. Témoignages &amp; Incidents'!C177="","",'K5. Témoignages &amp; Incidents'!J177)</f>
        <v/>
      </c>
      <c r="I166" s="0" t="str">
        <f aca="false">IF('K5. Témoignages &amp; Incidents'!C177="","",'K5. Témoignages &amp; Incidents'!K177)</f>
        <v/>
      </c>
      <c r="J166" s="0" t="str">
        <f aca="false">IF('K5. Témoignages &amp; Incidents'!C177="","",'K5. Témoignages &amp; Incidents'!L177)</f>
        <v/>
      </c>
      <c r="K166" s="0" t="str">
        <f aca="false">IF('K5. Témoignages &amp; Incidents'!C177="","",'K5. Témoignages &amp; Incidents'!M177)</f>
        <v/>
      </c>
    </row>
    <row r="167" customFormat="false" ht="15" hidden="false" customHeight="false" outlineLevel="0" collapsed="false">
      <c r="A167" s="0" t="str">
        <f aca="false">IF('K5. Témoignages &amp; Incidents'!C178="","",'K5. Témoignages &amp; Incidents'!C178)</f>
        <v/>
      </c>
      <c r="B167" s="173" t="str">
        <f aca="false">IF('K5. Témoignages &amp; Incidents'!C178="","",'K5. Témoignages &amp; Incidents'!D178)</f>
        <v/>
      </c>
      <c r="C167" s="0" t="str">
        <f aca="false">IF('K5. Témoignages &amp; Incidents'!C178="","",'K5. Témoignages &amp; Incidents'!E178)</f>
        <v/>
      </c>
      <c r="D167" s="0" t="str">
        <f aca="false">IF('K5. Témoignages &amp; Incidents'!C178="","",'K5. Témoignages &amp; Incidents'!F178)</f>
        <v/>
      </c>
      <c r="E167" s="0" t="str">
        <f aca="false">IF('K5. Témoignages &amp; Incidents'!C178="","",'K5. Témoignages &amp; Incidents'!G178)</f>
        <v/>
      </c>
      <c r="F167" s="0" t="str">
        <f aca="false">IF('K5. Témoignages &amp; Incidents'!C178="","",'K5. Témoignages &amp; Incidents'!H178)</f>
        <v/>
      </c>
      <c r="G167" s="0" t="str">
        <f aca="false">IF('K5. Témoignages &amp; Incidents'!C178="","",'K5. Témoignages &amp; Incidents'!I178)</f>
        <v/>
      </c>
      <c r="H167" s="0" t="str">
        <f aca="false">IF('K5. Témoignages &amp; Incidents'!C178="","",'K5. Témoignages &amp; Incidents'!J178)</f>
        <v/>
      </c>
      <c r="I167" s="0" t="str">
        <f aca="false">IF('K5. Témoignages &amp; Incidents'!C178="","",'K5. Témoignages &amp; Incidents'!K178)</f>
        <v/>
      </c>
      <c r="J167" s="0" t="str">
        <f aca="false">IF('K5. Témoignages &amp; Incidents'!C178="","",'K5. Témoignages &amp; Incidents'!L178)</f>
        <v/>
      </c>
      <c r="K167" s="0" t="str">
        <f aca="false">IF('K5. Témoignages &amp; Incidents'!C178="","",'K5. Témoignages &amp; Incidents'!M178)</f>
        <v/>
      </c>
    </row>
    <row r="168" customFormat="false" ht="15" hidden="false" customHeight="false" outlineLevel="0" collapsed="false">
      <c r="A168" s="0" t="str">
        <f aca="false">IF('K5. Témoignages &amp; Incidents'!C179="","",'K5. Témoignages &amp; Incidents'!C179)</f>
        <v/>
      </c>
      <c r="B168" s="173" t="str">
        <f aca="false">IF('K5. Témoignages &amp; Incidents'!C179="","",'K5. Témoignages &amp; Incidents'!D179)</f>
        <v/>
      </c>
      <c r="C168" s="0" t="str">
        <f aca="false">IF('K5. Témoignages &amp; Incidents'!C179="","",'K5. Témoignages &amp; Incidents'!E179)</f>
        <v/>
      </c>
      <c r="D168" s="0" t="str">
        <f aca="false">IF('K5. Témoignages &amp; Incidents'!C179="","",'K5. Témoignages &amp; Incidents'!F179)</f>
        <v/>
      </c>
      <c r="E168" s="0" t="str">
        <f aca="false">IF('K5. Témoignages &amp; Incidents'!C179="","",'K5. Témoignages &amp; Incidents'!G179)</f>
        <v/>
      </c>
      <c r="F168" s="0" t="str">
        <f aca="false">IF('K5. Témoignages &amp; Incidents'!C179="","",'K5. Témoignages &amp; Incidents'!H179)</f>
        <v/>
      </c>
      <c r="G168" s="0" t="str">
        <f aca="false">IF('K5. Témoignages &amp; Incidents'!C179="","",'K5. Témoignages &amp; Incidents'!I179)</f>
        <v/>
      </c>
      <c r="H168" s="0" t="str">
        <f aca="false">IF('K5. Témoignages &amp; Incidents'!C179="","",'K5. Témoignages &amp; Incidents'!J179)</f>
        <v/>
      </c>
      <c r="I168" s="0" t="str">
        <f aca="false">IF('K5. Témoignages &amp; Incidents'!C179="","",'K5. Témoignages &amp; Incidents'!K179)</f>
        <v/>
      </c>
      <c r="J168" s="0" t="str">
        <f aca="false">IF('K5. Témoignages &amp; Incidents'!C179="","",'K5. Témoignages &amp; Incidents'!L179)</f>
        <v/>
      </c>
      <c r="K168" s="0" t="str">
        <f aca="false">IF('K5. Témoignages &amp; Incidents'!C179="","",'K5. Témoignages &amp; Incidents'!M179)</f>
        <v/>
      </c>
    </row>
    <row r="169" customFormat="false" ht="15" hidden="false" customHeight="false" outlineLevel="0" collapsed="false">
      <c r="A169" s="0" t="str">
        <f aca="false">IF('K5. Témoignages &amp; Incidents'!C180="","",'K5. Témoignages &amp; Incidents'!C180)</f>
        <v/>
      </c>
      <c r="B169" s="173" t="str">
        <f aca="false">IF('K5. Témoignages &amp; Incidents'!C180="","",'K5. Témoignages &amp; Incidents'!D180)</f>
        <v/>
      </c>
      <c r="C169" s="0" t="str">
        <f aca="false">IF('K5. Témoignages &amp; Incidents'!C180="","",'K5. Témoignages &amp; Incidents'!E180)</f>
        <v/>
      </c>
      <c r="D169" s="0" t="str">
        <f aca="false">IF('K5. Témoignages &amp; Incidents'!C180="","",'K5. Témoignages &amp; Incidents'!F180)</f>
        <v/>
      </c>
      <c r="E169" s="0" t="str">
        <f aca="false">IF('K5. Témoignages &amp; Incidents'!C180="","",'K5. Témoignages &amp; Incidents'!G180)</f>
        <v/>
      </c>
      <c r="F169" s="0" t="str">
        <f aca="false">IF('K5. Témoignages &amp; Incidents'!C180="","",'K5. Témoignages &amp; Incidents'!H180)</f>
        <v/>
      </c>
      <c r="G169" s="0" t="str">
        <f aca="false">IF('K5. Témoignages &amp; Incidents'!C180="","",'K5. Témoignages &amp; Incidents'!I180)</f>
        <v/>
      </c>
      <c r="H169" s="0" t="str">
        <f aca="false">IF('K5. Témoignages &amp; Incidents'!C180="","",'K5. Témoignages &amp; Incidents'!J180)</f>
        <v/>
      </c>
      <c r="I169" s="0" t="str">
        <f aca="false">IF('K5. Témoignages &amp; Incidents'!C180="","",'K5. Témoignages &amp; Incidents'!K180)</f>
        <v/>
      </c>
      <c r="J169" s="0" t="str">
        <f aca="false">IF('K5. Témoignages &amp; Incidents'!C180="","",'K5. Témoignages &amp; Incidents'!L180)</f>
        <v/>
      </c>
      <c r="K169" s="0" t="str">
        <f aca="false">IF('K5. Témoignages &amp; Incidents'!C180="","",'K5. Témoignages &amp; Incidents'!M180)</f>
        <v/>
      </c>
    </row>
    <row r="170" customFormat="false" ht="15" hidden="false" customHeight="false" outlineLevel="0" collapsed="false">
      <c r="A170" s="0" t="str">
        <f aca="false">IF('K5. Témoignages &amp; Incidents'!C181="","",'K5. Témoignages &amp; Incidents'!C181)</f>
        <v/>
      </c>
      <c r="B170" s="173" t="str">
        <f aca="false">IF('K5. Témoignages &amp; Incidents'!C181="","",'K5. Témoignages &amp; Incidents'!D181)</f>
        <v/>
      </c>
      <c r="C170" s="0" t="str">
        <f aca="false">IF('K5. Témoignages &amp; Incidents'!C181="","",'K5. Témoignages &amp; Incidents'!E181)</f>
        <v/>
      </c>
      <c r="D170" s="0" t="str">
        <f aca="false">IF('K5. Témoignages &amp; Incidents'!C181="","",'K5. Témoignages &amp; Incidents'!F181)</f>
        <v/>
      </c>
      <c r="E170" s="0" t="str">
        <f aca="false">IF('K5. Témoignages &amp; Incidents'!C181="","",'K5. Témoignages &amp; Incidents'!G181)</f>
        <v/>
      </c>
      <c r="F170" s="0" t="str">
        <f aca="false">IF('K5. Témoignages &amp; Incidents'!C181="","",'K5. Témoignages &amp; Incidents'!H181)</f>
        <v/>
      </c>
      <c r="G170" s="0" t="str">
        <f aca="false">IF('K5. Témoignages &amp; Incidents'!C181="","",'K5. Témoignages &amp; Incidents'!I181)</f>
        <v/>
      </c>
      <c r="H170" s="0" t="str">
        <f aca="false">IF('K5. Témoignages &amp; Incidents'!C181="","",'K5. Témoignages &amp; Incidents'!J181)</f>
        <v/>
      </c>
      <c r="I170" s="0" t="str">
        <f aca="false">IF('K5. Témoignages &amp; Incidents'!C181="","",'K5. Témoignages &amp; Incidents'!K181)</f>
        <v/>
      </c>
      <c r="J170" s="0" t="str">
        <f aca="false">IF('K5. Témoignages &amp; Incidents'!C181="","",'K5. Témoignages &amp; Incidents'!L181)</f>
        <v/>
      </c>
      <c r="K170" s="0" t="str">
        <f aca="false">IF('K5. Témoignages &amp; Incidents'!C181="","",'K5. Témoignages &amp; Incidents'!M181)</f>
        <v/>
      </c>
    </row>
    <row r="171" customFormat="false" ht="15" hidden="false" customHeight="false" outlineLevel="0" collapsed="false">
      <c r="A171" s="0" t="str">
        <f aca="false">IF('K5. Témoignages &amp; Incidents'!C182="","",'K5. Témoignages &amp; Incidents'!C182)</f>
        <v/>
      </c>
      <c r="B171" s="173" t="str">
        <f aca="false">IF('K5. Témoignages &amp; Incidents'!C182="","",'K5. Témoignages &amp; Incidents'!D182)</f>
        <v/>
      </c>
      <c r="C171" s="0" t="str">
        <f aca="false">IF('K5. Témoignages &amp; Incidents'!C182="","",'K5. Témoignages &amp; Incidents'!E182)</f>
        <v/>
      </c>
      <c r="D171" s="0" t="str">
        <f aca="false">IF('K5. Témoignages &amp; Incidents'!C182="","",'K5. Témoignages &amp; Incidents'!F182)</f>
        <v/>
      </c>
      <c r="E171" s="0" t="str">
        <f aca="false">IF('K5. Témoignages &amp; Incidents'!C182="","",'K5. Témoignages &amp; Incidents'!G182)</f>
        <v/>
      </c>
      <c r="F171" s="0" t="str">
        <f aca="false">IF('K5. Témoignages &amp; Incidents'!C182="","",'K5. Témoignages &amp; Incidents'!H182)</f>
        <v/>
      </c>
      <c r="G171" s="0" t="str">
        <f aca="false">IF('K5. Témoignages &amp; Incidents'!C182="","",'K5. Témoignages &amp; Incidents'!I182)</f>
        <v/>
      </c>
      <c r="H171" s="0" t="str">
        <f aca="false">IF('K5. Témoignages &amp; Incidents'!C182="","",'K5. Témoignages &amp; Incidents'!J182)</f>
        <v/>
      </c>
      <c r="I171" s="0" t="str">
        <f aca="false">IF('K5. Témoignages &amp; Incidents'!C182="","",'K5. Témoignages &amp; Incidents'!K182)</f>
        <v/>
      </c>
      <c r="J171" s="0" t="str">
        <f aca="false">IF('K5. Témoignages &amp; Incidents'!C182="","",'K5. Témoignages &amp; Incidents'!L182)</f>
        <v/>
      </c>
      <c r="K171" s="0" t="str">
        <f aca="false">IF('K5. Témoignages &amp; Incidents'!C182="","",'K5. Témoignages &amp; Incidents'!M182)</f>
        <v/>
      </c>
    </row>
    <row r="172" customFormat="false" ht="15" hidden="false" customHeight="false" outlineLevel="0" collapsed="false">
      <c r="A172" s="0" t="str">
        <f aca="false">IF('K5. Témoignages &amp; Incidents'!C183="","",'K5. Témoignages &amp; Incidents'!C183)</f>
        <v/>
      </c>
      <c r="B172" s="173" t="str">
        <f aca="false">IF('K5. Témoignages &amp; Incidents'!C183="","",'K5. Témoignages &amp; Incidents'!D183)</f>
        <v/>
      </c>
      <c r="C172" s="0" t="str">
        <f aca="false">IF('K5. Témoignages &amp; Incidents'!C183="","",'K5. Témoignages &amp; Incidents'!E183)</f>
        <v/>
      </c>
      <c r="D172" s="0" t="str">
        <f aca="false">IF('K5. Témoignages &amp; Incidents'!C183="","",'K5. Témoignages &amp; Incidents'!F183)</f>
        <v/>
      </c>
      <c r="E172" s="0" t="str">
        <f aca="false">IF('K5. Témoignages &amp; Incidents'!C183="","",'K5. Témoignages &amp; Incidents'!G183)</f>
        <v/>
      </c>
      <c r="F172" s="0" t="str">
        <f aca="false">IF('K5. Témoignages &amp; Incidents'!C183="","",'K5. Témoignages &amp; Incidents'!H183)</f>
        <v/>
      </c>
      <c r="G172" s="0" t="str">
        <f aca="false">IF('K5. Témoignages &amp; Incidents'!C183="","",'K5. Témoignages &amp; Incidents'!I183)</f>
        <v/>
      </c>
      <c r="H172" s="0" t="str">
        <f aca="false">IF('K5. Témoignages &amp; Incidents'!C183="","",'K5. Témoignages &amp; Incidents'!J183)</f>
        <v/>
      </c>
      <c r="I172" s="0" t="str">
        <f aca="false">IF('K5. Témoignages &amp; Incidents'!C183="","",'K5. Témoignages &amp; Incidents'!K183)</f>
        <v/>
      </c>
      <c r="J172" s="0" t="str">
        <f aca="false">IF('K5. Témoignages &amp; Incidents'!C183="","",'K5. Témoignages &amp; Incidents'!L183)</f>
        <v/>
      </c>
      <c r="K172" s="0" t="str">
        <f aca="false">IF('K5. Témoignages &amp; Incidents'!C183="","",'K5. Témoignages &amp; Incidents'!M183)</f>
        <v/>
      </c>
    </row>
    <row r="173" customFormat="false" ht="15" hidden="false" customHeight="false" outlineLevel="0" collapsed="false">
      <c r="A173" s="0" t="str">
        <f aca="false">IF('K5. Témoignages &amp; Incidents'!C184="","",'K5. Témoignages &amp; Incidents'!C184)</f>
        <v/>
      </c>
      <c r="B173" s="173" t="str">
        <f aca="false">IF('K5. Témoignages &amp; Incidents'!C184="","",'K5. Témoignages &amp; Incidents'!D184)</f>
        <v/>
      </c>
      <c r="C173" s="0" t="str">
        <f aca="false">IF('K5. Témoignages &amp; Incidents'!C184="","",'K5. Témoignages &amp; Incidents'!E184)</f>
        <v/>
      </c>
      <c r="D173" s="0" t="str">
        <f aca="false">IF('K5. Témoignages &amp; Incidents'!C184="","",'K5. Témoignages &amp; Incidents'!F184)</f>
        <v/>
      </c>
      <c r="E173" s="0" t="str">
        <f aca="false">IF('K5. Témoignages &amp; Incidents'!C184="","",'K5. Témoignages &amp; Incidents'!G184)</f>
        <v/>
      </c>
      <c r="F173" s="0" t="str">
        <f aca="false">IF('K5. Témoignages &amp; Incidents'!C184="","",'K5. Témoignages &amp; Incidents'!H184)</f>
        <v/>
      </c>
      <c r="G173" s="0" t="str">
        <f aca="false">IF('K5. Témoignages &amp; Incidents'!C184="","",'K5. Témoignages &amp; Incidents'!I184)</f>
        <v/>
      </c>
      <c r="H173" s="0" t="str">
        <f aca="false">IF('K5. Témoignages &amp; Incidents'!C184="","",'K5. Témoignages &amp; Incidents'!J184)</f>
        <v/>
      </c>
      <c r="I173" s="0" t="str">
        <f aca="false">IF('K5. Témoignages &amp; Incidents'!C184="","",'K5. Témoignages &amp; Incidents'!K184)</f>
        <v/>
      </c>
      <c r="J173" s="0" t="str">
        <f aca="false">IF('K5. Témoignages &amp; Incidents'!C184="","",'K5. Témoignages &amp; Incidents'!L184)</f>
        <v/>
      </c>
      <c r="K173" s="0" t="str">
        <f aca="false">IF('K5. Témoignages &amp; Incidents'!C184="","",'K5. Témoignages &amp; Incidents'!M184)</f>
        <v/>
      </c>
    </row>
    <row r="174" customFormat="false" ht="15" hidden="false" customHeight="false" outlineLevel="0" collapsed="false">
      <c r="A174" s="0" t="str">
        <f aca="false">IF('K5. Témoignages &amp; Incidents'!C185="","",'K5. Témoignages &amp; Incidents'!C185)</f>
        <v/>
      </c>
      <c r="B174" s="173" t="str">
        <f aca="false">IF('K5. Témoignages &amp; Incidents'!C185="","",'K5. Témoignages &amp; Incidents'!D185)</f>
        <v/>
      </c>
      <c r="C174" s="0" t="str">
        <f aca="false">IF('K5. Témoignages &amp; Incidents'!C185="","",'K5. Témoignages &amp; Incidents'!E185)</f>
        <v/>
      </c>
      <c r="D174" s="0" t="str">
        <f aca="false">IF('K5. Témoignages &amp; Incidents'!C185="","",'K5. Témoignages &amp; Incidents'!F185)</f>
        <v/>
      </c>
      <c r="E174" s="0" t="str">
        <f aca="false">IF('K5. Témoignages &amp; Incidents'!C185="","",'K5. Témoignages &amp; Incidents'!G185)</f>
        <v/>
      </c>
      <c r="F174" s="0" t="str">
        <f aca="false">IF('K5. Témoignages &amp; Incidents'!C185="","",'K5. Témoignages &amp; Incidents'!H185)</f>
        <v/>
      </c>
      <c r="G174" s="0" t="str">
        <f aca="false">IF('K5. Témoignages &amp; Incidents'!C185="","",'K5. Témoignages &amp; Incidents'!I185)</f>
        <v/>
      </c>
      <c r="H174" s="0" t="str">
        <f aca="false">IF('K5. Témoignages &amp; Incidents'!C185="","",'K5. Témoignages &amp; Incidents'!J185)</f>
        <v/>
      </c>
      <c r="I174" s="0" t="str">
        <f aca="false">IF('K5. Témoignages &amp; Incidents'!C185="","",'K5. Témoignages &amp; Incidents'!K185)</f>
        <v/>
      </c>
      <c r="J174" s="0" t="str">
        <f aca="false">IF('K5. Témoignages &amp; Incidents'!C185="","",'K5. Témoignages &amp; Incidents'!L185)</f>
        <v/>
      </c>
      <c r="K174" s="0" t="str">
        <f aca="false">IF('K5. Témoignages &amp; Incidents'!C185="","",'K5. Témoignages &amp; Incidents'!M185)</f>
        <v/>
      </c>
    </row>
    <row r="175" customFormat="false" ht="15" hidden="false" customHeight="false" outlineLevel="0" collapsed="false">
      <c r="A175" s="0" t="str">
        <f aca="false">IF('K5. Témoignages &amp; Incidents'!C186="","",'K5. Témoignages &amp; Incidents'!C186)</f>
        <v/>
      </c>
      <c r="B175" s="173" t="str">
        <f aca="false">IF('K5. Témoignages &amp; Incidents'!C186="","",'K5. Témoignages &amp; Incidents'!D186)</f>
        <v/>
      </c>
      <c r="C175" s="0" t="str">
        <f aca="false">IF('K5. Témoignages &amp; Incidents'!C186="","",'K5. Témoignages &amp; Incidents'!E186)</f>
        <v/>
      </c>
      <c r="D175" s="0" t="str">
        <f aca="false">IF('K5. Témoignages &amp; Incidents'!C186="","",'K5. Témoignages &amp; Incidents'!F186)</f>
        <v/>
      </c>
      <c r="E175" s="0" t="str">
        <f aca="false">IF('K5. Témoignages &amp; Incidents'!C186="","",'K5. Témoignages &amp; Incidents'!G186)</f>
        <v/>
      </c>
      <c r="F175" s="0" t="str">
        <f aca="false">IF('K5. Témoignages &amp; Incidents'!C186="","",'K5. Témoignages &amp; Incidents'!H186)</f>
        <v/>
      </c>
      <c r="G175" s="0" t="str">
        <f aca="false">IF('K5. Témoignages &amp; Incidents'!C186="","",'K5. Témoignages &amp; Incidents'!I186)</f>
        <v/>
      </c>
      <c r="H175" s="0" t="str">
        <f aca="false">IF('K5. Témoignages &amp; Incidents'!C186="","",'K5. Témoignages &amp; Incidents'!J186)</f>
        <v/>
      </c>
      <c r="I175" s="0" t="str">
        <f aca="false">IF('K5. Témoignages &amp; Incidents'!C186="","",'K5. Témoignages &amp; Incidents'!K186)</f>
        <v/>
      </c>
      <c r="J175" s="0" t="str">
        <f aca="false">IF('K5. Témoignages &amp; Incidents'!C186="","",'K5. Témoignages &amp; Incidents'!L186)</f>
        <v/>
      </c>
      <c r="K175" s="0" t="str">
        <f aca="false">IF('K5. Témoignages &amp; Incidents'!C186="","",'K5. Témoignages &amp; Incidents'!M186)</f>
        <v/>
      </c>
    </row>
    <row r="176" customFormat="false" ht="15" hidden="false" customHeight="false" outlineLevel="0" collapsed="false">
      <c r="A176" s="0" t="str">
        <f aca="false">IF('K5. Témoignages &amp; Incidents'!C187="","",'K5. Témoignages &amp; Incidents'!C187)</f>
        <v/>
      </c>
      <c r="B176" s="173" t="str">
        <f aca="false">IF('K5. Témoignages &amp; Incidents'!C187="","",'K5. Témoignages &amp; Incidents'!D187)</f>
        <v/>
      </c>
      <c r="C176" s="0" t="str">
        <f aca="false">IF('K5. Témoignages &amp; Incidents'!C187="","",'K5. Témoignages &amp; Incidents'!E187)</f>
        <v/>
      </c>
      <c r="D176" s="0" t="str">
        <f aca="false">IF('K5. Témoignages &amp; Incidents'!C187="","",'K5. Témoignages &amp; Incidents'!F187)</f>
        <v/>
      </c>
      <c r="E176" s="0" t="str">
        <f aca="false">IF('K5. Témoignages &amp; Incidents'!C187="","",'K5. Témoignages &amp; Incidents'!G187)</f>
        <v/>
      </c>
      <c r="F176" s="0" t="str">
        <f aca="false">IF('K5. Témoignages &amp; Incidents'!C187="","",'K5. Témoignages &amp; Incidents'!H187)</f>
        <v/>
      </c>
      <c r="G176" s="0" t="str">
        <f aca="false">IF('K5. Témoignages &amp; Incidents'!C187="","",'K5. Témoignages &amp; Incidents'!I187)</f>
        <v/>
      </c>
      <c r="H176" s="0" t="str">
        <f aca="false">IF('K5. Témoignages &amp; Incidents'!C187="","",'K5. Témoignages &amp; Incidents'!J187)</f>
        <v/>
      </c>
      <c r="I176" s="0" t="str">
        <f aca="false">IF('K5. Témoignages &amp; Incidents'!C187="","",'K5. Témoignages &amp; Incidents'!K187)</f>
        <v/>
      </c>
      <c r="J176" s="0" t="str">
        <f aca="false">IF('K5. Témoignages &amp; Incidents'!C187="","",'K5. Témoignages &amp; Incidents'!L187)</f>
        <v/>
      </c>
      <c r="K176" s="0" t="str">
        <f aca="false">IF('K5. Témoignages &amp; Incidents'!C187="","",'K5. Témoignages &amp; Incidents'!M187)</f>
        <v/>
      </c>
    </row>
    <row r="177" customFormat="false" ht="15" hidden="false" customHeight="false" outlineLevel="0" collapsed="false">
      <c r="A177" s="0" t="str">
        <f aca="false">IF('K5. Témoignages &amp; Incidents'!C188="","",'K5. Témoignages &amp; Incidents'!C188)</f>
        <v/>
      </c>
      <c r="B177" s="173" t="str">
        <f aca="false">IF('K5. Témoignages &amp; Incidents'!C188="","",'K5. Témoignages &amp; Incidents'!D188)</f>
        <v/>
      </c>
      <c r="C177" s="0" t="str">
        <f aca="false">IF('K5. Témoignages &amp; Incidents'!C188="","",'K5. Témoignages &amp; Incidents'!E188)</f>
        <v/>
      </c>
      <c r="D177" s="0" t="str">
        <f aca="false">IF('K5. Témoignages &amp; Incidents'!C188="","",'K5. Témoignages &amp; Incidents'!F188)</f>
        <v/>
      </c>
      <c r="E177" s="0" t="str">
        <f aca="false">IF('K5. Témoignages &amp; Incidents'!C188="","",'K5. Témoignages &amp; Incidents'!G188)</f>
        <v/>
      </c>
      <c r="F177" s="0" t="str">
        <f aca="false">IF('K5. Témoignages &amp; Incidents'!C188="","",'K5. Témoignages &amp; Incidents'!H188)</f>
        <v/>
      </c>
      <c r="G177" s="0" t="str">
        <f aca="false">IF('K5. Témoignages &amp; Incidents'!C188="","",'K5. Témoignages &amp; Incidents'!I188)</f>
        <v/>
      </c>
      <c r="H177" s="0" t="str">
        <f aca="false">IF('K5. Témoignages &amp; Incidents'!C188="","",'K5. Témoignages &amp; Incidents'!J188)</f>
        <v/>
      </c>
      <c r="I177" s="0" t="str">
        <f aca="false">IF('K5. Témoignages &amp; Incidents'!C188="","",'K5. Témoignages &amp; Incidents'!K188)</f>
        <v/>
      </c>
      <c r="J177" s="0" t="str">
        <f aca="false">IF('K5. Témoignages &amp; Incidents'!C188="","",'K5. Témoignages &amp; Incidents'!L188)</f>
        <v/>
      </c>
      <c r="K177" s="0" t="str">
        <f aca="false">IF('K5. Témoignages &amp; Incidents'!C188="","",'K5. Témoignages &amp; Incidents'!M188)</f>
        <v/>
      </c>
    </row>
    <row r="178" customFormat="false" ht="15" hidden="false" customHeight="false" outlineLevel="0" collapsed="false">
      <c r="A178" s="0" t="str">
        <f aca="false">IF('K5. Témoignages &amp; Incidents'!C189="","",'K5. Témoignages &amp; Incidents'!C189)</f>
        <v/>
      </c>
      <c r="B178" s="173" t="str">
        <f aca="false">IF('K5. Témoignages &amp; Incidents'!C189="","",'K5. Témoignages &amp; Incidents'!D189)</f>
        <v/>
      </c>
      <c r="C178" s="0" t="str">
        <f aca="false">IF('K5. Témoignages &amp; Incidents'!C189="","",'K5. Témoignages &amp; Incidents'!E189)</f>
        <v/>
      </c>
      <c r="D178" s="0" t="str">
        <f aca="false">IF('K5. Témoignages &amp; Incidents'!C189="","",'K5. Témoignages &amp; Incidents'!F189)</f>
        <v/>
      </c>
      <c r="E178" s="0" t="str">
        <f aca="false">IF('K5. Témoignages &amp; Incidents'!C189="","",'K5. Témoignages &amp; Incidents'!G189)</f>
        <v/>
      </c>
      <c r="F178" s="0" t="str">
        <f aca="false">IF('K5. Témoignages &amp; Incidents'!C189="","",'K5. Témoignages &amp; Incidents'!H189)</f>
        <v/>
      </c>
      <c r="G178" s="0" t="str">
        <f aca="false">IF('K5. Témoignages &amp; Incidents'!C189="","",'K5. Témoignages &amp; Incidents'!I189)</f>
        <v/>
      </c>
      <c r="H178" s="0" t="str">
        <f aca="false">IF('K5. Témoignages &amp; Incidents'!C189="","",'K5. Témoignages &amp; Incidents'!J189)</f>
        <v/>
      </c>
      <c r="I178" s="0" t="str">
        <f aca="false">IF('K5. Témoignages &amp; Incidents'!C189="","",'K5. Témoignages &amp; Incidents'!K189)</f>
        <v/>
      </c>
      <c r="J178" s="0" t="str">
        <f aca="false">IF('K5. Témoignages &amp; Incidents'!C189="","",'K5. Témoignages &amp; Incidents'!L189)</f>
        <v/>
      </c>
      <c r="K178" s="0" t="str">
        <f aca="false">IF('K5. Témoignages &amp; Incidents'!C189="","",'K5. Témoignages &amp; Incidents'!M189)</f>
        <v/>
      </c>
    </row>
    <row r="179" customFormat="false" ht="15" hidden="false" customHeight="false" outlineLevel="0" collapsed="false">
      <c r="A179" s="0" t="str">
        <f aca="false">IF('K5. Témoignages &amp; Incidents'!C190="","",'K5. Témoignages &amp; Incidents'!C190)</f>
        <v/>
      </c>
      <c r="B179" s="173" t="str">
        <f aca="false">IF('K5. Témoignages &amp; Incidents'!C190="","",'K5. Témoignages &amp; Incidents'!D190)</f>
        <v/>
      </c>
      <c r="C179" s="0" t="str">
        <f aca="false">IF('K5. Témoignages &amp; Incidents'!C190="","",'K5. Témoignages &amp; Incidents'!E190)</f>
        <v/>
      </c>
      <c r="D179" s="0" t="str">
        <f aca="false">IF('K5. Témoignages &amp; Incidents'!C190="","",'K5. Témoignages &amp; Incidents'!F190)</f>
        <v/>
      </c>
      <c r="E179" s="0" t="str">
        <f aca="false">IF('K5. Témoignages &amp; Incidents'!C190="","",'K5. Témoignages &amp; Incidents'!G190)</f>
        <v/>
      </c>
      <c r="F179" s="0" t="str">
        <f aca="false">IF('K5. Témoignages &amp; Incidents'!C190="","",'K5. Témoignages &amp; Incidents'!H190)</f>
        <v/>
      </c>
      <c r="G179" s="0" t="str">
        <f aca="false">IF('K5. Témoignages &amp; Incidents'!C190="","",'K5. Témoignages &amp; Incidents'!I190)</f>
        <v/>
      </c>
      <c r="H179" s="0" t="str">
        <f aca="false">IF('K5. Témoignages &amp; Incidents'!C190="","",'K5. Témoignages &amp; Incidents'!J190)</f>
        <v/>
      </c>
      <c r="I179" s="0" t="str">
        <f aca="false">IF('K5. Témoignages &amp; Incidents'!C190="","",'K5. Témoignages &amp; Incidents'!K190)</f>
        <v/>
      </c>
      <c r="J179" s="0" t="str">
        <f aca="false">IF('K5. Témoignages &amp; Incidents'!C190="","",'K5. Témoignages &amp; Incidents'!L190)</f>
        <v/>
      </c>
      <c r="K179" s="0" t="str">
        <f aca="false">IF('K5. Témoignages &amp; Incidents'!C190="","",'K5. Témoignages &amp; Incidents'!M190)</f>
        <v/>
      </c>
    </row>
    <row r="180" customFormat="false" ht="15" hidden="false" customHeight="false" outlineLevel="0" collapsed="false">
      <c r="A180" s="0" t="str">
        <f aca="false">IF('K5. Témoignages &amp; Incidents'!C191="","",'K5. Témoignages &amp; Incidents'!C191)</f>
        <v/>
      </c>
      <c r="B180" s="173" t="str">
        <f aca="false">IF('K5. Témoignages &amp; Incidents'!C191="","",'K5. Témoignages &amp; Incidents'!D191)</f>
        <v/>
      </c>
      <c r="C180" s="0" t="str">
        <f aca="false">IF('K5. Témoignages &amp; Incidents'!C191="","",'K5. Témoignages &amp; Incidents'!E191)</f>
        <v/>
      </c>
      <c r="D180" s="0" t="str">
        <f aca="false">IF('K5. Témoignages &amp; Incidents'!C191="","",'K5. Témoignages &amp; Incidents'!F191)</f>
        <v/>
      </c>
      <c r="E180" s="0" t="str">
        <f aca="false">IF('K5. Témoignages &amp; Incidents'!C191="","",'K5. Témoignages &amp; Incidents'!G191)</f>
        <v/>
      </c>
      <c r="F180" s="0" t="str">
        <f aca="false">IF('K5. Témoignages &amp; Incidents'!C191="","",'K5. Témoignages &amp; Incidents'!H191)</f>
        <v/>
      </c>
      <c r="G180" s="0" t="str">
        <f aca="false">IF('K5. Témoignages &amp; Incidents'!C191="","",'K5. Témoignages &amp; Incidents'!I191)</f>
        <v/>
      </c>
      <c r="H180" s="0" t="str">
        <f aca="false">IF('K5. Témoignages &amp; Incidents'!C191="","",'K5. Témoignages &amp; Incidents'!J191)</f>
        <v/>
      </c>
      <c r="I180" s="0" t="str">
        <f aca="false">IF('K5. Témoignages &amp; Incidents'!C191="","",'K5. Témoignages &amp; Incidents'!K191)</f>
        <v/>
      </c>
      <c r="J180" s="0" t="str">
        <f aca="false">IF('K5. Témoignages &amp; Incidents'!C191="","",'K5. Témoignages &amp; Incidents'!L191)</f>
        <v/>
      </c>
      <c r="K180" s="0" t="str">
        <f aca="false">IF('K5. Témoignages &amp; Incidents'!C191="","",'K5. Témoignages &amp; Incidents'!M191)</f>
        <v/>
      </c>
    </row>
    <row r="181" customFormat="false" ht="15" hidden="false" customHeight="false" outlineLevel="0" collapsed="false">
      <c r="A181" s="0" t="str">
        <f aca="false">IF('K5. Témoignages &amp; Incidents'!C192="","",'K5. Témoignages &amp; Incidents'!C192)</f>
        <v/>
      </c>
      <c r="B181" s="173" t="str">
        <f aca="false">IF('K5. Témoignages &amp; Incidents'!C192="","",'K5. Témoignages &amp; Incidents'!D192)</f>
        <v/>
      </c>
      <c r="C181" s="0" t="str">
        <f aca="false">IF('K5. Témoignages &amp; Incidents'!C192="","",'K5. Témoignages &amp; Incidents'!E192)</f>
        <v/>
      </c>
      <c r="D181" s="0" t="str">
        <f aca="false">IF('K5. Témoignages &amp; Incidents'!C192="","",'K5. Témoignages &amp; Incidents'!F192)</f>
        <v/>
      </c>
      <c r="E181" s="0" t="str">
        <f aca="false">IF('K5. Témoignages &amp; Incidents'!C192="","",'K5. Témoignages &amp; Incidents'!G192)</f>
        <v/>
      </c>
      <c r="F181" s="0" t="str">
        <f aca="false">IF('K5. Témoignages &amp; Incidents'!C192="","",'K5. Témoignages &amp; Incidents'!H192)</f>
        <v/>
      </c>
      <c r="G181" s="0" t="str">
        <f aca="false">IF('K5. Témoignages &amp; Incidents'!C192="","",'K5. Témoignages &amp; Incidents'!I192)</f>
        <v/>
      </c>
      <c r="H181" s="0" t="str">
        <f aca="false">IF('K5. Témoignages &amp; Incidents'!C192="","",'K5. Témoignages &amp; Incidents'!J192)</f>
        <v/>
      </c>
      <c r="I181" s="0" t="str">
        <f aca="false">IF('K5. Témoignages &amp; Incidents'!C192="","",'K5. Témoignages &amp; Incidents'!K192)</f>
        <v/>
      </c>
      <c r="J181" s="0" t="str">
        <f aca="false">IF('K5. Témoignages &amp; Incidents'!C192="","",'K5. Témoignages &amp; Incidents'!L192)</f>
        <v/>
      </c>
      <c r="K181" s="0" t="str">
        <f aca="false">IF('K5. Témoignages &amp; Incidents'!C192="","",'K5. Témoignages &amp; Incidents'!M192)</f>
        <v/>
      </c>
    </row>
    <row r="182" customFormat="false" ht="15" hidden="false" customHeight="false" outlineLevel="0" collapsed="false">
      <c r="A182" s="0" t="str">
        <f aca="false">IF('K5. Témoignages &amp; Incidents'!C193="","",'K5. Témoignages &amp; Incidents'!C193)</f>
        <v/>
      </c>
      <c r="B182" s="173" t="str">
        <f aca="false">IF('K5. Témoignages &amp; Incidents'!C193="","",'K5. Témoignages &amp; Incidents'!D193)</f>
        <v/>
      </c>
      <c r="C182" s="0" t="str">
        <f aca="false">IF('K5. Témoignages &amp; Incidents'!C193="","",'K5. Témoignages &amp; Incidents'!E193)</f>
        <v/>
      </c>
      <c r="D182" s="0" t="str">
        <f aca="false">IF('K5. Témoignages &amp; Incidents'!C193="","",'K5. Témoignages &amp; Incidents'!F193)</f>
        <v/>
      </c>
      <c r="E182" s="0" t="str">
        <f aca="false">IF('K5. Témoignages &amp; Incidents'!C193="","",'K5. Témoignages &amp; Incidents'!G193)</f>
        <v/>
      </c>
      <c r="F182" s="0" t="str">
        <f aca="false">IF('K5. Témoignages &amp; Incidents'!C193="","",'K5. Témoignages &amp; Incidents'!H193)</f>
        <v/>
      </c>
      <c r="G182" s="0" t="str">
        <f aca="false">IF('K5. Témoignages &amp; Incidents'!C193="","",'K5. Témoignages &amp; Incidents'!I193)</f>
        <v/>
      </c>
      <c r="H182" s="0" t="str">
        <f aca="false">IF('K5. Témoignages &amp; Incidents'!C193="","",'K5. Témoignages &amp; Incidents'!J193)</f>
        <v/>
      </c>
      <c r="I182" s="0" t="str">
        <f aca="false">IF('K5. Témoignages &amp; Incidents'!C193="","",'K5. Témoignages &amp; Incidents'!K193)</f>
        <v/>
      </c>
      <c r="J182" s="0" t="str">
        <f aca="false">IF('K5. Témoignages &amp; Incidents'!C193="","",'K5. Témoignages &amp; Incidents'!L193)</f>
        <v/>
      </c>
      <c r="K182" s="0" t="str">
        <f aca="false">IF('K5. Témoignages &amp; Incidents'!C193="","",'K5. Témoignages &amp; Incidents'!M193)</f>
        <v/>
      </c>
    </row>
    <row r="183" customFormat="false" ht="15" hidden="false" customHeight="false" outlineLevel="0" collapsed="false">
      <c r="A183" s="0" t="str">
        <f aca="false">IF('K5. Témoignages &amp; Incidents'!C194="","",'K5. Témoignages &amp; Incidents'!C194)</f>
        <v/>
      </c>
      <c r="B183" s="173" t="str">
        <f aca="false">IF('K5. Témoignages &amp; Incidents'!C194="","",'K5. Témoignages &amp; Incidents'!D194)</f>
        <v/>
      </c>
      <c r="C183" s="0" t="str">
        <f aca="false">IF('K5. Témoignages &amp; Incidents'!C194="","",'K5. Témoignages &amp; Incidents'!E194)</f>
        <v/>
      </c>
      <c r="D183" s="0" t="str">
        <f aca="false">IF('K5. Témoignages &amp; Incidents'!C194="","",'K5. Témoignages &amp; Incidents'!F194)</f>
        <v/>
      </c>
      <c r="E183" s="0" t="str">
        <f aca="false">IF('K5. Témoignages &amp; Incidents'!C194="","",'K5. Témoignages &amp; Incidents'!G194)</f>
        <v/>
      </c>
      <c r="F183" s="0" t="str">
        <f aca="false">IF('K5. Témoignages &amp; Incidents'!C194="","",'K5. Témoignages &amp; Incidents'!H194)</f>
        <v/>
      </c>
      <c r="G183" s="0" t="str">
        <f aca="false">IF('K5. Témoignages &amp; Incidents'!C194="","",'K5. Témoignages &amp; Incidents'!I194)</f>
        <v/>
      </c>
      <c r="H183" s="0" t="str">
        <f aca="false">IF('K5. Témoignages &amp; Incidents'!C194="","",'K5. Témoignages &amp; Incidents'!J194)</f>
        <v/>
      </c>
      <c r="I183" s="0" t="str">
        <f aca="false">IF('K5. Témoignages &amp; Incidents'!C194="","",'K5. Témoignages &amp; Incidents'!K194)</f>
        <v/>
      </c>
      <c r="J183" s="0" t="str">
        <f aca="false">IF('K5. Témoignages &amp; Incidents'!C194="","",'K5. Témoignages &amp; Incidents'!L194)</f>
        <v/>
      </c>
      <c r="K183" s="0" t="str">
        <f aca="false">IF('K5. Témoignages &amp; Incidents'!C194="","",'K5. Témoignages &amp; Incidents'!M194)</f>
        <v/>
      </c>
    </row>
    <row r="184" customFormat="false" ht="15" hidden="false" customHeight="false" outlineLevel="0" collapsed="false">
      <c r="A184" s="0" t="str">
        <f aca="false">IF('K5. Témoignages &amp; Incidents'!C195="","",'K5. Témoignages &amp; Incidents'!C195)</f>
        <v/>
      </c>
      <c r="B184" s="173" t="str">
        <f aca="false">IF('K5. Témoignages &amp; Incidents'!C195="","",'K5. Témoignages &amp; Incidents'!D195)</f>
        <v/>
      </c>
      <c r="C184" s="0" t="str">
        <f aca="false">IF('K5. Témoignages &amp; Incidents'!C195="","",'K5. Témoignages &amp; Incidents'!E195)</f>
        <v/>
      </c>
      <c r="D184" s="0" t="str">
        <f aca="false">IF('K5. Témoignages &amp; Incidents'!C195="","",'K5. Témoignages &amp; Incidents'!F195)</f>
        <v/>
      </c>
      <c r="E184" s="0" t="str">
        <f aca="false">IF('K5. Témoignages &amp; Incidents'!C195="","",'K5. Témoignages &amp; Incidents'!G195)</f>
        <v/>
      </c>
      <c r="F184" s="0" t="str">
        <f aca="false">IF('K5. Témoignages &amp; Incidents'!C195="","",'K5. Témoignages &amp; Incidents'!H195)</f>
        <v/>
      </c>
      <c r="G184" s="0" t="str">
        <f aca="false">IF('K5. Témoignages &amp; Incidents'!C195="","",'K5. Témoignages &amp; Incidents'!I195)</f>
        <v/>
      </c>
      <c r="H184" s="0" t="str">
        <f aca="false">IF('K5. Témoignages &amp; Incidents'!C195="","",'K5. Témoignages &amp; Incidents'!J195)</f>
        <v/>
      </c>
      <c r="I184" s="0" t="str">
        <f aca="false">IF('K5. Témoignages &amp; Incidents'!C195="","",'K5. Témoignages &amp; Incidents'!K195)</f>
        <v/>
      </c>
      <c r="J184" s="0" t="str">
        <f aca="false">IF('K5. Témoignages &amp; Incidents'!C195="","",'K5. Témoignages &amp; Incidents'!L195)</f>
        <v/>
      </c>
      <c r="K184" s="0" t="str">
        <f aca="false">IF('K5. Témoignages &amp; Incidents'!C195="","",'K5. Témoignages &amp; Incidents'!M195)</f>
        <v/>
      </c>
    </row>
    <row r="185" customFormat="false" ht="15" hidden="false" customHeight="false" outlineLevel="0" collapsed="false">
      <c r="A185" s="0" t="str">
        <f aca="false">IF('K5. Témoignages &amp; Incidents'!C196="","",'K5. Témoignages &amp; Incidents'!C196)</f>
        <v/>
      </c>
      <c r="B185" s="173" t="str">
        <f aca="false">IF('K5. Témoignages &amp; Incidents'!C196="","",'K5. Témoignages &amp; Incidents'!D196)</f>
        <v/>
      </c>
      <c r="C185" s="0" t="str">
        <f aca="false">IF('K5. Témoignages &amp; Incidents'!C196="","",'K5. Témoignages &amp; Incidents'!E196)</f>
        <v/>
      </c>
      <c r="D185" s="0" t="str">
        <f aca="false">IF('K5. Témoignages &amp; Incidents'!C196="","",'K5. Témoignages &amp; Incidents'!F196)</f>
        <v/>
      </c>
      <c r="E185" s="0" t="str">
        <f aca="false">IF('K5. Témoignages &amp; Incidents'!C196="","",'K5. Témoignages &amp; Incidents'!G196)</f>
        <v/>
      </c>
      <c r="F185" s="0" t="str">
        <f aca="false">IF('K5. Témoignages &amp; Incidents'!C196="","",'K5. Témoignages &amp; Incidents'!H196)</f>
        <v/>
      </c>
      <c r="G185" s="0" t="str">
        <f aca="false">IF('K5. Témoignages &amp; Incidents'!C196="","",'K5. Témoignages &amp; Incidents'!I196)</f>
        <v/>
      </c>
      <c r="H185" s="0" t="str">
        <f aca="false">IF('K5. Témoignages &amp; Incidents'!C196="","",'K5. Témoignages &amp; Incidents'!J196)</f>
        <v/>
      </c>
      <c r="I185" s="0" t="str">
        <f aca="false">IF('K5. Témoignages &amp; Incidents'!C196="","",'K5. Témoignages &amp; Incidents'!K196)</f>
        <v/>
      </c>
      <c r="J185" s="0" t="str">
        <f aca="false">IF('K5. Témoignages &amp; Incidents'!C196="","",'K5. Témoignages &amp; Incidents'!L196)</f>
        <v/>
      </c>
      <c r="K185" s="0" t="str">
        <f aca="false">IF('K5. Témoignages &amp; Incidents'!C196="","",'K5. Témoignages &amp; Incidents'!M196)</f>
        <v/>
      </c>
    </row>
    <row r="186" customFormat="false" ht="15" hidden="false" customHeight="false" outlineLevel="0" collapsed="false">
      <c r="A186" s="0" t="str">
        <f aca="false">IF('K5. Témoignages &amp; Incidents'!C197="","",'K5. Témoignages &amp; Incidents'!C197)</f>
        <v/>
      </c>
      <c r="B186" s="173" t="str">
        <f aca="false">IF('K5. Témoignages &amp; Incidents'!C197="","",'K5. Témoignages &amp; Incidents'!D197)</f>
        <v/>
      </c>
      <c r="C186" s="0" t="str">
        <f aca="false">IF('K5. Témoignages &amp; Incidents'!C197="","",'K5. Témoignages &amp; Incidents'!E197)</f>
        <v/>
      </c>
      <c r="D186" s="0" t="str">
        <f aca="false">IF('K5. Témoignages &amp; Incidents'!C197="","",'K5. Témoignages &amp; Incidents'!F197)</f>
        <v/>
      </c>
      <c r="E186" s="0" t="str">
        <f aca="false">IF('K5. Témoignages &amp; Incidents'!C197="","",'K5. Témoignages &amp; Incidents'!G197)</f>
        <v/>
      </c>
      <c r="F186" s="0" t="str">
        <f aca="false">IF('K5. Témoignages &amp; Incidents'!C197="","",'K5. Témoignages &amp; Incidents'!H197)</f>
        <v/>
      </c>
      <c r="G186" s="0" t="str">
        <f aca="false">IF('K5. Témoignages &amp; Incidents'!C197="","",'K5. Témoignages &amp; Incidents'!I197)</f>
        <v/>
      </c>
      <c r="H186" s="0" t="str">
        <f aca="false">IF('K5. Témoignages &amp; Incidents'!C197="","",'K5. Témoignages &amp; Incidents'!J197)</f>
        <v/>
      </c>
      <c r="I186" s="0" t="str">
        <f aca="false">IF('K5. Témoignages &amp; Incidents'!C197="","",'K5. Témoignages &amp; Incidents'!K197)</f>
        <v/>
      </c>
      <c r="J186" s="0" t="str">
        <f aca="false">IF('K5. Témoignages &amp; Incidents'!C197="","",'K5. Témoignages &amp; Incidents'!L197)</f>
        <v/>
      </c>
      <c r="K186" s="0" t="str">
        <f aca="false">IF('K5. Témoignages &amp; Incidents'!C197="","",'K5. Témoignages &amp; Incidents'!M197)</f>
        <v/>
      </c>
    </row>
    <row r="187" customFormat="false" ht="15" hidden="false" customHeight="false" outlineLevel="0" collapsed="false">
      <c r="A187" s="0" t="str">
        <f aca="false">IF('K5. Témoignages &amp; Incidents'!C198="","",'K5. Témoignages &amp; Incidents'!C198)</f>
        <v/>
      </c>
      <c r="B187" s="173" t="str">
        <f aca="false">IF('K5. Témoignages &amp; Incidents'!C198="","",'K5. Témoignages &amp; Incidents'!D198)</f>
        <v/>
      </c>
      <c r="C187" s="0" t="str">
        <f aca="false">IF('K5. Témoignages &amp; Incidents'!C198="","",'K5. Témoignages &amp; Incidents'!E198)</f>
        <v/>
      </c>
      <c r="D187" s="0" t="str">
        <f aca="false">IF('K5. Témoignages &amp; Incidents'!C198="","",'K5. Témoignages &amp; Incidents'!F198)</f>
        <v/>
      </c>
      <c r="E187" s="0" t="str">
        <f aca="false">IF('K5. Témoignages &amp; Incidents'!C198="","",'K5. Témoignages &amp; Incidents'!G198)</f>
        <v/>
      </c>
      <c r="F187" s="0" t="str">
        <f aca="false">IF('K5. Témoignages &amp; Incidents'!C198="","",'K5. Témoignages &amp; Incidents'!H198)</f>
        <v/>
      </c>
      <c r="G187" s="0" t="str">
        <f aca="false">IF('K5. Témoignages &amp; Incidents'!C198="","",'K5. Témoignages &amp; Incidents'!I198)</f>
        <v/>
      </c>
      <c r="H187" s="0" t="str">
        <f aca="false">IF('K5. Témoignages &amp; Incidents'!C198="","",'K5. Témoignages &amp; Incidents'!J198)</f>
        <v/>
      </c>
      <c r="I187" s="0" t="str">
        <f aca="false">IF('K5. Témoignages &amp; Incidents'!C198="","",'K5. Témoignages &amp; Incidents'!K198)</f>
        <v/>
      </c>
      <c r="J187" s="0" t="str">
        <f aca="false">IF('K5. Témoignages &amp; Incidents'!C198="","",'K5. Témoignages &amp; Incidents'!L198)</f>
        <v/>
      </c>
      <c r="K187" s="0" t="str">
        <f aca="false">IF('K5. Témoignages &amp; Incidents'!C198="","",'K5. Témoignages &amp; Incidents'!M198)</f>
        <v/>
      </c>
    </row>
    <row r="188" customFormat="false" ht="15" hidden="false" customHeight="false" outlineLevel="0" collapsed="false">
      <c r="A188" s="0" t="str">
        <f aca="false">IF('K5. Témoignages &amp; Incidents'!C199="","",'K5. Témoignages &amp; Incidents'!C199)</f>
        <v/>
      </c>
      <c r="B188" s="173" t="str">
        <f aca="false">IF('K5. Témoignages &amp; Incidents'!C199="","",'K5. Témoignages &amp; Incidents'!D199)</f>
        <v/>
      </c>
      <c r="C188" s="0" t="str">
        <f aca="false">IF('K5. Témoignages &amp; Incidents'!C199="","",'K5. Témoignages &amp; Incidents'!E199)</f>
        <v/>
      </c>
      <c r="D188" s="0" t="str">
        <f aca="false">IF('K5. Témoignages &amp; Incidents'!C199="","",'K5. Témoignages &amp; Incidents'!F199)</f>
        <v/>
      </c>
      <c r="E188" s="0" t="str">
        <f aca="false">IF('K5. Témoignages &amp; Incidents'!C199="","",'K5. Témoignages &amp; Incidents'!G199)</f>
        <v/>
      </c>
      <c r="F188" s="0" t="str">
        <f aca="false">IF('K5. Témoignages &amp; Incidents'!C199="","",'K5. Témoignages &amp; Incidents'!H199)</f>
        <v/>
      </c>
      <c r="G188" s="0" t="str">
        <f aca="false">IF('K5. Témoignages &amp; Incidents'!C199="","",'K5. Témoignages &amp; Incidents'!I199)</f>
        <v/>
      </c>
      <c r="H188" s="0" t="str">
        <f aca="false">IF('K5. Témoignages &amp; Incidents'!C199="","",'K5. Témoignages &amp; Incidents'!J199)</f>
        <v/>
      </c>
      <c r="I188" s="0" t="str">
        <f aca="false">IF('K5. Témoignages &amp; Incidents'!C199="","",'K5. Témoignages &amp; Incidents'!K199)</f>
        <v/>
      </c>
      <c r="J188" s="0" t="str">
        <f aca="false">IF('K5. Témoignages &amp; Incidents'!C199="","",'K5. Témoignages &amp; Incidents'!L199)</f>
        <v/>
      </c>
      <c r="K188" s="0" t="str">
        <f aca="false">IF('K5. Témoignages &amp; Incidents'!C199="","",'K5. Témoignages &amp; Incidents'!M199)</f>
        <v/>
      </c>
    </row>
    <row r="189" customFormat="false" ht="15" hidden="false" customHeight="false" outlineLevel="0" collapsed="false">
      <c r="A189" s="0" t="str">
        <f aca="false">IF('K5. Témoignages &amp; Incidents'!C200="","",'K5. Témoignages &amp; Incidents'!C200)</f>
        <v/>
      </c>
      <c r="B189" s="173" t="str">
        <f aca="false">IF('K5. Témoignages &amp; Incidents'!C200="","",'K5. Témoignages &amp; Incidents'!D200)</f>
        <v/>
      </c>
      <c r="C189" s="0" t="str">
        <f aca="false">IF('K5. Témoignages &amp; Incidents'!C200="","",'K5. Témoignages &amp; Incidents'!E200)</f>
        <v/>
      </c>
      <c r="D189" s="0" t="str">
        <f aca="false">IF('K5. Témoignages &amp; Incidents'!C200="","",'K5. Témoignages &amp; Incidents'!F200)</f>
        <v/>
      </c>
      <c r="E189" s="0" t="str">
        <f aca="false">IF('K5. Témoignages &amp; Incidents'!C200="","",'K5. Témoignages &amp; Incidents'!G200)</f>
        <v/>
      </c>
      <c r="F189" s="0" t="str">
        <f aca="false">IF('K5. Témoignages &amp; Incidents'!C200="","",'K5. Témoignages &amp; Incidents'!H200)</f>
        <v/>
      </c>
      <c r="G189" s="0" t="str">
        <f aca="false">IF('K5. Témoignages &amp; Incidents'!C200="","",'K5. Témoignages &amp; Incidents'!I200)</f>
        <v/>
      </c>
      <c r="H189" s="0" t="str">
        <f aca="false">IF('K5. Témoignages &amp; Incidents'!C200="","",'K5. Témoignages &amp; Incidents'!J200)</f>
        <v/>
      </c>
      <c r="I189" s="0" t="str">
        <f aca="false">IF('K5. Témoignages &amp; Incidents'!C200="","",'K5. Témoignages &amp; Incidents'!K200)</f>
        <v/>
      </c>
      <c r="J189" s="0" t="str">
        <f aca="false">IF('K5. Témoignages &amp; Incidents'!C200="","",'K5. Témoignages &amp; Incidents'!L200)</f>
        <v/>
      </c>
      <c r="K189" s="0" t="str">
        <f aca="false">IF('K5. Témoignages &amp; Incidents'!C200="","",'K5. Témoignages &amp; Incidents'!M200)</f>
        <v/>
      </c>
    </row>
    <row r="190" customFormat="false" ht="15" hidden="false" customHeight="false" outlineLevel="0" collapsed="false">
      <c r="A190" s="0" t="str">
        <f aca="false">IF('K5. Témoignages &amp; Incidents'!C201="","",'K5. Témoignages &amp; Incidents'!C201)</f>
        <v/>
      </c>
      <c r="B190" s="173" t="str">
        <f aca="false">IF('K5. Témoignages &amp; Incidents'!C201="","",'K5. Témoignages &amp; Incidents'!D201)</f>
        <v/>
      </c>
      <c r="C190" s="0" t="str">
        <f aca="false">IF('K5. Témoignages &amp; Incidents'!C201="","",'K5. Témoignages &amp; Incidents'!E201)</f>
        <v/>
      </c>
      <c r="D190" s="0" t="str">
        <f aca="false">IF('K5. Témoignages &amp; Incidents'!C201="","",'K5. Témoignages &amp; Incidents'!F201)</f>
        <v/>
      </c>
      <c r="E190" s="0" t="str">
        <f aca="false">IF('K5. Témoignages &amp; Incidents'!C201="","",'K5. Témoignages &amp; Incidents'!G201)</f>
        <v/>
      </c>
      <c r="F190" s="0" t="str">
        <f aca="false">IF('K5. Témoignages &amp; Incidents'!C201="","",'K5. Témoignages &amp; Incidents'!H201)</f>
        <v/>
      </c>
      <c r="G190" s="0" t="str">
        <f aca="false">IF('K5. Témoignages &amp; Incidents'!C201="","",'K5. Témoignages &amp; Incidents'!I201)</f>
        <v/>
      </c>
      <c r="H190" s="0" t="str">
        <f aca="false">IF('K5. Témoignages &amp; Incidents'!C201="","",'K5. Témoignages &amp; Incidents'!J201)</f>
        <v/>
      </c>
      <c r="I190" s="0" t="str">
        <f aca="false">IF('K5. Témoignages &amp; Incidents'!C201="","",'K5. Témoignages &amp; Incidents'!K201)</f>
        <v/>
      </c>
      <c r="J190" s="0" t="str">
        <f aca="false">IF('K5. Témoignages &amp; Incidents'!C201="","",'K5. Témoignages &amp; Incidents'!L201)</f>
        <v/>
      </c>
      <c r="K190" s="0" t="str">
        <f aca="false">IF('K5. Témoignages &amp; Incidents'!C201="","",'K5. Témoignages &amp; Incidents'!M201)</f>
        <v/>
      </c>
    </row>
    <row r="191" customFormat="false" ht="15" hidden="false" customHeight="false" outlineLevel="0" collapsed="false">
      <c r="A191" s="0" t="str">
        <f aca="false">IF('K5. Témoignages &amp; Incidents'!C202="","",'K5. Témoignages &amp; Incidents'!C202)</f>
        <v/>
      </c>
      <c r="B191" s="173" t="str">
        <f aca="false">IF('K5. Témoignages &amp; Incidents'!C202="","",'K5. Témoignages &amp; Incidents'!D202)</f>
        <v/>
      </c>
      <c r="C191" s="0" t="str">
        <f aca="false">IF('K5. Témoignages &amp; Incidents'!C202="","",'K5. Témoignages &amp; Incidents'!E202)</f>
        <v/>
      </c>
      <c r="D191" s="0" t="str">
        <f aca="false">IF('K5. Témoignages &amp; Incidents'!C202="","",'K5. Témoignages &amp; Incidents'!F202)</f>
        <v/>
      </c>
      <c r="E191" s="0" t="str">
        <f aca="false">IF('K5. Témoignages &amp; Incidents'!C202="","",'K5. Témoignages &amp; Incidents'!G202)</f>
        <v/>
      </c>
      <c r="F191" s="0" t="str">
        <f aca="false">IF('K5. Témoignages &amp; Incidents'!C202="","",'K5. Témoignages &amp; Incidents'!H202)</f>
        <v/>
      </c>
      <c r="G191" s="0" t="str">
        <f aca="false">IF('K5. Témoignages &amp; Incidents'!C202="","",'K5. Témoignages &amp; Incidents'!I202)</f>
        <v/>
      </c>
      <c r="H191" s="0" t="str">
        <f aca="false">IF('K5. Témoignages &amp; Incidents'!C202="","",'K5. Témoignages &amp; Incidents'!J202)</f>
        <v/>
      </c>
      <c r="I191" s="0" t="str">
        <f aca="false">IF('K5. Témoignages &amp; Incidents'!C202="","",'K5. Témoignages &amp; Incidents'!K202)</f>
        <v/>
      </c>
      <c r="J191" s="0" t="str">
        <f aca="false">IF('K5. Témoignages &amp; Incidents'!C202="","",'K5. Témoignages &amp; Incidents'!L202)</f>
        <v/>
      </c>
      <c r="K191" s="0" t="str">
        <f aca="false">IF('K5. Témoignages &amp; Incidents'!C202="","",'K5. Témoignages &amp; Incidents'!M202)</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2026-05-08T12:00:38Z</dcterms:created>
  <dc:creator>openpyxl</dc:creator>
  <dc:description/>
  <dc:language>en-US</dc:language>
  <cp:lastModifiedBy/>
  <dcterms:modified xsi:type="dcterms:W3CDTF">2026-05-25T00:12:19Z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